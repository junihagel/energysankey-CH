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Daten\MyPrograms\html-javascript\sankeyDiagrams\"/>
    </mc:Choice>
  </mc:AlternateContent>
  <xr:revisionPtr revIDLastSave="0" documentId="13_ncr:1_{0813618B-98FB-4592-B65D-F61D0922889C}" xr6:coauthVersionLast="47" xr6:coauthVersionMax="47" xr10:uidLastSave="{00000000-0000-0000-0000-000000000000}"/>
  <bookViews>
    <workbookView xWindow="-110" yWindow="-110" windowWidth="19420" windowHeight="11500" xr2:uid="{ED040FC0-BAA5-4A3E-A1EF-8F29E3714E75}"/>
  </bookViews>
  <sheets>
    <sheet name="html_JS_Code" sheetId="2" r:id="rId1"/>
    <sheet name="Data-Table" sheetId="1" r:id="rId2"/>
    <sheet name="Calc" sheetId="32" r:id="rId3"/>
    <sheet name="T14_Endverbrauch" sheetId="11" r:id="rId4"/>
    <sheet name="EnVnachVerwendung" sheetId="33" r:id="rId5"/>
    <sheet name="T36_WKK" sheetId="31" r:id="rId6"/>
    <sheet name="T06_Einfuhr" sheetId="5" r:id="rId7"/>
    <sheet name="T07_Ausfuhr" sheetId="6" r:id="rId8"/>
    <sheet name="T27_KVA" sheetId="22" r:id="rId9"/>
    <sheet name="T35_WP" sheetId="30" r:id="rId10"/>
    <sheet name="T33_Solarw" sheetId="28" r:id="rId11"/>
    <sheet name="T26_Fernw" sheetId="21" r:id="rId12"/>
    <sheet name="T24_Elektro" sheetId="19" r:id="rId13"/>
    <sheet name="T17e_EndvVerk" sheetId="17" r:id="rId14"/>
    <sheet name="T13_Verluste" sheetId="10" r:id="rId15"/>
    <sheet name="T05_PrimaerInland" sheetId="4" r:id="rId16"/>
    <sheet name="T10_Bruttov" sheetId="7" r:id="rId17"/>
    <sheet name="T11_Umwandl" sheetId="8" r:id="rId18"/>
    <sheet name="T12_Umwand2" sheetId="9" r:id="rId19"/>
    <sheet name="T31_Wind" sheetId="25" r:id="rId20"/>
    <sheet name="T32_PV" sheetId="27" r:id="rId21"/>
    <sheet name="T17a_EndvHH" sheetId="12" r:id="rId22"/>
    <sheet name="T17b_EndvInd" sheetId="14" r:id="rId23"/>
    <sheet name="T17c_EndvDienst" sheetId="15" r:id="rId24"/>
    <sheet name="T17d_EndvDiffLW" sheetId="16" r:id="rId25"/>
    <sheet name="T20_EndvErdoel" sheetId="18" r:id="rId26"/>
    <sheet name="T25_ElVer" sheetId="20" r:id="rId27"/>
    <sheet name="T28_Holz" sheetId="23" r:id="rId28"/>
    <sheet name="T29_HolzAnl" sheetId="24" r:id="rId29"/>
    <sheet name="T34a_Biogas" sheetId="29" r:id="rId30"/>
  </sheets>
  <externalReferences>
    <externalReference r:id="rId31"/>
  </externalReferences>
  <definedNames>
    <definedName name="veränbenz">#REF!</definedName>
    <definedName name="verändies">#REF!</definedName>
    <definedName name="veränel">#REF!</definedName>
    <definedName name="veränendverb">#REF!</definedName>
    <definedName name="veränerd">#REF!</definedName>
    <definedName name="veränfernw">#REF!</definedName>
    <definedName name="veränflug">#REF!</definedName>
    <definedName name="verängas">#REF!</definedName>
    <definedName name="veränhel">#REF!</definedName>
    <definedName name="veränhms">#REF!</definedName>
    <definedName name="veränholz">#REF!</definedName>
    <definedName name="veränkoh">#REF!</definedName>
    <definedName name="veränmül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 i="32" l="1"/>
  <c r="T6" i="32"/>
  <c r="T7" i="32"/>
  <c r="T8" i="32"/>
  <c r="T9" i="32"/>
  <c r="T10" i="32"/>
  <c r="T11" i="32"/>
  <c r="T12" i="32"/>
  <c r="T13" i="32"/>
  <c r="T14" i="32"/>
  <c r="T15" i="32"/>
  <c r="T16" i="32"/>
  <c r="T17" i="32"/>
  <c r="T18" i="32"/>
  <c r="T19" i="32"/>
  <c r="T20" i="32"/>
  <c r="T21" i="32"/>
  <c r="T22" i="32"/>
  <c r="T23" i="32"/>
  <c r="T24" i="32"/>
  <c r="T25" i="32"/>
  <c r="T26" i="32"/>
  <c r="T27" i="32"/>
  <c r="T28" i="32"/>
  <c r="T29" i="32"/>
  <c r="T30" i="32"/>
  <c r="T31" i="32"/>
  <c r="T32" i="32"/>
  <c r="T33" i="32"/>
  <c r="T34" i="32"/>
  <c r="T4" i="32"/>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4" i="32"/>
  <c r="L5" i="32"/>
  <c r="L6" i="32"/>
  <c r="L7" i="32"/>
  <c r="L8" i="32"/>
  <c r="L9" i="32"/>
  <c r="L10" i="32"/>
  <c r="L11" i="32"/>
  <c r="L12" i="32"/>
  <c r="L13" i="32"/>
  <c r="L14" i="32"/>
  <c r="L15" i="32"/>
  <c r="L16" i="32"/>
  <c r="L17" i="32"/>
  <c r="L18" i="32"/>
  <c r="L19" i="32"/>
  <c r="L20" i="32"/>
  <c r="L21" i="32"/>
  <c r="L22" i="32"/>
  <c r="L23" i="32"/>
  <c r="L24" i="32"/>
  <c r="L25" i="32"/>
  <c r="L26" i="32"/>
  <c r="L27" i="32"/>
  <c r="L28" i="32"/>
  <c r="L29" i="32"/>
  <c r="L30" i="32"/>
  <c r="L31" i="32"/>
  <c r="L32" i="32"/>
  <c r="L33" i="32"/>
  <c r="L34" i="32"/>
  <c r="L4"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4" i="32"/>
  <c r="J5" i="32"/>
  <c r="J6" i="32"/>
  <c r="J7" i="32"/>
  <c r="J8" i="32"/>
  <c r="J9" i="32"/>
  <c r="J10" i="32"/>
  <c r="J11" i="32"/>
  <c r="J12" i="32"/>
  <c r="J13" i="32"/>
  <c r="J14" i="32"/>
  <c r="J15" i="32"/>
  <c r="J16" i="32"/>
  <c r="J17" i="32"/>
  <c r="J18" i="32"/>
  <c r="J19" i="32"/>
  <c r="J20" i="32"/>
  <c r="J21" i="32"/>
  <c r="J22" i="32"/>
  <c r="J23" i="32"/>
  <c r="J24" i="32"/>
  <c r="J25" i="32"/>
  <c r="J26" i="32"/>
  <c r="J27" i="32"/>
  <c r="J28" i="32"/>
  <c r="J29" i="32"/>
  <c r="J30" i="32"/>
  <c r="J31" i="32"/>
  <c r="J32" i="32"/>
  <c r="J33" i="32"/>
  <c r="J34" i="32"/>
  <c r="J4" i="32"/>
  <c r="F5" i="32"/>
  <c r="F6" i="32"/>
  <c r="F7" i="32"/>
  <c r="F8" i="32"/>
  <c r="F9" i="32"/>
  <c r="F10" i="32"/>
  <c r="F11" i="32"/>
  <c r="F12" i="32"/>
  <c r="F13" i="32"/>
  <c r="F14" i="32"/>
  <c r="F15" i="32"/>
  <c r="F16" i="32"/>
  <c r="F17" i="32"/>
  <c r="F18" i="32"/>
  <c r="F19" i="32"/>
  <c r="F20" i="32"/>
  <c r="F21" i="32"/>
  <c r="F22" i="32"/>
  <c r="F23" i="32"/>
  <c r="F24" i="32"/>
  <c r="F25" i="32"/>
  <c r="F26" i="32"/>
  <c r="F27" i="32"/>
  <c r="F28" i="32"/>
  <c r="F29" i="32"/>
  <c r="F30" i="32"/>
  <c r="F31" i="32"/>
  <c r="F32" i="32"/>
  <c r="F33" i="32"/>
  <c r="F34" i="32"/>
  <c r="F4" i="32"/>
  <c r="Q5" i="32"/>
  <c r="Q6" i="32"/>
  <c r="Q7" i="32"/>
  <c r="Q8" i="32"/>
  <c r="Q9" i="32"/>
  <c r="Q10" i="32"/>
  <c r="Q11" i="32"/>
  <c r="Q12" i="32"/>
  <c r="Q13" i="32"/>
  <c r="Q14" i="32"/>
  <c r="Q15" i="32"/>
  <c r="Q16" i="32"/>
  <c r="Q17" i="32"/>
  <c r="Q18" i="32"/>
  <c r="Q19" i="32"/>
  <c r="Q20" i="32"/>
  <c r="Q21" i="32"/>
  <c r="Q22" i="32"/>
  <c r="Q23" i="32"/>
  <c r="Q24" i="32"/>
  <c r="Q25" i="32"/>
  <c r="Q26" i="32"/>
  <c r="Q27" i="32"/>
  <c r="Q28" i="32"/>
  <c r="Q29" i="32"/>
  <c r="Q30" i="32"/>
  <c r="Q31" i="32"/>
  <c r="Q32" i="32"/>
  <c r="Q33" i="32"/>
  <c r="Q34" i="32"/>
  <c r="Q4" i="32"/>
  <c r="N4" i="32"/>
  <c r="C109" i="1"/>
  <c r="C108" i="1"/>
  <c r="B103" i="1"/>
  <c r="C103" i="1" s="1"/>
  <c r="C102" i="1"/>
  <c r="B101" i="1"/>
  <c r="C101" i="1" s="1"/>
  <c r="C100" i="1"/>
  <c r="C99" i="1"/>
  <c r="B67" i="1"/>
  <c r="C67" i="1"/>
  <c r="D67" i="1"/>
  <c r="E67" i="1"/>
  <c r="F67" i="1"/>
  <c r="G67" i="1"/>
  <c r="H67" i="1"/>
  <c r="I67" i="1"/>
  <c r="J67" i="1"/>
  <c r="K67" i="1"/>
  <c r="L67" i="1"/>
  <c r="M67" i="1"/>
  <c r="N67" i="1"/>
  <c r="O67" i="1"/>
  <c r="P67" i="1"/>
  <c r="Q67" i="1"/>
  <c r="R67" i="1"/>
  <c r="S67" i="1"/>
  <c r="T67" i="1"/>
  <c r="U67" i="1"/>
  <c r="V67" i="1"/>
  <c r="W67" i="1"/>
  <c r="X67" i="1"/>
  <c r="Y67" i="1"/>
  <c r="D23" i="33"/>
  <c r="E23" i="33"/>
  <c r="F23" i="33"/>
  <c r="G23" i="33"/>
  <c r="H23" i="33"/>
  <c r="I23" i="33"/>
  <c r="J23" i="33"/>
  <c r="K23" i="33"/>
  <c r="L23" i="33"/>
  <c r="M23" i="33"/>
  <c r="N23" i="33"/>
  <c r="O23" i="33"/>
  <c r="P23" i="33"/>
  <c r="Q23" i="33"/>
  <c r="R23" i="33"/>
  <c r="S23" i="33"/>
  <c r="T23" i="33"/>
  <c r="U23" i="33"/>
  <c r="V23" i="33"/>
  <c r="W23" i="33"/>
  <c r="X23" i="33"/>
  <c r="Y23" i="33"/>
  <c r="Z23" i="33"/>
  <c r="AA23" i="33"/>
  <c r="Z67" i="1" s="1"/>
  <c r="AB23" i="33"/>
  <c r="C23" i="33"/>
  <c r="C64" i="1"/>
  <c r="D64" i="1"/>
  <c r="E64" i="1"/>
  <c r="F64" i="1"/>
  <c r="G64" i="1"/>
  <c r="H64" i="1"/>
  <c r="I64" i="1"/>
  <c r="J64" i="1"/>
  <c r="K64" i="1"/>
  <c r="L64" i="1"/>
  <c r="M64" i="1"/>
  <c r="N64" i="1"/>
  <c r="O64" i="1"/>
  <c r="P64" i="1"/>
  <c r="Q64" i="1"/>
  <c r="R64" i="1"/>
  <c r="S64" i="1"/>
  <c r="T64" i="1"/>
  <c r="U64" i="1"/>
  <c r="V64" i="1"/>
  <c r="W64" i="1"/>
  <c r="X64" i="1"/>
  <c r="Y64" i="1"/>
  <c r="B64" i="1"/>
  <c r="C63" i="1"/>
  <c r="D63" i="1"/>
  <c r="E63" i="1"/>
  <c r="F63" i="1"/>
  <c r="G63" i="1"/>
  <c r="H63" i="1"/>
  <c r="I63" i="1"/>
  <c r="J63" i="1"/>
  <c r="K63" i="1"/>
  <c r="L63" i="1"/>
  <c r="M63" i="1"/>
  <c r="N63" i="1"/>
  <c r="O63" i="1"/>
  <c r="P63" i="1"/>
  <c r="Q63" i="1"/>
  <c r="R63" i="1"/>
  <c r="S63" i="1"/>
  <c r="T63" i="1"/>
  <c r="U63" i="1"/>
  <c r="V63" i="1"/>
  <c r="W63" i="1"/>
  <c r="X63" i="1"/>
  <c r="Y63" i="1"/>
  <c r="B63" i="1"/>
  <c r="D256" i="33"/>
  <c r="E256" i="33"/>
  <c r="F256" i="33"/>
  <c r="G256" i="33"/>
  <c r="H256" i="33"/>
  <c r="I256" i="33"/>
  <c r="J256" i="33"/>
  <c r="K256" i="33"/>
  <c r="L256" i="33"/>
  <c r="M256" i="33"/>
  <c r="N256" i="33"/>
  <c r="O256" i="33"/>
  <c r="P256" i="33"/>
  <c r="Q256" i="33"/>
  <c r="R256" i="33"/>
  <c r="S256" i="33"/>
  <c r="T256" i="33"/>
  <c r="U256" i="33"/>
  <c r="V256" i="33"/>
  <c r="W256" i="33"/>
  <c r="X256" i="33"/>
  <c r="Y256" i="33"/>
  <c r="Z256" i="33"/>
  <c r="AA256" i="33"/>
  <c r="Z63" i="1" s="1"/>
  <c r="C256" i="33"/>
  <c r="AA240" i="33"/>
  <c r="Z64" i="1" s="1"/>
  <c r="Z240" i="33"/>
  <c r="Y240" i="33"/>
  <c r="X240" i="33"/>
  <c r="W240" i="33"/>
  <c r="V240" i="33"/>
  <c r="U240" i="33"/>
  <c r="T240" i="33"/>
  <c r="S240" i="33"/>
  <c r="R240" i="33"/>
  <c r="Q240" i="33"/>
  <c r="P240" i="33"/>
  <c r="O240" i="33"/>
  <c r="N240" i="33"/>
  <c r="M240" i="33"/>
  <c r="L240" i="33"/>
  <c r="K240" i="33"/>
  <c r="J240" i="33"/>
  <c r="I240" i="33"/>
  <c r="H240" i="33"/>
  <c r="G240" i="33"/>
  <c r="F240" i="33"/>
  <c r="E240" i="33"/>
  <c r="D240" i="33"/>
  <c r="C240" i="33"/>
  <c r="C62" i="1"/>
  <c r="D62" i="1"/>
  <c r="E62" i="1"/>
  <c r="F62" i="1"/>
  <c r="G62" i="1"/>
  <c r="H62" i="1"/>
  <c r="I62" i="1"/>
  <c r="J62" i="1"/>
  <c r="K62" i="1"/>
  <c r="L62" i="1"/>
  <c r="M62" i="1"/>
  <c r="N62" i="1"/>
  <c r="O62" i="1"/>
  <c r="P62" i="1"/>
  <c r="Q62" i="1"/>
  <c r="R62" i="1"/>
  <c r="S62" i="1"/>
  <c r="T62" i="1"/>
  <c r="U62" i="1"/>
  <c r="V62" i="1"/>
  <c r="W62" i="1"/>
  <c r="X62" i="1"/>
  <c r="Y62" i="1"/>
  <c r="Z62" i="1"/>
  <c r="B62" i="1"/>
  <c r="C56" i="1"/>
  <c r="D56" i="1"/>
  <c r="E56" i="1"/>
  <c r="F56" i="1"/>
  <c r="G56" i="1"/>
  <c r="H56" i="1"/>
  <c r="I56" i="1"/>
  <c r="J56" i="1"/>
  <c r="K56" i="1"/>
  <c r="L56" i="1"/>
  <c r="M56" i="1"/>
  <c r="N56" i="1"/>
  <c r="O56" i="1"/>
  <c r="P56" i="1"/>
  <c r="Q56" i="1"/>
  <c r="R56" i="1"/>
  <c r="S56" i="1"/>
  <c r="T56" i="1"/>
  <c r="U56" i="1"/>
  <c r="V56" i="1"/>
  <c r="W56" i="1"/>
  <c r="X56" i="1"/>
  <c r="Y56" i="1"/>
  <c r="Z56" i="1"/>
  <c r="C57" i="1"/>
  <c r="D57" i="1"/>
  <c r="E57" i="1"/>
  <c r="F57" i="1"/>
  <c r="G57" i="1"/>
  <c r="H57" i="1"/>
  <c r="I57" i="1"/>
  <c r="J57" i="1"/>
  <c r="K57" i="1"/>
  <c r="L57" i="1"/>
  <c r="M57" i="1"/>
  <c r="N57" i="1"/>
  <c r="O57" i="1"/>
  <c r="P57" i="1"/>
  <c r="Q57" i="1"/>
  <c r="R57" i="1"/>
  <c r="S57" i="1"/>
  <c r="T57" i="1"/>
  <c r="U57" i="1"/>
  <c r="V57" i="1"/>
  <c r="W57" i="1"/>
  <c r="X57" i="1"/>
  <c r="Y57" i="1"/>
  <c r="Z57" i="1"/>
  <c r="C58" i="1"/>
  <c r="D58" i="1"/>
  <c r="E58" i="1"/>
  <c r="F58" i="1"/>
  <c r="G58" i="1"/>
  <c r="H58" i="1"/>
  <c r="I58" i="1"/>
  <c r="J58" i="1"/>
  <c r="K58" i="1"/>
  <c r="L58" i="1"/>
  <c r="M58" i="1"/>
  <c r="N58" i="1"/>
  <c r="O58" i="1"/>
  <c r="P58" i="1"/>
  <c r="Q58" i="1"/>
  <c r="R58" i="1"/>
  <c r="S58" i="1"/>
  <c r="T58" i="1"/>
  <c r="U58" i="1"/>
  <c r="V58" i="1"/>
  <c r="W58" i="1"/>
  <c r="X58" i="1"/>
  <c r="Y58" i="1"/>
  <c r="Z58" i="1"/>
  <c r="B58" i="1"/>
  <c r="B57" i="1"/>
  <c r="B56" i="1"/>
  <c r="AC400" i="33"/>
  <c r="AC371" i="33"/>
  <c r="AC356" i="33"/>
  <c r="AC273" i="33"/>
  <c r="AC261" i="33"/>
  <c r="AC244" i="33"/>
  <c r="AC212" i="33"/>
  <c r="AC197" i="33"/>
  <c r="AC164" i="33"/>
  <c r="AC48" i="33"/>
  <c r="AC27" i="33"/>
  <c r="AC7" i="33"/>
  <c r="AC1" i="33"/>
  <c r="AD18" i="33" s="1"/>
  <c r="T10" i="1" a="1"/>
  <c r="F10" i="1" a="1"/>
  <c r="D65" i="1" a="1"/>
  <c r="X65" i="1" a="1"/>
  <c r="H10" i="1" a="1"/>
  <c r="H65" i="1" a="1"/>
  <c r="P10" i="1" a="1"/>
  <c r="Q65" i="1" a="1"/>
  <c r="Z65" i="1" a="1"/>
  <c r="X10" i="1" a="1"/>
  <c r="G65" i="1" a="1"/>
  <c r="J65" i="1" a="1"/>
  <c r="N10" i="1" a="1"/>
  <c r="W10" i="1" a="1"/>
  <c r="C65" i="1" a="1"/>
  <c r="K65" i="1" a="1"/>
  <c r="E10" i="1" a="1"/>
  <c r="L65" i="1" a="1"/>
  <c r="B65" i="1" a="1"/>
  <c r="U65" i="1" a="1"/>
  <c r="F65" i="1" a="1"/>
  <c r="M65" i="1" a="1"/>
  <c r="L10" i="1" a="1"/>
  <c r="B10" i="1" a="1"/>
  <c r="M10" i="1" a="1"/>
  <c r="D10" i="1" a="1"/>
  <c r="Y65" i="1" a="1"/>
  <c r="R65" i="1" a="1"/>
  <c r="K10" i="1" a="1"/>
  <c r="J10" i="1" a="1"/>
  <c r="W65" i="1" a="1"/>
  <c r="N65" i="1" a="1"/>
  <c r="O65" i="1" a="1"/>
  <c r="Q10" i="1" a="1"/>
  <c r="S10" i="1" a="1"/>
  <c r="S65" i="1" a="1"/>
  <c r="E65" i="1" a="1"/>
  <c r="O10" i="1" a="1"/>
  <c r="V10" i="1" a="1"/>
  <c r="P65" i="1" a="1"/>
  <c r="V65" i="1" a="1"/>
  <c r="T65" i="1" a="1"/>
  <c r="G10" i="1" a="1"/>
  <c r="I65" i="1" a="1"/>
  <c r="Z10" i="1" a="1"/>
  <c r="I10" i="1" a="1"/>
  <c r="C10" i="1" a="1"/>
  <c r="Y10" i="1" a="1"/>
  <c r="U10" i="1" a="1"/>
  <c r="R10" i="1" a="1"/>
  <c r="AD15" i="33" l="1"/>
  <c r="AD20" i="33"/>
  <c r="AD8" i="33"/>
  <c r="AD10" i="33"/>
  <c r="AD14" i="33"/>
  <c r="AD9" i="33"/>
  <c r="AD16" i="33"/>
  <c r="K10" i="1"/>
  <c r="S10" i="1"/>
  <c r="D10" i="1"/>
  <c r="P10" i="1"/>
  <c r="E10" i="1"/>
  <c r="W10" i="1"/>
  <c r="F10" i="1"/>
  <c r="L10" i="1"/>
  <c r="R10" i="1"/>
  <c r="X10" i="1"/>
  <c r="G10" i="1"/>
  <c r="J10" i="1"/>
  <c r="V10" i="1"/>
  <c r="Q10" i="1"/>
  <c r="M10" i="1"/>
  <c r="B10" i="1"/>
  <c r="H10" i="1"/>
  <c r="N10" i="1"/>
  <c r="T10" i="1"/>
  <c r="Z10" i="1"/>
  <c r="U10" i="1"/>
  <c r="Y10" i="1"/>
  <c r="C10" i="1"/>
  <c r="I10" i="1"/>
  <c r="O10" i="1"/>
  <c r="C104" i="1"/>
  <c r="I65" i="1"/>
  <c r="V65" i="1"/>
  <c r="E65" i="1"/>
  <c r="K65" i="1"/>
  <c r="Q65" i="1"/>
  <c r="W65" i="1"/>
  <c r="U65" i="1"/>
  <c r="P65" i="1"/>
  <c r="C65" i="1"/>
  <c r="D65" i="1"/>
  <c r="J65" i="1"/>
  <c r="F65" i="1"/>
  <c r="L65" i="1"/>
  <c r="R65" i="1"/>
  <c r="X65" i="1"/>
  <c r="O65" i="1"/>
  <c r="G65" i="1"/>
  <c r="M65" i="1"/>
  <c r="S65" i="1"/>
  <c r="Y65" i="1"/>
  <c r="B65" i="1"/>
  <c r="H65" i="1"/>
  <c r="N65" i="1"/>
  <c r="T65" i="1"/>
  <c r="Z65" i="1"/>
  <c r="AD11" i="33"/>
  <c r="AD17" i="33"/>
  <c r="AD12" i="33"/>
  <c r="AC2" i="33"/>
  <c r="AD13" i="33"/>
  <c r="AD19" i="33"/>
  <c r="O5" i="32"/>
  <c r="K5" i="32" s="1"/>
  <c r="N5" i="32"/>
  <c r="P5" i="32" s="1"/>
  <c r="O6" i="32"/>
  <c r="K6" i="32" s="1"/>
  <c r="N6" i="32"/>
  <c r="P6" i="32" s="1"/>
  <c r="O7" i="32"/>
  <c r="K7" i="32" s="1"/>
  <c r="N7" i="32"/>
  <c r="O8" i="32"/>
  <c r="K8" i="32" s="1"/>
  <c r="N8" i="32"/>
  <c r="P8" i="32" s="1"/>
  <c r="O9" i="32"/>
  <c r="K9" i="32" s="1"/>
  <c r="N9" i="32"/>
  <c r="O10" i="32"/>
  <c r="K10" i="32" s="1"/>
  <c r="N10" i="32"/>
  <c r="O11" i="32"/>
  <c r="K11" i="32" s="1"/>
  <c r="N11" i="32"/>
  <c r="P11" i="32" s="1"/>
  <c r="O12" i="32"/>
  <c r="K12" i="32" s="1"/>
  <c r="N12" i="32"/>
  <c r="P12" i="32" s="1"/>
  <c r="O13" i="32"/>
  <c r="K13" i="32" s="1"/>
  <c r="N13" i="32"/>
  <c r="O14" i="32"/>
  <c r="K14" i="32" s="1"/>
  <c r="N14" i="32"/>
  <c r="P14" i="32" s="1"/>
  <c r="O15" i="32"/>
  <c r="K15" i="32" s="1"/>
  <c r="N15" i="32"/>
  <c r="P15" i="32" s="1"/>
  <c r="O16" i="32"/>
  <c r="K16" i="32" s="1"/>
  <c r="N16" i="32"/>
  <c r="O17" i="32"/>
  <c r="K17" i="32" s="1"/>
  <c r="N17" i="32"/>
  <c r="P17" i="32" s="1"/>
  <c r="O18" i="32"/>
  <c r="K18" i="32" s="1"/>
  <c r="N18" i="32"/>
  <c r="P18" i="32" s="1"/>
  <c r="O19" i="32"/>
  <c r="K19" i="32" s="1"/>
  <c r="N19" i="32"/>
  <c r="O20" i="32"/>
  <c r="K20" i="32" s="1"/>
  <c r="N20" i="32"/>
  <c r="P20" i="32" s="1"/>
  <c r="O21" i="32"/>
  <c r="K21" i="32" s="1"/>
  <c r="N21" i="32"/>
  <c r="P21" i="32" s="1"/>
  <c r="O22" i="32"/>
  <c r="K22" i="32" s="1"/>
  <c r="N22" i="32"/>
  <c r="O23" i="32"/>
  <c r="K23" i="32" s="1"/>
  <c r="N23" i="32"/>
  <c r="P23" i="32" s="1"/>
  <c r="O24" i="32"/>
  <c r="K24" i="32" s="1"/>
  <c r="N24" i="32"/>
  <c r="P24" i="32" s="1"/>
  <c r="O25" i="32"/>
  <c r="K25" i="32" s="1"/>
  <c r="N25" i="32"/>
  <c r="O26" i="32"/>
  <c r="K26" i="32" s="1"/>
  <c r="N26" i="32"/>
  <c r="P26" i="32" s="1"/>
  <c r="O27" i="32"/>
  <c r="K27" i="32" s="1"/>
  <c r="N27" i="32"/>
  <c r="P27" i="32" s="1"/>
  <c r="O28" i="32"/>
  <c r="K28" i="32" s="1"/>
  <c r="N28" i="32"/>
  <c r="P28" i="32" s="1"/>
  <c r="O29" i="32"/>
  <c r="K29" i="32" s="1"/>
  <c r="N29" i="32"/>
  <c r="P29" i="32" s="1"/>
  <c r="O30" i="32"/>
  <c r="K30" i="32" s="1"/>
  <c r="N30" i="32"/>
  <c r="P30" i="32" s="1"/>
  <c r="O31" i="32"/>
  <c r="K31" i="32" s="1"/>
  <c r="N31" i="32"/>
  <c r="O32" i="32"/>
  <c r="K32" i="32" s="1"/>
  <c r="N32" i="32"/>
  <c r="P32" i="32" s="1"/>
  <c r="O33" i="32"/>
  <c r="K33" i="32" s="1"/>
  <c r="N33" i="32"/>
  <c r="P33" i="32" s="1"/>
  <c r="O34" i="32"/>
  <c r="K34" i="32" s="1"/>
  <c r="N34" i="32"/>
  <c r="P34" i="32" s="1"/>
  <c r="O4" i="32"/>
  <c r="K4" i="32" s="1"/>
  <c r="H8" i="32"/>
  <c r="G17" i="32"/>
  <c r="H17" i="32" s="1"/>
  <c r="G18" i="32"/>
  <c r="H18" i="32" s="1"/>
  <c r="G19" i="32"/>
  <c r="G20" i="32"/>
  <c r="H20" i="32" s="1"/>
  <c r="G21" i="32"/>
  <c r="H21" i="32" s="1"/>
  <c r="G22" i="32"/>
  <c r="G23" i="32"/>
  <c r="G24" i="32"/>
  <c r="H24" i="32" s="1"/>
  <c r="G25" i="32"/>
  <c r="G26" i="32"/>
  <c r="H26" i="32" s="1"/>
  <c r="G27" i="32"/>
  <c r="G28" i="32"/>
  <c r="H28" i="32" s="1"/>
  <c r="G29" i="32"/>
  <c r="H29" i="32" s="1"/>
  <c r="G30" i="32"/>
  <c r="H30" i="32" s="1"/>
  <c r="G31" i="32"/>
  <c r="G32" i="32"/>
  <c r="H32" i="32" s="1"/>
  <c r="G33" i="32"/>
  <c r="G34" i="32"/>
  <c r="G5" i="32"/>
  <c r="G6" i="32"/>
  <c r="G7" i="32"/>
  <c r="G8" i="32"/>
  <c r="G9" i="32"/>
  <c r="H9" i="32" s="1"/>
  <c r="G10" i="32"/>
  <c r="H10" i="32" s="1"/>
  <c r="G11" i="32"/>
  <c r="G12" i="32"/>
  <c r="H12" i="32" s="1"/>
  <c r="G13" i="32"/>
  <c r="G14" i="32"/>
  <c r="G15" i="32"/>
  <c r="G16" i="32"/>
  <c r="H16" i="32" s="1"/>
  <c r="G4" i="32"/>
  <c r="H5" i="32"/>
  <c r="H6" i="32"/>
  <c r="H13" i="32"/>
  <c r="H15" i="32"/>
  <c r="B29" i="32"/>
  <c r="C29" i="32"/>
  <c r="B30" i="32"/>
  <c r="C30" i="32"/>
  <c r="B31" i="32"/>
  <c r="D31" i="32" s="1"/>
  <c r="C31" i="32"/>
  <c r="B32" i="32"/>
  <c r="C32" i="32"/>
  <c r="B33" i="32"/>
  <c r="C33" i="32"/>
  <c r="B34" i="32"/>
  <c r="C34" i="32"/>
  <c r="B18" i="32"/>
  <c r="C18" i="32"/>
  <c r="B19" i="32"/>
  <c r="C19" i="32"/>
  <c r="B20" i="32"/>
  <c r="C20" i="32"/>
  <c r="B21" i="32"/>
  <c r="C21" i="32"/>
  <c r="B22" i="32"/>
  <c r="C22" i="32"/>
  <c r="B23" i="32"/>
  <c r="C23" i="32"/>
  <c r="B24" i="32"/>
  <c r="C24" i="32"/>
  <c r="B25" i="32"/>
  <c r="C25" i="32"/>
  <c r="B26" i="32"/>
  <c r="D26" i="32" s="1"/>
  <c r="C26" i="32"/>
  <c r="B27" i="32"/>
  <c r="C27" i="32"/>
  <c r="B28" i="32"/>
  <c r="C28" i="32"/>
  <c r="D28" i="32" s="1"/>
  <c r="C5" i="32"/>
  <c r="C6" i="32"/>
  <c r="C7" i="32"/>
  <c r="C8" i="32"/>
  <c r="C9" i="32"/>
  <c r="C10" i="32"/>
  <c r="C11" i="32"/>
  <c r="C12" i="32"/>
  <c r="C13" i="32"/>
  <c r="C14" i="32"/>
  <c r="C15" i="32"/>
  <c r="C16" i="32"/>
  <c r="C17" i="32"/>
  <c r="C4" i="32"/>
  <c r="B5" i="32"/>
  <c r="B6" i="32"/>
  <c r="D6" i="32" s="1"/>
  <c r="B7" i="32"/>
  <c r="D7" i="32" s="1"/>
  <c r="B8" i="32"/>
  <c r="B9" i="32"/>
  <c r="B10" i="32"/>
  <c r="B11" i="32"/>
  <c r="D11" i="32" s="1"/>
  <c r="B12" i="32"/>
  <c r="B13" i="32"/>
  <c r="B14" i="32"/>
  <c r="B15" i="32"/>
  <c r="D15" i="32" s="1"/>
  <c r="B16" i="32"/>
  <c r="B17" i="32"/>
  <c r="B4" i="32"/>
  <c r="A4" i="32"/>
  <c r="A5" i="32"/>
  <c r="A6" i="32"/>
  <c r="A7" i="32"/>
  <c r="A8" i="32"/>
  <c r="A9" i="32"/>
  <c r="A10" i="32"/>
  <c r="A11" i="32"/>
  <c r="A12" i="32"/>
  <c r="A13" i="32"/>
  <c r="A14" i="32"/>
  <c r="A15" i="32"/>
  <c r="A16" i="32"/>
  <c r="A17" i="32"/>
  <c r="A18" i="32"/>
  <c r="A19" i="32"/>
  <c r="A20" i="32"/>
  <c r="A21" i="32"/>
  <c r="A22" i="32"/>
  <c r="A23" i="32"/>
  <c r="A24" i="32"/>
  <c r="A25" i="32"/>
  <c r="A26" i="32"/>
  <c r="A27" i="32"/>
  <c r="A28" i="32"/>
  <c r="X51" i="1" a="1"/>
  <c r="Y41" i="1" a="1"/>
  <c r="R31" i="1" a="1"/>
  <c r="D24" i="1" a="1"/>
  <c r="E14" i="1" a="1"/>
  <c r="T37" i="1" a="1"/>
  <c r="K17" i="1" a="1"/>
  <c r="R52" i="1" a="1"/>
  <c r="Q52" i="1" a="1"/>
  <c r="X41" i="1" a="1"/>
  <c r="F31" i="1" a="1"/>
  <c r="Z22" i="1" a="1"/>
  <c r="O14" i="1" a="1"/>
  <c r="S46" i="1" a="1"/>
  <c r="I37" i="1" a="1"/>
  <c r="N27" i="1" a="1"/>
  <c r="M46" i="1" a="1"/>
  <c r="H52" i="1" a="1"/>
  <c r="N38" i="1" a="1"/>
  <c r="U28" i="1" a="1"/>
  <c r="R22" i="1" a="1"/>
  <c r="O9" i="1" a="1"/>
  <c r="Y68" i="1" a="1"/>
  <c r="C37" i="1" a="1"/>
  <c r="W27" i="1" a="1"/>
  <c r="C18" i="1" a="1"/>
  <c r="L8" i="1" a="1"/>
  <c r="H43" i="1" a="1"/>
  <c r="F34" i="1" a="1"/>
  <c r="F26" i="1" a="1"/>
  <c r="Y66" i="1" a="1"/>
  <c r="S8" i="1" a="1"/>
  <c r="V66" i="1" a="1"/>
  <c r="J69" i="1" a="1"/>
  <c r="O42" i="1" a="1"/>
  <c r="M34" i="1" a="1"/>
  <c r="P25" i="1" a="1"/>
  <c r="F17" i="1" a="1"/>
  <c r="K68" i="1" a="1"/>
  <c r="L46" i="1" a="1"/>
  <c r="F37" i="1" a="1"/>
  <c r="Z28" i="1" a="1"/>
  <c r="L21" i="1" a="1"/>
  <c r="I8" i="1" a="1"/>
  <c r="Y28" i="1" a="1"/>
  <c r="O21" i="1" a="1"/>
  <c r="V38" i="1" a="1"/>
  <c r="W46" i="1" a="1"/>
  <c r="G37" i="1" a="1"/>
  <c r="W28" i="1" a="1"/>
  <c r="D21" i="1" a="1"/>
  <c r="M8" i="1" a="1"/>
  <c r="C43" i="1" a="1"/>
  <c r="E36" i="1" a="1"/>
  <c r="J25" i="1" a="1"/>
  <c r="H32" i="1" a="1"/>
  <c r="I68" i="1" a="1"/>
  <c r="H36" i="1" a="1"/>
  <c r="O26" i="1" a="1"/>
  <c r="U18" i="1" a="1"/>
  <c r="W69" i="1" a="1"/>
  <c r="M43" i="1" a="1"/>
  <c r="S34" i="1" a="1"/>
  <c r="U25" i="1" a="1"/>
  <c r="X17" i="1" a="1"/>
  <c r="C51" i="1" a="1"/>
  <c r="O41" i="1" a="1"/>
  <c r="S32" i="1" a="1"/>
  <c r="Q24" i="1" a="1"/>
  <c r="Q14" i="1" a="1"/>
  <c r="Q42" i="1" a="1"/>
  <c r="X24" i="1" a="1"/>
  <c r="K52" i="1" a="1"/>
  <c r="M41" i="1" a="1"/>
  <c r="U31" i="1" a="1"/>
  <c r="U22" i="1" a="1"/>
  <c r="G9" i="1" a="1"/>
  <c r="J37" i="1" a="1"/>
  <c r="O8" i="1" a="1"/>
  <c r="E37" i="1" a="1"/>
  <c r="C25" i="1" a="1"/>
  <c r="C36" i="1" a="1"/>
  <c r="S69" i="1" a="1"/>
  <c r="K22" i="1" a="1"/>
  <c r="F24" i="1" a="1"/>
  <c r="E26" i="1" a="1"/>
  <c r="Q46" i="1" a="1"/>
  <c r="H14" i="1" a="1"/>
  <c r="Q25" i="1" a="1"/>
  <c r="E41" i="1" a="1"/>
  <c r="Y69" i="1" a="1"/>
  <c r="K25" i="1" a="1"/>
  <c r="B22" i="1" a="1"/>
  <c r="K38" i="1" a="1"/>
  <c r="N22" i="1" a="1"/>
  <c r="Z66" i="1" a="1"/>
  <c r="B68" i="1" a="1"/>
  <c r="K37" i="1" a="1"/>
  <c r="J27" i="1" a="1"/>
  <c r="U21" i="1" a="1"/>
  <c r="R8" i="1" a="1"/>
  <c r="H28" i="1" a="1"/>
  <c r="J66" i="1" a="1"/>
  <c r="F36" i="1" a="1"/>
  <c r="R68" i="1" a="1"/>
  <c r="U37" i="1" a="1"/>
  <c r="O27" i="1" a="1"/>
  <c r="D18" i="1" a="1"/>
  <c r="N69" i="1" a="1"/>
  <c r="E43" i="1" a="1"/>
  <c r="N34" i="1" a="1"/>
  <c r="E24" i="1" a="1"/>
  <c r="W31" i="1" a="1"/>
  <c r="Z43" i="1" a="1"/>
  <c r="X34" i="1" a="1"/>
  <c r="X26" i="1" a="1"/>
  <c r="N66" i="1" a="1"/>
  <c r="F69" i="1" a="1"/>
  <c r="S42" i="1" a="1"/>
  <c r="E32" i="1" a="1"/>
  <c r="S25" i="1" a="1"/>
  <c r="W17" i="1" a="1"/>
  <c r="B51" i="1" a="1"/>
  <c r="I41" i="1" a="1"/>
  <c r="P31" i="1" a="1"/>
  <c r="I24" i="1" a="1"/>
  <c r="P14" i="1" a="1"/>
  <c r="Y38" i="1" a="1"/>
  <c r="M22" i="1" a="1"/>
  <c r="B52" i="1" a="1"/>
  <c r="F38" i="1" a="1"/>
  <c r="N31" i="1" a="1"/>
  <c r="E22" i="1" a="1"/>
  <c r="S9" i="1" a="1"/>
  <c r="U34" i="1" a="1"/>
  <c r="Y27" i="1" a="1"/>
  <c r="J36" i="1" a="1"/>
  <c r="S22" i="1" a="1"/>
  <c r="N32" i="1" a="1"/>
  <c r="L51" i="1" a="1"/>
  <c r="Y18" i="1" a="1"/>
  <c r="T9" i="1" a="1"/>
  <c r="Y24" i="1" a="1"/>
  <c r="X43" i="1" a="1"/>
  <c r="H8" i="1" a="1"/>
  <c r="C24" i="1" a="1"/>
  <c r="H31" i="1" a="1"/>
  <c r="D32" i="1" a="1"/>
  <c r="V24" i="1" a="1"/>
  <c r="H17" i="1" a="1"/>
  <c r="B36" i="1" a="1"/>
  <c r="X21" i="1" a="1"/>
  <c r="E8" i="1" a="1"/>
  <c r="Q68" i="1" a="1"/>
  <c r="Z36" i="1" a="1"/>
  <c r="P27" i="1" a="1"/>
  <c r="L18" i="1" a="1"/>
  <c r="O51" i="1" a="1"/>
  <c r="D27" i="1" a="1"/>
  <c r="T14" i="1" a="1"/>
  <c r="H34" i="1" a="1"/>
  <c r="E68" i="1" a="1"/>
  <c r="R36" i="1" a="1"/>
  <c r="B26" i="1" a="1"/>
  <c r="J18" i="1" a="1"/>
  <c r="T69" i="1" a="1"/>
  <c r="U69" i="1" a="1"/>
  <c r="W43" i="1" a="1"/>
  <c r="D34" i="1" a="1"/>
  <c r="V26" i="1" a="1"/>
  <c r="M66" i="1" a="1"/>
  <c r="F46" i="1" a="1"/>
  <c r="B24" i="1" a="1"/>
  <c r="B8" i="1" a="1"/>
  <c r="C69" i="1" a="1"/>
  <c r="K43" i="1" a="1"/>
  <c r="I34" i="1" a="1"/>
  <c r="T25" i="1" a="1"/>
  <c r="P66" i="1" a="1"/>
  <c r="N51" i="1" a="1"/>
  <c r="B41" i="1" a="1"/>
  <c r="P32" i="1" a="1"/>
  <c r="O17" i="1" a="1"/>
  <c r="X69" i="1" a="1"/>
  <c r="Y42" i="1" a="1"/>
  <c r="K32" i="1" a="1"/>
  <c r="N25" i="1" a="1"/>
  <c r="S17" i="1" a="1"/>
  <c r="S52" i="1" a="1"/>
  <c r="D41" i="1" a="1"/>
  <c r="J31" i="1" a="1"/>
  <c r="Q22" i="1" a="1"/>
  <c r="G14" i="1" a="1"/>
  <c r="N46" i="1" a="1"/>
  <c r="B37" i="1" a="1"/>
  <c r="J28" i="1" a="1"/>
  <c r="B21" i="1" a="1"/>
  <c r="D11" i="1" a="1"/>
  <c r="L28" i="1" a="1"/>
  <c r="P46" i="1" a="1"/>
  <c r="G68" i="1" a="1"/>
  <c r="W37" i="1" a="1"/>
  <c r="F27" i="1" a="1"/>
  <c r="R18" i="1" a="1"/>
  <c r="I69" i="1" a="1"/>
  <c r="U27" i="1" a="1"/>
  <c r="C14" i="1" a="1"/>
  <c r="J68" i="1" a="1"/>
  <c r="B14" i="1" a="1"/>
  <c r="Z24" i="1" a="1"/>
  <c r="F42" i="1" a="1"/>
  <c r="I11" i="1" a="1"/>
  <c r="I46" i="1" a="1"/>
  <c r="L66" i="1" a="1"/>
  <c r="G36" i="1" a="1"/>
  <c r="Z53" i="1" a="1"/>
  <c r="U66" i="1" a="1"/>
  <c r="B18" i="1" a="1"/>
  <c r="C52" i="1" a="1"/>
  <c r="T8" i="1" a="1"/>
  <c r="P26" i="1" a="1"/>
  <c r="S68" i="1" a="1"/>
  <c r="Z14" i="1" a="1"/>
  <c r="S24" i="1" a="1"/>
  <c r="R51" i="1" a="1"/>
  <c r="U52" i="1" a="1"/>
  <c r="I28" i="1" a="1"/>
  <c r="K9" i="1" a="1"/>
  <c r="M37" i="1" a="1"/>
  <c r="E21" i="1" a="1"/>
  <c r="D26" i="1" a="1"/>
  <c r="W68" i="1" a="1"/>
  <c r="E27" i="1" a="1"/>
  <c r="Q18" i="1" a="1"/>
  <c r="H26" i="1" a="1"/>
  <c r="B42" i="1" a="1"/>
  <c r="V22" i="1" a="1"/>
  <c r="U38" i="1" a="1"/>
  <c r="N68" i="1" a="1"/>
  <c r="E28" i="1" a="1"/>
  <c r="Y14" i="1" a="1"/>
  <c r="U68" i="1" a="1"/>
  <c r="D69" i="1" a="1"/>
  <c r="I42" i="1" a="1"/>
  <c r="G34" i="1" a="1"/>
  <c r="O25" i="1" a="1"/>
  <c r="E66" i="1" a="1"/>
  <c r="J43" i="1" a="1"/>
  <c r="C22" i="1" a="1"/>
  <c r="Y8" i="1" a="1"/>
  <c r="O69" i="1" a="1"/>
  <c r="Z42" i="1" a="1"/>
  <c r="K34" i="1" a="1"/>
  <c r="E25" i="1" a="1"/>
  <c r="E17" i="1" a="1"/>
  <c r="F41" i="1" a="1"/>
  <c r="D31" i="1" a="1"/>
  <c r="Q9" i="1" a="1"/>
  <c r="S53" i="1" a="1"/>
  <c r="E42" i="1" a="1"/>
  <c r="O32" i="1" a="1"/>
  <c r="M24" i="1" a="1"/>
  <c r="R14" i="1" a="1"/>
  <c r="X38" i="1" a="1"/>
  <c r="L22" i="1" a="1"/>
  <c r="X46" i="1" a="1"/>
  <c r="L27" i="1" a="1"/>
  <c r="L9" i="1" a="1"/>
  <c r="N42" i="1" a="1"/>
  <c r="S36" i="1" a="1"/>
  <c r="N53" i="1" a="1"/>
  <c r="C9" i="1" a="1"/>
  <c r="J9" i="1" a="1"/>
  <c r="W9" i="1" a="1"/>
  <c r="T17" i="1" a="1"/>
  <c r="T51" i="1" a="1"/>
  <c r="V14" i="1" a="1"/>
  <c r="U51" i="1" a="1"/>
  <c r="L42" i="1" a="1"/>
  <c r="L32" i="1" a="1"/>
  <c r="G25" i="1" a="1"/>
  <c r="Q17" i="1" a="1"/>
  <c r="C42" i="1" a="1"/>
  <c r="F21" i="1" a="1"/>
  <c r="H69" i="1" a="1"/>
  <c r="I51" i="1" a="1"/>
  <c r="V42" i="1" a="1"/>
  <c r="B32" i="1" a="1"/>
  <c r="G24" i="1" a="1"/>
  <c r="U17" i="1" a="1"/>
  <c r="J52" i="1" a="1"/>
  <c r="M38" i="1" a="1"/>
  <c r="M31" i="1" a="1"/>
  <c r="B69" i="1" a="1"/>
  <c r="Q51" i="1" a="1"/>
  <c r="V41" i="1" a="1"/>
  <c r="S31" i="1" a="1"/>
  <c r="P24" i="1" a="1"/>
  <c r="S14" i="1" a="1"/>
  <c r="Z46" i="1" a="1"/>
  <c r="Q38" i="1" a="1"/>
  <c r="N28" i="1" a="1"/>
  <c r="I21" i="1" a="1"/>
  <c r="R9" i="1" a="1"/>
  <c r="M68" i="1" a="1"/>
  <c r="T36" i="1" a="1"/>
  <c r="K27" i="1" a="1"/>
  <c r="X18" i="1" a="1"/>
  <c r="U9" i="1" a="1"/>
  <c r="H22" i="1" a="1"/>
  <c r="T41" i="1" a="1"/>
  <c r="I22" i="1" a="1"/>
  <c r="I25" i="1" a="1"/>
  <c r="N52" i="1" a="1"/>
  <c r="F28" i="1" a="1"/>
  <c r="G52" i="1" a="1"/>
  <c r="M28" i="1" a="1"/>
  <c r="P51" i="1" a="1"/>
  <c r="V31" i="1" a="1"/>
  <c r="E9" i="1" a="1"/>
  <c r="P37" i="1" a="1"/>
  <c r="Q21" i="1" a="1"/>
  <c r="C68" i="1" a="1"/>
  <c r="Z26" i="1" a="1"/>
  <c r="W8" i="1" a="1"/>
  <c r="Z37" i="1" a="1"/>
  <c r="P38" i="1" a="1"/>
  <c r="N24" i="1" a="1"/>
  <c r="J46" i="1" a="1"/>
  <c r="H21" i="1" a="1"/>
  <c r="C34" i="1" a="1"/>
  <c r="R27" i="1" a="1"/>
  <c r="G28" i="1" a="1"/>
  <c r="G69" i="1" a="1"/>
  <c r="F66" i="1" a="1"/>
  <c r="R41" i="1" a="1"/>
  <c r="C66" i="1" a="1"/>
  <c r="F22" i="1" a="1"/>
  <c r="C26" i="1" a="1"/>
  <c r="M27" i="1" a="1"/>
  <c r="N17" i="1" a="1"/>
  <c r="T28" i="1" a="1"/>
  <c r="D17" i="1" a="1"/>
  <c r="O43" i="1" a="1"/>
  <c r="B25" i="1" a="1"/>
  <c r="T27" i="1" a="1"/>
  <c r="I66" i="1" a="1"/>
  <c r="X68" i="1" a="1"/>
  <c r="I38" i="1" a="1"/>
  <c r="B66" i="1" a="1"/>
  <c r="E51" i="1" a="1"/>
  <c r="K41" i="1" a="1"/>
  <c r="V52" i="1" a="1"/>
  <c r="Y36" i="1" a="1"/>
  <c r="T42" i="1" a="1"/>
  <c r="X25" i="1" a="1"/>
  <c r="M17" i="1" a="1"/>
  <c r="X36" i="1" a="1"/>
  <c r="S66" i="1" a="1"/>
  <c r="T66" i="1" a="1"/>
  <c r="D36" i="1" a="1"/>
  <c r="V37" i="1" a="1"/>
  <c r="V68" i="1" a="1"/>
  <c r="Y32" i="1" a="1"/>
  <c r="J21" i="1" a="1"/>
  <c r="I43" i="1" a="1"/>
  <c r="G31" i="1" a="1"/>
  <c r="W22" i="1" a="1"/>
  <c r="Z32" i="1" a="1"/>
  <c r="Y17" i="1" a="1"/>
  <c r="Q32" i="1" a="1"/>
  <c r="Y34" i="1" a="1"/>
  <c r="H42" i="1" a="1"/>
  <c r="Y9" i="1" a="1"/>
  <c r="C38" i="1" a="1"/>
  <c r="H38" i="1" a="1"/>
  <c r="P41" i="1" a="1"/>
  <c r="V46" i="1" a="1"/>
  <c r="J8" i="1" a="1"/>
  <c r="W18" i="1" a="1"/>
  <c r="X31" i="1" a="1"/>
  <c r="W25" i="1" a="1"/>
  <c r="F9" i="1" a="1"/>
  <c r="P28" i="1" a="1"/>
  <c r="M26" i="1" a="1"/>
  <c r="Q36" i="1" a="1"/>
  <c r="H51" i="1" a="1"/>
  <c r="F68" i="1" a="1"/>
  <c r="S43" i="1" a="1"/>
  <c r="G21" i="1" a="1"/>
  <c r="I26" i="1" a="1"/>
  <c r="U14" i="1" a="1"/>
  <c r="K14" i="1" a="1"/>
  <c r="X8" i="1" a="1"/>
  <c r="Y25" i="1" a="1"/>
  <c r="U26" i="1" a="1"/>
  <c r="Q31" i="1" a="1"/>
  <c r="O46" i="1" a="1"/>
  <c r="U24" i="1" a="1"/>
  <c r="P18" i="1" a="1"/>
  <c r="S27" i="1" a="1"/>
  <c r="M32" i="1" a="1"/>
  <c r="J24" i="1" a="1"/>
  <c r="C41" i="1" a="1"/>
  <c r="Y52" i="1" a="1"/>
  <c r="X37" i="1" a="1"/>
  <c r="Q34" i="1" a="1"/>
  <c r="L41" i="1" a="1"/>
  <c r="P22" i="1" a="1"/>
  <c r="V18" i="1" a="1"/>
  <c r="F52" i="1" a="1"/>
  <c r="J26" i="1" a="1"/>
  <c r="E46" i="1" a="1"/>
  <c r="Y26" i="1" a="1"/>
  <c r="D52" i="1" a="1"/>
  <c r="C28" i="1" a="1"/>
  <c r="Z8" i="1" a="1"/>
  <c r="I36" i="1" a="1"/>
  <c r="I18" i="1" a="1"/>
  <c r="U42" i="1" a="1"/>
  <c r="F25" i="1" a="1"/>
  <c r="Y51" i="1" a="1"/>
  <c r="J34" i="1" a="1"/>
  <c r="Y37" i="1" a="1"/>
  <c r="K24" i="1" a="1"/>
  <c r="Q43" i="1" a="1"/>
  <c r="X66" i="1" a="1"/>
  <c r="K31" i="1" a="1"/>
  <c r="L26" i="1" a="1"/>
  <c r="B27" i="1" a="1"/>
  <c r="F51" i="1" a="1"/>
  <c r="L25" i="1" a="1"/>
  <c r="W14" i="1" a="1"/>
  <c r="M11" i="1" a="1"/>
  <c r="B53" i="1" a="1"/>
  <c r="Z21" i="1" a="1"/>
  <c r="N14" i="1" a="1"/>
  <c r="I9" i="1" a="1"/>
  <c r="H18" i="1" a="1"/>
  <c r="R17" i="1" a="1"/>
  <c r="P8" i="1" a="1"/>
  <c r="Y22" i="1" a="1"/>
  <c r="R34" i="1" a="1"/>
  <c r="T24" i="1" a="1"/>
  <c r="P34" i="1" a="1"/>
  <c r="T53" i="1" a="1"/>
  <c r="L24" i="1" a="1"/>
  <c r="P43" i="1" a="1"/>
  <c r="V8" i="1" a="1"/>
  <c r="K28" i="1" a="1"/>
  <c r="H41" i="1" a="1"/>
  <c r="T22" i="1" a="1"/>
  <c r="V51" i="1" a="1"/>
  <c r="L38" i="1" a="1"/>
  <c r="S51" i="1" a="1"/>
  <c r="G32" i="1" a="1"/>
  <c r="V17" i="1" a="1"/>
  <c r="O37" i="1" a="1"/>
  <c r="O34" i="1" a="1"/>
  <c r="Z11" i="1" a="1"/>
  <c r="J42" i="1" a="1"/>
  <c r="V25" i="1" a="1"/>
  <c r="L14" i="1" a="1"/>
  <c r="H46" i="1" a="1"/>
  <c r="T31" i="1" a="1"/>
  <c r="C17" i="1" a="1"/>
  <c r="L34" i="1" a="1"/>
  <c r="N37" i="1" a="1"/>
  <c r="T34" i="1" a="1"/>
  <c r="I14" i="1" a="1"/>
  <c r="Q66" i="1" a="1"/>
  <c r="X28" i="1" a="1"/>
  <c r="G38" i="1" a="1"/>
  <c r="U32" i="1" a="1"/>
  <c r="V28" i="1" a="1"/>
  <c r="B17" i="1" a="1"/>
  <c r="I52" i="1" a="1"/>
  <c r="J22" i="1" a="1"/>
  <c r="S21" i="1" a="1"/>
  <c r="G43" i="1" a="1"/>
  <c r="S28" i="1" a="1"/>
  <c r="G17" i="1" a="1"/>
  <c r="I17" i="1" a="1"/>
  <c r="R38" i="1" a="1"/>
  <c r="D66" i="1" a="1"/>
  <c r="D37" i="1" a="1"/>
  <c r="J38" i="1" a="1"/>
  <c r="K18" i="1" a="1"/>
  <c r="P9" i="1" a="1"/>
  <c r="Y46" i="1" a="1"/>
  <c r="W24" i="1" a="1"/>
  <c r="L68" i="1" a="1"/>
  <c r="W26" i="1" a="1"/>
  <c r="C46" i="1" a="1"/>
  <c r="Z27" i="1" a="1"/>
  <c r="Q8" i="1" a="1"/>
  <c r="M36" i="1" a="1"/>
  <c r="H66" i="1" a="1"/>
  <c r="G42" i="1" a="1"/>
  <c r="H25" i="1" a="1"/>
  <c r="L52" i="1" a="1"/>
  <c r="P69" i="1" a="1"/>
  <c r="N36" i="1" a="1"/>
  <c r="R21" i="1" a="1"/>
  <c r="N41" i="1" a="1"/>
  <c r="D8" i="1" a="1"/>
  <c r="G27" i="1" a="1"/>
  <c r="K21" i="1" a="1"/>
  <c r="Q26" i="1" a="1"/>
  <c r="K42" i="1" a="1"/>
  <c r="M69" i="1" a="1"/>
  <c r="D46" i="1" a="1"/>
  <c r="Z52" i="1" a="1"/>
  <c r="D43" i="1" a="1"/>
  <c r="R53" i="1" a="1"/>
  <c r="O38" i="1" a="1"/>
  <c r="G8" i="1" a="1"/>
  <c r="P68" i="1" a="1"/>
  <c r="K46" i="1" a="1"/>
  <c r="L69" i="1" a="1"/>
  <c r="W42" i="1" a="1"/>
  <c r="Z51" i="1" a="1"/>
  <c r="V21" i="1" a="1"/>
  <c r="G26" i="1" a="1"/>
  <c r="Z38" i="1" a="1"/>
  <c r="U43" i="1" a="1"/>
  <c r="X52" i="1" a="1"/>
  <c r="D14" i="1" a="1"/>
  <c r="N21" i="1" a="1"/>
  <c r="R43" i="1" a="1"/>
  <c r="C32" i="1" a="1"/>
  <c r="D22" i="1" a="1"/>
  <c r="R32" i="1" a="1"/>
  <c r="U46" i="1" a="1"/>
  <c r="R66" i="1" a="1"/>
  <c r="Q41" i="1" a="1"/>
  <c r="Q28" i="1" a="1"/>
  <c r="U41" i="1" a="1"/>
  <c r="M9" i="1" a="1"/>
  <c r="S38" i="1" a="1"/>
  <c r="Z18" i="1" a="1"/>
  <c r="D51" i="1" a="1"/>
  <c r="E38" i="1" a="1"/>
  <c r="F32" i="1" a="1"/>
  <c r="K66" i="1" a="1"/>
  <c r="D68" i="1" a="1"/>
  <c r="X14" i="1" a="1"/>
  <c r="R37" i="1" a="1"/>
  <c r="Z25" i="1" a="1"/>
  <c r="J51" i="1" a="1"/>
  <c r="I31" i="1" a="1"/>
  <c r="W51" i="1" a="1"/>
  <c r="O66" i="1" a="1"/>
  <c r="M51" i="1" a="1"/>
  <c r="G22" i="1" a="1"/>
  <c r="X27" i="1" a="1"/>
  <c r="V36" i="1" a="1"/>
  <c r="F18" i="1" a="1"/>
  <c r="R46" i="1" a="1"/>
  <c r="J17" i="1" a="1"/>
  <c r="X42" i="1" a="1"/>
  <c r="K8" i="1" a="1"/>
  <c r="K69" i="1" a="1"/>
  <c r="H27" i="1" a="1"/>
  <c r="T32" i="1" a="1"/>
  <c r="Z31" i="1" a="1"/>
  <c r="B38" i="1" a="1"/>
  <c r="Y31" i="1" a="1"/>
  <c r="O52" i="1" a="1"/>
  <c r="T38" i="1" a="1"/>
  <c r="Q37" i="1" a="1"/>
  <c r="W38" i="1" a="1"/>
  <c r="Z68" i="1" a="1"/>
  <c r="Q69" i="1" a="1"/>
  <c r="B34" i="1" a="1"/>
  <c r="B43" i="1" a="1"/>
  <c r="O24" i="1" a="1"/>
  <c r="H53" i="1" a="1"/>
  <c r="V27" i="1" a="1"/>
  <c r="P21" i="1" a="1"/>
  <c r="E31" i="1" a="1"/>
  <c r="J32" i="1" a="1"/>
  <c r="X22" i="1" a="1"/>
  <c r="D9" i="1" a="1"/>
  <c r="T46" i="1" a="1"/>
  <c r="D53" i="1" a="1"/>
  <c r="J41" i="1" a="1"/>
  <c r="B28" i="1" a="1"/>
  <c r="M25" i="1" a="1"/>
  <c r="U36" i="1" a="1"/>
  <c r="D42" i="1" a="1"/>
  <c r="M21" i="1" a="1"/>
  <c r="N18" i="1" a="1"/>
  <c r="E52" i="1" a="1"/>
  <c r="R28" i="1" a="1"/>
  <c r="G41" i="1" a="1"/>
  <c r="V43" i="1" a="1"/>
  <c r="K36" i="1" a="1"/>
  <c r="H9" i="1" a="1"/>
  <c r="H37" i="1" a="1"/>
  <c r="W41" i="1" a="1"/>
  <c r="L37" i="1" a="1"/>
  <c r="W21" i="1" a="1"/>
  <c r="T43" i="1" a="1"/>
  <c r="R26" i="1" a="1"/>
  <c r="V69" i="1" a="1"/>
  <c r="X32" i="1" a="1"/>
  <c r="L17" i="1" a="1"/>
  <c r="Z9" i="1" a="1"/>
  <c r="Y43" i="1" a="1"/>
  <c r="O28" i="1" a="1"/>
  <c r="J14" i="1" a="1"/>
  <c r="T21" i="1" a="1"/>
  <c r="M52" i="1" a="1"/>
  <c r="N26" i="1" a="1"/>
  <c r="W36" i="1" a="1"/>
  <c r="S41" i="1" a="1"/>
  <c r="V32" i="1" a="1"/>
  <c r="V9" i="1" a="1"/>
  <c r="L36" i="1" a="1"/>
  <c r="S37" i="1" a="1"/>
  <c r="O36" i="1" a="1"/>
  <c r="G18" i="1" a="1"/>
  <c r="F43" i="1" a="1"/>
  <c r="R25" i="1" a="1"/>
  <c r="E69" i="1" a="1"/>
  <c r="I32" i="1" a="1"/>
  <c r="P17" i="1" a="1"/>
  <c r="I27" i="1" a="1"/>
  <c r="R42" i="1" a="1"/>
  <c r="T26" i="1" a="1"/>
  <c r="C8" i="1" a="1"/>
  <c r="C21" i="1" a="1"/>
  <c r="P52" i="1" a="1"/>
  <c r="H68" i="1" a="1"/>
  <c r="O68" i="1" a="1"/>
  <c r="N9" i="1" a="1"/>
  <c r="S18" i="1" a="1"/>
  <c r="Y21" i="1" a="1"/>
  <c r="E18" i="1" a="1"/>
  <c r="N43" i="1" a="1"/>
  <c r="M14" i="1" a="1"/>
  <c r="Q27" i="1" a="1"/>
  <c r="S26" i="1" a="1"/>
  <c r="D28" i="1" a="1"/>
  <c r="H24" i="1" a="1"/>
  <c r="W34" i="1" a="1"/>
  <c r="B31" i="1" a="1"/>
  <c r="U8" i="1" a="1"/>
  <c r="Z69" i="1" a="1"/>
  <c r="Z17" i="1" a="1"/>
  <c r="P42" i="1" a="1"/>
  <c r="W52" i="1" a="1"/>
  <c r="F14" i="1" a="1"/>
  <c r="Z41" i="1" a="1"/>
  <c r="F8" i="1" a="1"/>
  <c r="D38" i="1" a="1"/>
  <c r="P36" i="1" a="1"/>
  <c r="X9" i="1" a="1"/>
  <c r="C27" i="1" a="1"/>
  <c r="W66" i="1" a="1"/>
  <c r="E11" i="1" a="1"/>
  <c r="O22" i="1" a="1"/>
  <c r="G51" i="1" a="1"/>
  <c r="Z34" i="1" a="1"/>
  <c r="X11" i="1" a="1"/>
  <c r="W32" i="1" a="1"/>
  <c r="G46" i="1" a="1"/>
  <c r="B46" i="1" a="1"/>
  <c r="O31" i="1" a="1"/>
  <c r="E34" i="1" a="1"/>
  <c r="V34" i="1" a="1"/>
  <c r="R24" i="1" a="1"/>
  <c r="C31" i="1" a="1"/>
  <c r="O18" i="1" a="1"/>
  <c r="K26" i="1" a="1"/>
  <c r="G66" i="1" a="1"/>
  <c r="M42" i="1" a="1"/>
  <c r="K51" i="1" a="1"/>
  <c r="T18" i="1" a="1"/>
  <c r="N8" i="1" a="1"/>
  <c r="T68" i="1" a="1"/>
  <c r="D25" i="1" a="1"/>
  <c r="L43" i="1" a="1"/>
  <c r="L31" i="1" a="1"/>
  <c r="R69" i="1" a="1"/>
  <c r="T52" i="1" a="1"/>
  <c r="B9" i="1" a="1"/>
  <c r="M18" i="1" a="1"/>
  <c r="P22" i="32" l="1"/>
  <c r="P16" i="32"/>
  <c r="P10" i="32"/>
  <c r="P9" i="32"/>
  <c r="D17" i="32"/>
  <c r="D5" i="32"/>
  <c r="D25" i="32"/>
  <c r="D30" i="32"/>
  <c r="D16" i="32"/>
  <c r="P31" i="32"/>
  <c r="P25" i="32"/>
  <c r="P19" i="32"/>
  <c r="P13" i="32"/>
  <c r="P7" i="32"/>
  <c r="D21" i="32"/>
  <c r="D32" i="32"/>
  <c r="D9" i="32"/>
  <c r="D19" i="32"/>
  <c r="D14" i="32"/>
  <c r="P4" i="32"/>
  <c r="H4" i="32"/>
  <c r="D23" i="32"/>
  <c r="H14" i="32"/>
  <c r="D13" i="32"/>
  <c r="D22" i="32"/>
  <c r="D33" i="32"/>
  <c r="H33" i="32"/>
  <c r="H27" i="32"/>
  <c r="D12" i="32"/>
  <c r="D27" i="32"/>
  <c r="H11" i="32"/>
  <c r="D34" i="32"/>
  <c r="H22" i="32"/>
  <c r="D24" i="32"/>
  <c r="D18" i="32"/>
  <c r="H23" i="32"/>
  <c r="D4" i="32"/>
  <c r="H34" i="32"/>
  <c r="D10" i="32"/>
  <c r="D20" i="32"/>
  <c r="H31" i="32"/>
  <c r="H25" i="32"/>
  <c r="H19" i="32"/>
  <c r="D8" i="32"/>
  <c r="H7" i="32"/>
  <c r="D29" i="32"/>
  <c r="AC403" i="33"/>
  <c r="AC379" i="33"/>
  <c r="AC362" i="33"/>
  <c r="M310" i="33"/>
  <c r="AC250" i="33"/>
  <c r="AC217" i="33"/>
  <c r="AC199" i="33"/>
  <c r="AC167" i="33"/>
  <c r="AC55" i="33"/>
  <c r="AC37" i="33"/>
  <c r="AC20" i="33"/>
  <c r="AC14" i="33"/>
  <c r="AC8" i="33"/>
  <c r="AC52" i="33"/>
  <c r="AC373" i="33"/>
  <c r="AC262" i="33"/>
  <c r="AC205" i="33"/>
  <c r="AC172" i="33"/>
  <c r="AC61" i="33"/>
  <c r="AC49" i="33"/>
  <c r="AC31" i="33"/>
  <c r="AC11" i="33"/>
  <c r="AC204" i="33"/>
  <c r="AC203" i="33"/>
  <c r="AC59" i="33"/>
  <c r="AC41" i="33"/>
  <c r="AC16" i="33"/>
  <c r="AC10" i="33"/>
  <c r="AC402" i="33"/>
  <c r="AC276" i="33"/>
  <c r="AC253" i="33"/>
  <c r="AC202" i="33"/>
  <c r="AC40" i="33"/>
  <c r="AC364" i="33"/>
  <c r="AC275" i="33"/>
  <c r="AC252" i="33"/>
  <c r="AC219" i="33"/>
  <c r="AC169" i="33"/>
  <c r="AC39" i="33"/>
  <c r="AC15" i="33"/>
  <c r="AC9" i="33"/>
  <c r="I342" i="33"/>
  <c r="AC218" i="33"/>
  <c r="AC56" i="33"/>
  <c r="AC378" i="33"/>
  <c r="AC361" i="33"/>
  <c r="L310" i="33"/>
  <c r="AC267" i="33"/>
  <c r="AC249" i="33"/>
  <c r="AC216" i="33"/>
  <c r="AC198" i="33"/>
  <c r="AC166" i="33"/>
  <c r="AC54" i="33"/>
  <c r="AC36" i="33"/>
  <c r="AC53" i="33"/>
  <c r="AC35" i="33"/>
  <c r="AC13" i="33"/>
  <c r="AC376" i="33"/>
  <c r="L309" i="33"/>
  <c r="AC265" i="33"/>
  <c r="AC247" i="33"/>
  <c r="AC214" i="33"/>
  <c r="L308" i="33"/>
  <c r="AC174" i="33"/>
  <c r="AC33" i="33"/>
  <c r="AC12" i="33"/>
  <c r="AC405" i="33"/>
  <c r="AC358" i="33"/>
  <c r="AC280" i="33"/>
  <c r="AC245" i="33"/>
  <c r="AC277" i="33"/>
  <c r="AC29" i="33"/>
  <c r="AC365" i="33"/>
  <c r="I344" i="33"/>
  <c r="AC170" i="33"/>
  <c r="AC200" i="33"/>
  <c r="AC377" i="33"/>
  <c r="AC360" i="33"/>
  <c r="M309" i="33"/>
  <c r="AC266" i="33"/>
  <c r="AC248" i="33"/>
  <c r="AC215" i="33"/>
  <c r="AC165" i="33"/>
  <c r="AC19" i="33"/>
  <c r="AC175" i="33"/>
  <c r="AC34" i="33"/>
  <c r="AC406" i="33"/>
  <c r="AC375" i="33"/>
  <c r="AC359" i="33"/>
  <c r="AC264" i="33"/>
  <c r="AC246" i="33"/>
  <c r="AC213" i="33"/>
  <c r="AC63" i="33"/>
  <c r="AC51" i="33"/>
  <c r="AC18" i="33"/>
  <c r="AC374" i="33"/>
  <c r="AC263" i="33"/>
  <c r="AC173" i="33"/>
  <c r="AC62" i="33"/>
  <c r="AC50" i="33"/>
  <c r="AC32" i="33"/>
  <c r="AC404" i="33"/>
  <c r="AC279" i="33"/>
  <c r="AC17" i="33"/>
  <c r="AC372" i="33"/>
  <c r="AC357" i="33"/>
  <c r="AC278" i="33"/>
  <c r="AC171" i="33"/>
  <c r="AC60" i="33"/>
  <c r="AC30" i="33"/>
  <c r="AC221" i="33"/>
  <c r="AC220" i="33"/>
  <c r="AC58" i="33"/>
  <c r="AC28" i="33"/>
  <c r="AC401" i="33"/>
  <c r="I343" i="33"/>
  <c r="AC201" i="33"/>
  <c r="AC57" i="33"/>
  <c r="AC363" i="33"/>
  <c r="AC274" i="33"/>
  <c r="AC251" i="33"/>
  <c r="AC168" i="33"/>
  <c r="AC38" i="33"/>
  <c r="F69" i="1"/>
  <c r="X69" i="1"/>
  <c r="M69" i="1"/>
  <c r="Y69" i="1"/>
  <c r="H69" i="1"/>
  <c r="T69" i="1"/>
  <c r="O69" i="1"/>
  <c r="D69" i="1"/>
  <c r="P69" i="1"/>
  <c r="E69" i="1"/>
  <c r="K69" i="1"/>
  <c r="W69" i="1"/>
  <c r="R69" i="1"/>
  <c r="G69" i="1"/>
  <c r="S69" i="1"/>
  <c r="B69" i="1"/>
  <c r="N69" i="1"/>
  <c r="C69" i="1"/>
  <c r="I69" i="1"/>
  <c r="U69" i="1"/>
  <c r="J69" i="1"/>
  <c r="V69" i="1"/>
  <c r="Q69" i="1"/>
  <c r="L69" i="1"/>
  <c r="Z69" i="1"/>
  <c r="H53" i="1"/>
  <c r="D53" i="1"/>
  <c r="N53" i="1"/>
  <c r="R53" i="1"/>
  <c r="S53" i="1"/>
  <c r="B53" i="1"/>
  <c r="T53" i="1"/>
  <c r="Z53" i="1"/>
  <c r="X51" i="1"/>
  <c r="S51" i="1"/>
  <c r="B51" i="1"/>
  <c r="T51" i="1"/>
  <c r="D51" i="1"/>
  <c r="P51" i="1"/>
  <c r="E51" i="1"/>
  <c r="K51" i="1"/>
  <c r="W51" i="1"/>
  <c r="R51" i="1"/>
  <c r="G51" i="1"/>
  <c r="Y51" i="1"/>
  <c r="H51" i="1"/>
  <c r="Z51" i="1"/>
  <c r="C51" i="1"/>
  <c r="J51" i="1"/>
  <c r="V51" i="1"/>
  <c r="Q51" i="1"/>
  <c r="F51" i="1"/>
  <c r="L51" i="1"/>
  <c r="M51" i="1"/>
  <c r="N51" i="1"/>
  <c r="I51" i="1"/>
  <c r="O51" i="1"/>
  <c r="U51" i="1"/>
  <c r="F52" i="1"/>
  <c r="L52" i="1"/>
  <c r="M52" i="1"/>
  <c r="B52" i="1"/>
  <c r="T52" i="1"/>
  <c r="I52" i="1"/>
  <c r="U52" i="1"/>
  <c r="D52" i="1"/>
  <c r="P52" i="1"/>
  <c r="V52" i="1"/>
  <c r="R52" i="1"/>
  <c r="G52" i="1"/>
  <c r="N52" i="1"/>
  <c r="O52" i="1"/>
  <c r="E52" i="1"/>
  <c r="K52" i="1"/>
  <c r="W52" i="1"/>
  <c r="X52" i="1"/>
  <c r="S52" i="1"/>
  <c r="H52" i="1"/>
  <c r="Z52" i="1"/>
  <c r="C52" i="1"/>
  <c r="J52" i="1"/>
  <c r="Q52" i="1"/>
  <c r="Y52" i="1"/>
  <c r="P46" i="1"/>
  <c r="E46" i="1"/>
  <c r="W46" i="1"/>
  <c r="F46" i="1"/>
  <c r="L46" i="1"/>
  <c r="R46" i="1"/>
  <c r="X46" i="1"/>
  <c r="D46" i="1"/>
  <c r="V46" i="1"/>
  <c r="K46" i="1"/>
  <c r="Q46" i="1"/>
  <c r="G46" i="1"/>
  <c r="M46" i="1"/>
  <c r="S46" i="1"/>
  <c r="Y46" i="1"/>
  <c r="J46" i="1"/>
  <c r="B46" i="1"/>
  <c r="H46" i="1"/>
  <c r="N46" i="1"/>
  <c r="T46" i="1"/>
  <c r="Z46" i="1"/>
  <c r="C46" i="1"/>
  <c r="I46" i="1"/>
  <c r="O46" i="1"/>
  <c r="U46" i="1"/>
  <c r="N68" i="1"/>
  <c r="O68" i="1"/>
  <c r="D68" i="1"/>
  <c r="P68" i="1"/>
  <c r="E68" i="1"/>
  <c r="K68" i="1"/>
  <c r="Q68" i="1"/>
  <c r="W68" i="1"/>
  <c r="C68" i="1"/>
  <c r="H68" i="1"/>
  <c r="Z68" i="1"/>
  <c r="I68" i="1"/>
  <c r="J68" i="1"/>
  <c r="V68" i="1"/>
  <c r="F68" i="1"/>
  <c r="L68" i="1"/>
  <c r="R68" i="1"/>
  <c r="X68" i="1"/>
  <c r="B68" i="1"/>
  <c r="G68" i="1"/>
  <c r="M68" i="1"/>
  <c r="S68" i="1"/>
  <c r="Y68" i="1"/>
  <c r="T68" i="1"/>
  <c r="U68" i="1"/>
  <c r="M43" i="1"/>
  <c r="M47" i="1" s="1"/>
  <c r="I43" i="1"/>
  <c r="I47" i="1" s="1"/>
  <c r="U43" i="1"/>
  <c r="U47" i="1" s="1"/>
  <c r="D43" i="1"/>
  <c r="D47" i="1" s="1"/>
  <c r="V43" i="1"/>
  <c r="V47" i="1" s="1"/>
  <c r="E43" i="1"/>
  <c r="E47" i="1" s="1"/>
  <c r="K43" i="1"/>
  <c r="K47" i="1" s="1"/>
  <c r="Q43" i="1"/>
  <c r="Q47" i="1" s="1"/>
  <c r="W43" i="1"/>
  <c r="W47" i="1" s="1"/>
  <c r="Y43" i="1"/>
  <c r="Y47" i="1" s="1"/>
  <c r="P43" i="1"/>
  <c r="P47" i="1" s="1"/>
  <c r="F43" i="1"/>
  <c r="F47" i="1" s="1"/>
  <c r="R43" i="1"/>
  <c r="R47" i="1" s="1"/>
  <c r="X43" i="1"/>
  <c r="X47" i="1" s="1"/>
  <c r="G43" i="1"/>
  <c r="G47" i="1" s="1"/>
  <c r="S43" i="1"/>
  <c r="S47" i="1" s="1"/>
  <c r="C43" i="1"/>
  <c r="C47" i="1" s="1"/>
  <c r="O43" i="1"/>
  <c r="O47" i="1" s="1"/>
  <c r="J43" i="1"/>
  <c r="J47" i="1" s="1"/>
  <c r="L43" i="1"/>
  <c r="L47" i="1" s="1"/>
  <c r="B43" i="1"/>
  <c r="B47" i="1" s="1"/>
  <c r="H43" i="1"/>
  <c r="H47" i="1" s="1"/>
  <c r="N43" i="1"/>
  <c r="N47" i="1" s="1"/>
  <c r="T43" i="1"/>
  <c r="T47" i="1" s="1"/>
  <c r="Z43" i="1"/>
  <c r="Z47" i="1" s="1"/>
  <c r="W42" i="1"/>
  <c r="D42" i="1"/>
  <c r="P42" i="1"/>
  <c r="E42" i="1"/>
  <c r="K42" i="1"/>
  <c r="F42" i="1"/>
  <c r="X42" i="1"/>
  <c r="J42" i="1"/>
  <c r="V42" i="1"/>
  <c r="Q42" i="1"/>
  <c r="L42" i="1"/>
  <c r="R42" i="1"/>
  <c r="G42" i="1"/>
  <c r="M42" i="1"/>
  <c r="S42" i="1"/>
  <c r="Y42" i="1"/>
  <c r="B42" i="1"/>
  <c r="H42" i="1"/>
  <c r="N42" i="1"/>
  <c r="T42" i="1"/>
  <c r="Z42" i="1"/>
  <c r="C42" i="1"/>
  <c r="I42" i="1"/>
  <c r="O42" i="1"/>
  <c r="U42" i="1"/>
  <c r="L41" i="1"/>
  <c r="M41" i="1"/>
  <c r="I41" i="1"/>
  <c r="U41" i="1"/>
  <c r="D41" i="1"/>
  <c r="P41" i="1"/>
  <c r="E41" i="1"/>
  <c r="K41" i="1"/>
  <c r="W41" i="1"/>
  <c r="F41" i="1"/>
  <c r="X41" i="1"/>
  <c r="G41" i="1"/>
  <c r="Y41" i="1"/>
  <c r="C41" i="1"/>
  <c r="O41" i="1"/>
  <c r="J41" i="1"/>
  <c r="V41" i="1"/>
  <c r="Q41" i="1"/>
  <c r="R41" i="1"/>
  <c r="S41" i="1"/>
  <c r="B41" i="1"/>
  <c r="H41" i="1"/>
  <c r="N41" i="1"/>
  <c r="T41" i="1"/>
  <c r="Z41" i="1"/>
  <c r="T38" i="1"/>
  <c r="I38" i="1"/>
  <c r="O38" i="1"/>
  <c r="P38" i="1"/>
  <c r="E38" i="1"/>
  <c r="K38" i="1"/>
  <c r="Q38" i="1"/>
  <c r="W38" i="1"/>
  <c r="Z38" i="1"/>
  <c r="U38" i="1"/>
  <c r="V38" i="1"/>
  <c r="H38" i="1"/>
  <c r="C38" i="1"/>
  <c r="J38" i="1"/>
  <c r="F38" i="1"/>
  <c r="L38" i="1"/>
  <c r="R38" i="1"/>
  <c r="X38" i="1"/>
  <c r="N38" i="1"/>
  <c r="D38" i="1"/>
  <c r="B38" i="1"/>
  <c r="G38" i="1"/>
  <c r="M38" i="1"/>
  <c r="S38" i="1"/>
  <c r="Y38" i="1"/>
  <c r="S37" i="1"/>
  <c r="H37" i="1"/>
  <c r="U37" i="1"/>
  <c r="J37" i="1"/>
  <c r="K37" i="1"/>
  <c r="W37" i="1"/>
  <c r="M37" i="1"/>
  <c r="N37" i="1"/>
  <c r="C37" i="1"/>
  <c r="D37" i="1"/>
  <c r="V37" i="1"/>
  <c r="E37" i="1"/>
  <c r="Q37" i="1"/>
  <c r="G37" i="1"/>
  <c r="T37" i="1"/>
  <c r="F37" i="1"/>
  <c r="Y37" i="1"/>
  <c r="B37" i="1"/>
  <c r="O37" i="1"/>
  <c r="P37" i="1"/>
  <c r="L37" i="1"/>
  <c r="R37" i="1"/>
  <c r="X37" i="1"/>
  <c r="Z37" i="1"/>
  <c r="I37" i="1"/>
  <c r="G36" i="1"/>
  <c r="B36" i="1"/>
  <c r="J36" i="1"/>
  <c r="E36" i="1"/>
  <c r="K36" i="1"/>
  <c r="W36" i="1"/>
  <c r="Y36" i="1"/>
  <c r="N36" i="1"/>
  <c r="V36" i="1"/>
  <c r="Q36" i="1"/>
  <c r="M36" i="1"/>
  <c r="H36" i="1"/>
  <c r="D36" i="1"/>
  <c r="P36" i="1"/>
  <c r="F36" i="1"/>
  <c r="L36" i="1"/>
  <c r="R36" i="1"/>
  <c r="X36" i="1"/>
  <c r="Z36" i="1"/>
  <c r="S36" i="1"/>
  <c r="T36" i="1"/>
  <c r="C36" i="1"/>
  <c r="I36" i="1"/>
  <c r="O36" i="1"/>
  <c r="U36" i="1"/>
  <c r="S34" i="1"/>
  <c r="S33" i="1" s="1"/>
  <c r="S35" i="1" s="1"/>
  <c r="Z34" i="1"/>
  <c r="Z33" i="1" s="1"/>
  <c r="Z35" i="1" s="1"/>
  <c r="C34" i="1"/>
  <c r="C33" i="1" s="1"/>
  <c r="C35" i="1" s="1"/>
  <c r="O34" i="1"/>
  <c r="O33" i="1" s="1"/>
  <c r="O35" i="1" s="1"/>
  <c r="J34" i="1"/>
  <c r="J33" i="1" s="1"/>
  <c r="J35" i="1" s="1"/>
  <c r="E34" i="1"/>
  <c r="E33" i="1" s="1"/>
  <c r="E35" i="1" s="1"/>
  <c r="K34" i="1"/>
  <c r="K33" i="1" s="1"/>
  <c r="K35" i="1" s="1"/>
  <c r="W34" i="1"/>
  <c r="W33" i="1" s="1"/>
  <c r="W35" i="1" s="1"/>
  <c r="G34" i="1"/>
  <c r="G33" i="1" s="1"/>
  <c r="G35" i="1" s="1"/>
  <c r="M34" i="1"/>
  <c r="M33" i="1" s="1"/>
  <c r="M35" i="1" s="1"/>
  <c r="B34" i="1"/>
  <c r="B33" i="1" s="1"/>
  <c r="B35" i="1" s="1"/>
  <c r="T34" i="1"/>
  <c r="T33" i="1" s="1"/>
  <c r="T35" i="1" s="1"/>
  <c r="V34" i="1"/>
  <c r="V33" i="1" s="1"/>
  <c r="V35" i="1" s="1"/>
  <c r="Q34" i="1"/>
  <c r="Q33" i="1" s="1"/>
  <c r="Q35" i="1" s="1"/>
  <c r="Y34" i="1"/>
  <c r="Y33" i="1" s="1"/>
  <c r="Y35" i="1" s="1"/>
  <c r="H34" i="1"/>
  <c r="H33" i="1" s="1"/>
  <c r="H35" i="1" s="1"/>
  <c r="N34" i="1"/>
  <c r="N33" i="1" s="1"/>
  <c r="N35" i="1" s="1"/>
  <c r="I34" i="1"/>
  <c r="I33" i="1" s="1"/>
  <c r="I35" i="1" s="1"/>
  <c r="U34" i="1"/>
  <c r="U33" i="1" s="1"/>
  <c r="U35" i="1" s="1"/>
  <c r="D34" i="1"/>
  <c r="D33" i="1" s="1"/>
  <c r="D35" i="1" s="1"/>
  <c r="P34" i="1"/>
  <c r="P33" i="1" s="1"/>
  <c r="P35" i="1" s="1"/>
  <c r="F34" i="1"/>
  <c r="F33" i="1" s="1"/>
  <c r="F35" i="1" s="1"/>
  <c r="L34" i="1"/>
  <c r="L33" i="1" s="1"/>
  <c r="L35" i="1" s="1"/>
  <c r="R34" i="1"/>
  <c r="R33" i="1" s="1"/>
  <c r="R35" i="1" s="1"/>
  <c r="X34" i="1"/>
  <c r="X33" i="1" s="1"/>
  <c r="X35" i="1" s="1"/>
  <c r="S32" i="1"/>
  <c r="T32" i="1"/>
  <c r="C32" i="1"/>
  <c r="O32" i="1"/>
  <c r="D32" i="1"/>
  <c r="J32" i="1"/>
  <c r="P32" i="1"/>
  <c r="V32" i="1"/>
  <c r="G32" i="1"/>
  <c r="Y32" i="1"/>
  <c r="Z32" i="1"/>
  <c r="I32" i="1"/>
  <c r="U32" i="1"/>
  <c r="E32" i="1"/>
  <c r="K32" i="1"/>
  <c r="Q32" i="1"/>
  <c r="W32" i="1"/>
  <c r="H32" i="1"/>
  <c r="M32" i="1"/>
  <c r="B32" i="1"/>
  <c r="F32" i="1"/>
  <c r="L32" i="1"/>
  <c r="R32" i="1"/>
  <c r="X32" i="1"/>
  <c r="N32" i="1"/>
  <c r="Y31" i="1"/>
  <c r="N31" i="1"/>
  <c r="C31" i="1"/>
  <c r="J31" i="1"/>
  <c r="V31" i="1"/>
  <c r="K31" i="1"/>
  <c r="Q31" i="1"/>
  <c r="W31" i="1"/>
  <c r="M31" i="1"/>
  <c r="B31" i="1"/>
  <c r="T31" i="1"/>
  <c r="I31" i="1"/>
  <c r="U31" i="1"/>
  <c r="P31" i="1"/>
  <c r="E31" i="1"/>
  <c r="G31" i="1"/>
  <c r="S31" i="1"/>
  <c r="H31" i="1"/>
  <c r="Z31" i="1"/>
  <c r="O31" i="1"/>
  <c r="D31" i="1"/>
  <c r="F31" i="1"/>
  <c r="L31" i="1"/>
  <c r="R31" i="1"/>
  <c r="X31" i="1"/>
  <c r="W28" i="1"/>
  <c r="H28" i="1"/>
  <c r="Z28" i="1"/>
  <c r="O28" i="1"/>
  <c r="J28" i="1"/>
  <c r="Q28" i="1"/>
  <c r="N28" i="1"/>
  <c r="C28" i="1"/>
  <c r="V28" i="1"/>
  <c r="E28" i="1"/>
  <c r="K28" i="1"/>
  <c r="F28" i="1"/>
  <c r="L28" i="1"/>
  <c r="R28" i="1"/>
  <c r="X28" i="1"/>
  <c r="B28" i="1"/>
  <c r="T28" i="1"/>
  <c r="I28" i="1"/>
  <c r="U28" i="1"/>
  <c r="D28" i="1"/>
  <c r="P28" i="1"/>
  <c r="G28" i="1"/>
  <c r="M28" i="1"/>
  <c r="S28" i="1"/>
  <c r="Y28" i="1"/>
  <c r="H27" i="1"/>
  <c r="I27" i="1"/>
  <c r="D27" i="1"/>
  <c r="P27" i="1"/>
  <c r="E27" i="1"/>
  <c r="K27" i="1"/>
  <c r="Q27" i="1"/>
  <c r="W27" i="1"/>
  <c r="T27" i="1"/>
  <c r="C27" i="1"/>
  <c r="V27" i="1"/>
  <c r="B27" i="1"/>
  <c r="N27" i="1"/>
  <c r="O27" i="1"/>
  <c r="U27" i="1"/>
  <c r="J27" i="1"/>
  <c r="F27" i="1"/>
  <c r="L27" i="1"/>
  <c r="R27" i="1"/>
  <c r="X27" i="1"/>
  <c r="Z27" i="1"/>
  <c r="G27" i="1"/>
  <c r="M27" i="1"/>
  <c r="S27" i="1"/>
  <c r="Y27" i="1"/>
  <c r="P26" i="1"/>
  <c r="E26" i="1"/>
  <c r="Q26" i="1"/>
  <c r="W26" i="1"/>
  <c r="J26" i="1"/>
  <c r="D26" i="1"/>
  <c r="V26" i="1"/>
  <c r="K26" i="1"/>
  <c r="F26" i="1"/>
  <c r="L26" i="1"/>
  <c r="R26" i="1"/>
  <c r="X26" i="1"/>
  <c r="G26" i="1"/>
  <c r="M26" i="1"/>
  <c r="S26" i="1"/>
  <c r="Y26" i="1"/>
  <c r="B26" i="1"/>
  <c r="H26" i="1"/>
  <c r="N26" i="1"/>
  <c r="T26" i="1"/>
  <c r="Z26" i="1"/>
  <c r="C26" i="1"/>
  <c r="I26" i="1"/>
  <c r="O26" i="1"/>
  <c r="U26" i="1"/>
  <c r="S25" i="1"/>
  <c r="N25" i="1"/>
  <c r="C25" i="1"/>
  <c r="D25" i="1"/>
  <c r="J25" i="1"/>
  <c r="E25" i="1"/>
  <c r="W25" i="1"/>
  <c r="G25" i="1"/>
  <c r="M25" i="1"/>
  <c r="H25" i="1"/>
  <c r="Z25" i="1"/>
  <c r="U25" i="1"/>
  <c r="V25" i="1"/>
  <c r="K25" i="1"/>
  <c r="Q25" i="1"/>
  <c r="Y25" i="1"/>
  <c r="B25" i="1"/>
  <c r="T25" i="1"/>
  <c r="I25" i="1"/>
  <c r="O25" i="1"/>
  <c r="P25" i="1"/>
  <c r="F25" i="1"/>
  <c r="L25" i="1"/>
  <c r="R25" i="1"/>
  <c r="X25" i="1"/>
  <c r="I24" i="1"/>
  <c r="J24" i="1"/>
  <c r="P24" i="1"/>
  <c r="V24" i="1"/>
  <c r="C24" i="1"/>
  <c r="U24" i="1"/>
  <c r="E24" i="1"/>
  <c r="W24" i="1"/>
  <c r="O24" i="1"/>
  <c r="D24" i="1"/>
  <c r="K24" i="1"/>
  <c r="Q24" i="1"/>
  <c r="F24" i="1"/>
  <c r="R24" i="1"/>
  <c r="M24" i="1"/>
  <c r="S24" i="1"/>
  <c r="Y24" i="1"/>
  <c r="L24" i="1"/>
  <c r="X24" i="1"/>
  <c r="G24" i="1"/>
  <c r="B24" i="1"/>
  <c r="H24" i="1"/>
  <c r="N24" i="1"/>
  <c r="T24" i="1"/>
  <c r="Z24" i="1"/>
  <c r="P22" i="1"/>
  <c r="E22" i="1"/>
  <c r="W22" i="1"/>
  <c r="F22" i="1"/>
  <c r="L22" i="1"/>
  <c r="R22" i="1"/>
  <c r="X22" i="1"/>
  <c r="J22" i="1"/>
  <c r="K22" i="1"/>
  <c r="M22" i="1"/>
  <c r="Y22" i="1"/>
  <c r="H22" i="1"/>
  <c r="I22" i="1"/>
  <c r="D22" i="1"/>
  <c r="V22" i="1"/>
  <c r="Q22" i="1"/>
  <c r="G22" i="1"/>
  <c r="S22" i="1"/>
  <c r="B22" i="1"/>
  <c r="N22" i="1"/>
  <c r="T22" i="1"/>
  <c r="Z22" i="1"/>
  <c r="C22" i="1"/>
  <c r="O22" i="1"/>
  <c r="U22" i="1"/>
  <c r="D21" i="1"/>
  <c r="C21" i="1"/>
  <c r="U21" i="1"/>
  <c r="V21" i="1"/>
  <c r="E21" i="1"/>
  <c r="K21" i="1"/>
  <c r="Q21" i="1"/>
  <c r="W21" i="1"/>
  <c r="P21" i="1"/>
  <c r="X21" i="1"/>
  <c r="O21" i="1"/>
  <c r="J21" i="1"/>
  <c r="F21" i="1"/>
  <c r="L21" i="1"/>
  <c r="R21" i="1"/>
  <c r="B21" i="1"/>
  <c r="Z21" i="1"/>
  <c r="I21" i="1"/>
  <c r="G21" i="1"/>
  <c r="M21" i="1"/>
  <c r="S21" i="1"/>
  <c r="Y21" i="1"/>
  <c r="H21" i="1"/>
  <c r="N21" i="1"/>
  <c r="T21" i="1"/>
  <c r="N18" i="1"/>
  <c r="J18" i="1"/>
  <c r="V18" i="1"/>
  <c r="K18" i="1"/>
  <c r="Q18" i="1"/>
  <c r="W18" i="1"/>
  <c r="B18" i="1"/>
  <c r="I18" i="1"/>
  <c r="U18" i="1"/>
  <c r="P18" i="1"/>
  <c r="E18" i="1"/>
  <c r="T18" i="1"/>
  <c r="O18" i="1"/>
  <c r="D18" i="1"/>
  <c r="F18" i="1"/>
  <c r="L18" i="1"/>
  <c r="R18" i="1"/>
  <c r="X18" i="1"/>
  <c r="H18" i="1"/>
  <c r="C18" i="1"/>
  <c r="G18" i="1"/>
  <c r="M18" i="1"/>
  <c r="S18" i="1"/>
  <c r="Y18" i="1"/>
  <c r="Z18" i="1"/>
  <c r="C66" i="1"/>
  <c r="U66" i="1"/>
  <c r="D66" i="1"/>
  <c r="J66" i="1"/>
  <c r="P66" i="1"/>
  <c r="V66" i="1"/>
  <c r="E66" i="1"/>
  <c r="K66" i="1"/>
  <c r="Q66" i="1"/>
  <c r="W66" i="1"/>
  <c r="I66" i="1"/>
  <c r="F66" i="1"/>
  <c r="L66" i="1"/>
  <c r="R66" i="1"/>
  <c r="X66" i="1"/>
  <c r="O66" i="1"/>
  <c r="G66" i="1"/>
  <c r="M66" i="1"/>
  <c r="S66" i="1"/>
  <c r="Y66" i="1"/>
  <c r="B66" i="1"/>
  <c r="H66" i="1"/>
  <c r="N66" i="1"/>
  <c r="T66" i="1"/>
  <c r="Z66" i="1"/>
  <c r="M17" i="1"/>
  <c r="S17" i="1"/>
  <c r="B17" i="1"/>
  <c r="T17" i="1"/>
  <c r="C17" i="1"/>
  <c r="O17" i="1"/>
  <c r="U17" i="1"/>
  <c r="D17" i="1"/>
  <c r="J17" i="1"/>
  <c r="P17" i="1"/>
  <c r="V17" i="1"/>
  <c r="W17" i="1"/>
  <c r="G17" i="1"/>
  <c r="Y17" i="1"/>
  <c r="H17" i="1"/>
  <c r="N17" i="1"/>
  <c r="I17" i="1"/>
  <c r="E17" i="1"/>
  <c r="K17" i="1"/>
  <c r="Q17" i="1"/>
  <c r="F17" i="1"/>
  <c r="L17" i="1"/>
  <c r="R17" i="1"/>
  <c r="X17" i="1"/>
  <c r="Z17" i="1"/>
  <c r="F14" i="1"/>
  <c r="X14" i="1"/>
  <c r="G14" i="1"/>
  <c r="S14" i="1"/>
  <c r="B14" i="1"/>
  <c r="N14" i="1"/>
  <c r="Z14" i="1"/>
  <c r="C14" i="1"/>
  <c r="O14" i="1"/>
  <c r="U14" i="1"/>
  <c r="D14" i="1"/>
  <c r="J14" i="1"/>
  <c r="P14" i="1"/>
  <c r="V14" i="1"/>
  <c r="L14" i="1"/>
  <c r="R14" i="1"/>
  <c r="M14" i="1"/>
  <c r="Y14" i="1"/>
  <c r="H14" i="1"/>
  <c r="T14" i="1"/>
  <c r="I14" i="1"/>
  <c r="E14" i="1"/>
  <c r="K14" i="1"/>
  <c r="Q14" i="1"/>
  <c r="W14" i="1"/>
  <c r="D11" i="1"/>
  <c r="M11" i="1"/>
  <c r="X11" i="1"/>
  <c r="E11" i="1"/>
  <c r="I11" i="1"/>
  <c r="Z11" i="1"/>
  <c r="M9" i="1"/>
  <c r="G9" i="1"/>
  <c r="L9" i="1"/>
  <c r="F9" i="1"/>
  <c r="K9" i="1"/>
  <c r="E9" i="1"/>
  <c r="J9" i="1"/>
  <c r="D9" i="1"/>
  <c r="I9" i="1"/>
  <c r="C9" i="1"/>
  <c r="H9" i="1"/>
  <c r="B9" i="1"/>
  <c r="Z9" i="1"/>
  <c r="Y9" i="1"/>
  <c r="S9" i="1"/>
  <c r="U9" i="1"/>
  <c r="T9" i="1"/>
  <c r="R9" i="1"/>
  <c r="O9" i="1"/>
  <c r="N9" i="1"/>
  <c r="X9" i="1"/>
  <c r="W9" i="1"/>
  <c r="Q9" i="1"/>
  <c r="V9" i="1"/>
  <c r="P9" i="1"/>
  <c r="Y8" i="1"/>
  <c r="M8" i="1"/>
  <c r="G8" i="1"/>
  <c r="R8" i="1"/>
  <c r="F8" i="1"/>
  <c r="S8" i="1"/>
  <c r="X8" i="1"/>
  <c r="L8" i="1"/>
  <c r="Q8" i="1"/>
  <c r="K8" i="1"/>
  <c r="E8" i="1"/>
  <c r="P8" i="1"/>
  <c r="D8" i="1"/>
  <c r="U8" i="1"/>
  <c r="O8" i="1"/>
  <c r="I8" i="1"/>
  <c r="C8" i="1"/>
  <c r="W8" i="1"/>
  <c r="V8" i="1"/>
  <c r="J8" i="1"/>
  <c r="Z8" i="1"/>
  <c r="T8" i="1"/>
  <c r="N8" i="1"/>
  <c r="H8" i="1"/>
  <c r="B8" i="1"/>
  <c r="L11" i="1" a="1"/>
  <c r="W53" i="1" a="1"/>
  <c r="I53" i="1" a="1"/>
  <c r="C53" i="1" a="1"/>
  <c r="V11" i="1" a="1"/>
  <c r="O53" i="1" a="1"/>
  <c r="U53" i="1" a="1"/>
  <c r="X53" i="1" a="1"/>
  <c r="T11" i="1" a="1"/>
  <c r="M53" i="1" a="1"/>
  <c r="O11" i="1" a="1"/>
  <c r="C11" i="1" a="1"/>
  <c r="K53" i="1" a="1"/>
  <c r="F11" i="1" a="1"/>
  <c r="N11" i="1" a="1"/>
  <c r="K11" i="1" a="1"/>
  <c r="F53" i="1" a="1"/>
  <c r="Y11" i="1" a="1"/>
  <c r="J11" i="1" a="1"/>
  <c r="Q53" i="1" a="1"/>
  <c r="B11" i="1" a="1"/>
  <c r="V53" i="1" a="1"/>
  <c r="S11" i="1" a="1"/>
  <c r="U11" i="1" a="1"/>
  <c r="R11" i="1" a="1"/>
  <c r="P53" i="1" a="1"/>
  <c r="W11" i="1" a="1"/>
  <c r="J53" i="1" a="1"/>
  <c r="G53" i="1" a="1"/>
  <c r="P11" i="1" a="1"/>
  <c r="G11" i="1" a="1"/>
  <c r="H11" i="1" a="1"/>
  <c r="Y53" i="1" a="1"/>
  <c r="E53" i="1" a="1"/>
  <c r="Q11" i="1" a="1"/>
  <c r="L53" i="1" a="1"/>
  <c r="N11" i="1" l="1"/>
  <c r="N50" i="1" s="1"/>
  <c r="L11" i="1"/>
  <c r="L50" i="1" s="1"/>
  <c r="W11" i="1"/>
  <c r="W50" i="1" s="1"/>
  <c r="Q11" i="1"/>
  <c r="Q50" i="1" s="1"/>
  <c r="C11" i="1"/>
  <c r="C50" i="1" s="1"/>
  <c r="G11" i="1"/>
  <c r="G50" i="1" s="1"/>
  <c r="O11" i="1"/>
  <c r="O50" i="1" s="1"/>
  <c r="S11" i="1"/>
  <c r="S50" i="1" s="1"/>
  <c r="Z23" i="1"/>
  <c r="J53" i="1"/>
  <c r="X53" i="1"/>
  <c r="B11" i="1"/>
  <c r="B50" i="1" s="1"/>
  <c r="J11" i="1"/>
  <c r="J50" i="1" s="1"/>
  <c r="F53" i="1"/>
  <c r="I53" i="1"/>
  <c r="F11" i="1"/>
  <c r="F50" i="1" s="1"/>
  <c r="K53" i="1"/>
  <c r="E53" i="1"/>
  <c r="Y53" i="1"/>
  <c r="P11" i="1"/>
  <c r="P50" i="1" s="1"/>
  <c r="G53" i="1"/>
  <c r="T11" i="1"/>
  <c r="T50" i="1" s="1"/>
  <c r="U53" i="1"/>
  <c r="V11" i="1"/>
  <c r="V50" i="1" s="1"/>
  <c r="C53" i="1"/>
  <c r="K11" i="1"/>
  <c r="K50" i="1" s="1"/>
  <c r="W53" i="1"/>
  <c r="L53" i="1"/>
  <c r="P53" i="1"/>
  <c r="R11" i="1"/>
  <c r="R50" i="1" s="1"/>
  <c r="H11" i="1"/>
  <c r="H50" i="1" s="1"/>
  <c r="U11" i="1"/>
  <c r="U50" i="1" s="1"/>
  <c r="M53" i="1"/>
  <c r="V53" i="1"/>
  <c r="O53" i="1"/>
  <c r="Q53" i="1"/>
  <c r="Y11" i="1"/>
  <c r="Y50" i="1" s="1"/>
  <c r="AE359" i="33"/>
  <c r="AE403" i="33"/>
  <c r="AE357" i="33"/>
  <c r="AC255" i="33"/>
  <c r="AE170" i="33"/>
  <c r="AC223" i="33"/>
  <c r="D50" i="1"/>
  <c r="E50" i="1"/>
  <c r="I50" i="1"/>
  <c r="Z50" i="1"/>
  <c r="X50" i="1"/>
  <c r="M50" i="1"/>
  <c r="K45" i="1"/>
  <c r="H45" i="1"/>
  <c r="X45" i="1"/>
  <c r="F45" i="1"/>
  <c r="S45" i="1"/>
  <c r="I45" i="1"/>
  <c r="Q45" i="1"/>
  <c r="U45" i="1"/>
  <c r="Z45" i="1"/>
  <c r="C45" i="1"/>
  <c r="M45" i="1"/>
  <c r="O45" i="1"/>
  <c r="T45" i="1"/>
  <c r="Y45" i="1"/>
  <c r="L45" i="1"/>
  <c r="R45" i="1"/>
  <c r="N45" i="1"/>
  <c r="G45" i="1"/>
  <c r="W45" i="1"/>
  <c r="E45" i="1"/>
  <c r="V45" i="1"/>
  <c r="P45" i="1"/>
  <c r="J45" i="1"/>
  <c r="D45" i="1"/>
  <c r="B45" i="1"/>
  <c r="K23" i="1"/>
  <c r="G23" i="1"/>
  <c r="Q23" i="1"/>
  <c r="L23" i="1"/>
  <c r="I23" i="1"/>
  <c r="O23" i="1"/>
  <c r="Y23" i="1"/>
  <c r="N23" i="1"/>
  <c r="M23" i="1"/>
  <c r="B23" i="1"/>
  <c r="R23" i="1"/>
  <c r="S23" i="1"/>
  <c r="W23" i="1"/>
  <c r="J23" i="1"/>
  <c r="V23" i="1"/>
  <c r="P23" i="1"/>
  <c r="E23" i="1"/>
  <c r="D23" i="1"/>
  <c r="X23" i="1"/>
  <c r="F23" i="1"/>
  <c r="U23" i="1"/>
  <c r="T23" i="1"/>
  <c r="C23" i="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<sst xmlns="http://schemas.openxmlformats.org/spreadsheetml/2006/main" count="4338" uniqueCount="925">
  <si>
    <t>/* YEARS */</t>
  </si>
  <si>
    <t>/* Fuels → Boilers */</t>
  </si>
  <si>
    <t>/* Waste */</t>
  </si>
  <si>
    <t>/* Ambient / Solar */</t>
  </si>
  <si>
    <t>/* Electricity generation */</t>
  </si>
  <si>
    <t>/* Mobility */</t>
  </si>
  <si>
    <t>/* Conversions */</t>
  </si>
  <si>
    <t>/* Heat outputs */</t>
  </si>
  <si>
    <t>/* Electricity usage */</t>
  </si>
  <si>
    <t>years</t>
  </si>
  <si>
    <t>OilToBoilers</t>
  </si>
  <si>
    <t>NaturalGasToBoilers</t>
  </si>
  <si>
    <t>WoodToBoilers</t>
  </si>
  <si>
    <t>WasteToKVA</t>
  </si>
  <si>
    <t>AmbientToHeatPumps</t>
  </si>
  <si>
    <t>SolarThermalToHeat</t>
  </si>
  <si>
    <t>KVAToDistrictHeat</t>
  </si>
  <si>
    <t>KVAToElectricity</t>
  </si>
  <si>
    <t>KVAToLoss</t>
  </si>
  <si>
    <t>WoodToDistrictHeat</t>
  </si>
  <si>
    <t>HPTtoDistrictHeat</t>
  </si>
  <si>
    <t>GasToDistrictHeat</t>
  </si>
  <si>
    <t>DistrictHeatToHeat</t>
  </si>
  <si>
    <t>HydroRiverToElectricity</t>
  </si>
  <si>
    <t>HydroDamsToElectricity</t>
  </si>
  <si>
    <t>UraniumToPowerPlant</t>
  </si>
  <si>
    <t>PowerPlantToElectricity</t>
  </si>
  <si>
    <t>PowerPlantToLoss</t>
  </si>
  <si>
    <t>WindToElectricity</t>
  </si>
  <si>
    <t>SolarToElectricity</t>
  </si>
  <si>
    <t>ImportToElectricity</t>
  </si>
  <si>
    <t>GasolineToMobility</t>
  </si>
  <si>
    <t>DieselToMobility</t>
  </si>
  <si>
    <t>JetToMobility</t>
  </si>
  <si>
    <t>MobilityToRoad</t>
  </si>
  <si>
    <t>MobilityToRail</t>
  </si>
  <si>
    <t>MobilityToAviation</t>
  </si>
  <si>
    <t>BoilersToHeat</t>
  </si>
  <si>
    <t>CHPToHeat</t>
  </si>
  <si>
    <t>HPToHeat</t>
  </si>
  <si>
    <t>CHPToElectricity</t>
  </si>
  <si>
    <t>HeatToSpace</t>
  </si>
  <si>
    <t>HeatToWater</t>
  </si>
  <si>
    <t>HeatToIndustry</t>
  </si>
  <si>
    <t>ElectricityToLoss</t>
  </si>
  <si>
    <t>ElectricityToHP</t>
  </si>
  <si>
    <t>ElectricityToHeat</t>
  </si>
  <si>
    <t>ElectricityToMobility</t>
  </si>
  <si>
    <t>ElectricityToExport</t>
  </si>
  <si>
    <t>All Values in TWh/a</t>
  </si>
  <si>
    <t>END</t>
  </si>
  <si>
    <t>Inländische Gewinnung von Primärenergieträgern (TJ)</t>
  </si>
  <si>
    <t>Tabelle 5</t>
  </si>
  <si>
    <t>Production indigène d'agents énergétiques primaires (TJ)</t>
  </si>
  <si>
    <t>Tableau 5</t>
  </si>
  <si>
    <t>Jahr</t>
  </si>
  <si>
    <r>
      <t>Brennholz</t>
    </r>
    <r>
      <rPr>
        <vertAlign val="superscript"/>
        <sz val="8"/>
        <rFont val="Arial"/>
        <family val="2"/>
      </rPr>
      <t>1</t>
    </r>
  </si>
  <si>
    <t>Wasserkraft</t>
  </si>
  <si>
    <r>
      <t>Müll und Industrieabfälle</t>
    </r>
    <r>
      <rPr>
        <vertAlign val="superscript"/>
        <sz val="8"/>
        <rFont val="Arial"/>
        <family val="2"/>
      </rPr>
      <t>2</t>
    </r>
  </si>
  <si>
    <t>Gas</t>
  </si>
  <si>
    <r>
      <t>Übrige erneuerbare Energien</t>
    </r>
    <r>
      <rPr>
        <vertAlign val="superscript"/>
        <sz val="8"/>
        <rFont val="Arial"/>
        <family val="2"/>
      </rPr>
      <t>3</t>
    </r>
  </si>
  <si>
    <t>Total</t>
  </si>
  <si>
    <t>Année</t>
  </si>
  <si>
    <r>
      <t>Bois de chauffage</t>
    </r>
    <r>
      <rPr>
        <vertAlign val="superscript"/>
        <sz val="8"/>
        <rFont val="Arial"/>
        <family val="2"/>
      </rPr>
      <t>1</t>
    </r>
  </si>
  <si>
    <t>Force hydraulique</t>
  </si>
  <si>
    <r>
      <t>Ordures ménagères et déchets industriels</t>
    </r>
    <r>
      <rPr>
        <vertAlign val="superscript"/>
        <sz val="8"/>
        <rFont val="Arial"/>
        <family val="2"/>
      </rPr>
      <t>2</t>
    </r>
  </si>
  <si>
    <t>Gaz</t>
  </si>
  <si>
    <r>
      <t>Autres énergies renouvelables</t>
    </r>
    <r>
      <rPr>
        <vertAlign val="superscript"/>
        <sz val="8"/>
        <rFont val="Arial"/>
        <family val="2"/>
      </rPr>
      <t>3</t>
    </r>
  </si>
  <si>
    <t>-</t>
  </si>
  <si>
    <r>
      <t>1</t>
    </r>
    <r>
      <rPr>
        <sz val="8"/>
        <rFont val="Arial"/>
        <family val="2"/>
      </rPr>
      <t xml:space="preserve"> seit 1990 neue Erhebungsmethode</t>
    </r>
  </si>
  <si>
    <r>
      <t>1</t>
    </r>
    <r>
      <rPr>
        <sz val="8"/>
        <rFont val="Arial"/>
        <family val="2"/>
      </rPr>
      <t xml:space="preserve"> dès 1990, nouvelle enquête</t>
    </r>
  </si>
  <si>
    <r>
      <t>2</t>
    </r>
    <r>
      <rPr>
        <sz val="8"/>
        <rFont val="Arial"/>
        <family val="2"/>
      </rPr>
      <t xml:space="preserve"> 1978 erstmals erfasst; bis 2014 inkl. allfälliger importierter Kehricht</t>
    </r>
  </si>
  <si>
    <r>
      <t>2</t>
    </r>
    <r>
      <rPr>
        <sz val="8"/>
        <rFont val="Arial"/>
        <family val="2"/>
      </rPr>
      <t xml:space="preserve"> relevés dès 1978; jusqu'en 2014, y compris les éventuels déchets importés</t>
    </r>
  </si>
  <si>
    <r>
      <t>3</t>
    </r>
    <r>
      <rPr>
        <sz val="8"/>
        <rFont val="Arial"/>
        <family val="2"/>
      </rPr>
      <t xml:space="preserve"> Sonne, Wind, Biogas, Biogene Treibstoffe, Umweltwärme; 1990 erstmals erfasst</t>
    </r>
  </si>
  <si>
    <r>
      <t>3</t>
    </r>
    <r>
      <rPr>
        <sz val="8"/>
        <rFont val="Arial"/>
        <family val="2"/>
      </rPr>
      <t xml:space="preserve"> soleil, énergie éolienne, biogaz, carburants biogènes, chaleur ambiante; relevés dès 1990</t>
    </r>
  </si>
  <si>
    <t>Bundesamt für Energie BFE, Schweizerische Gesamtenergiestatistik 2024</t>
  </si>
  <si>
    <t>Office fédéral de l'énergie OFEN, Statistique global suisse de l'énergie 2024</t>
  </si>
  <si>
    <t>Auskunft/Informations: Giulia Lechthaler-Felber, 058 461 40 49, giulia.lechthaler@bfe.admin.ch</t>
  </si>
  <si>
    <t>Einfuhr von Energieträgern (ohne Kernbrennstoffe)</t>
  </si>
  <si>
    <t>Tabelle 6</t>
  </si>
  <si>
    <t>Importation d'agents énergétiques (sans combustibles nucléaires)</t>
  </si>
  <si>
    <t>Tableau 6</t>
  </si>
  <si>
    <t>Holz und Holzkohle</t>
  </si>
  <si>
    <t>Kohle</t>
  </si>
  <si>
    <t>Müll</t>
  </si>
  <si>
    <t>Rohöl und Erdölprodukte</t>
  </si>
  <si>
    <t>davon Rohöl</t>
  </si>
  <si>
    <t>davon Erdölprodukte</t>
  </si>
  <si>
    <r>
      <t>Gas</t>
    </r>
    <r>
      <rPr>
        <vertAlign val="superscript"/>
        <sz val="8"/>
        <rFont val="Arial"/>
        <family val="2"/>
      </rPr>
      <t>1</t>
    </r>
  </si>
  <si>
    <r>
      <t>Biogene Treibstoffe</t>
    </r>
    <r>
      <rPr>
        <vertAlign val="superscript"/>
        <sz val="8"/>
        <rFont val="Arial"/>
        <family val="2"/>
      </rPr>
      <t>2</t>
    </r>
  </si>
  <si>
    <r>
      <t>Elektrizität</t>
    </r>
    <r>
      <rPr>
        <vertAlign val="superscript"/>
        <sz val="8"/>
        <rFont val="Arial"/>
        <family val="2"/>
      </rPr>
      <t>3</t>
    </r>
  </si>
  <si>
    <t>Bois et
charbon de bois</t>
  </si>
  <si>
    <t>Charbon</t>
  </si>
  <si>
    <t>Ordures</t>
  </si>
  <si>
    <t>Pétrole brut et
produits pétroliers</t>
  </si>
  <si>
    <t>dont pétrole brut</t>
  </si>
  <si>
    <t>dont produits pétroliers</t>
  </si>
  <si>
    <r>
      <t>Gaz</t>
    </r>
    <r>
      <rPr>
        <vertAlign val="superscript"/>
        <sz val="8"/>
        <rFont val="Arial"/>
        <family val="2"/>
      </rPr>
      <t>1</t>
    </r>
  </si>
  <si>
    <r>
      <t>Carburants biogènes</t>
    </r>
    <r>
      <rPr>
        <vertAlign val="superscript"/>
        <sz val="8"/>
        <rFont val="Arial"/>
        <family val="2"/>
      </rPr>
      <t>2</t>
    </r>
  </si>
  <si>
    <r>
      <t>Electricité</t>
    </r>
    <r>
      <rPr>
        <vertAlign val="superscript"/>
        <sz val="8"/>
        <rFont val="Arial"/>
        <family val="2"/>
      </rPr>
      <t>3</t>
    </r>
  </si>
  <si>
    <t>TJ</t>
  </si>
  <si>
    <t>1000 t</t>
  </si>
  <si>
    <t xml:space="preserve">1000 t </t>
  </si>
  <si>
    <t xml:space="preserve">TJ </t>
  </si>
  <si>
    <t>GWh</t>
  </si>
  <si>
    <r>
      <t>1</t>
    </r>
    <r>
      <rPr>
        <sz val="8"/>
        <rFont val="Arial"/>
        <family val="2"/>
      </rPr>
      <t xml:space="preserve"> Nettoimporte; unterer Heizwert; in der Gasindustrie wird als Rechnungseinheit der obere Heizwert (Brennwert) verwendet; unterer Heizwert = 0.9 * oberer Heizwert. Ab 2020 inkl. LNG.</t>
    </r>
  </si>
  <si>
    <r>
      <t>1</t>
    </r>
    <r>
      <rPr>
        <sz val="8"/>
        <rFont val="Arial"/>
        <family val="2"/>
      </rPr>
      <t xml:space="preserve"> importation nette; pouvoir calorifique inférieur; dans l’industrie du gaz on utilise comme facteur de conversion en vigueur le pouvoir calorifique supérieur; pouvoir calorifique inférieur  = 0.9 * pouvoir calorifique supérieur. Dés 2020 y compris GNL.</t>
    </r>
  </si>
  <si>
    <r>
      <rPr>
        <vertAlign val="superscript"/>
        <sz val="8"/>
        <rFont val="Arial"/>
        <family val="2"/>
      </rPr>
      <t>2</t>
    </r>
    <r>
      <rPr>
        <sz val="8"/>
        <rFont val="Arial"/>
        <family val="2"/>
      </rPr>
      <t xml:space="preserve"> 1997 erstmals erfasst</t>
    </r>
  </si>
  <si>
    <r>
      <t>2</t>
    </r>
    <r>
      <rPr>
        <sz val="8"/>
        <rFont val="Arial"/>
        <family val="2"/>
      </rPr>
      <t xml:space="preserve"> relevés dès 1997</t>
    </r>
  </si>
  <si>
    <r>
      <rPr>
        <vertAlign val="superscript"/>
        <sz val="8"/>
        <rFont val="Arial"/>
        <family val="2"/>
      </rPr>
      <t xml:space="preserve">3 </t>
    </r>
    <r>
      <rPr>
        <sz val="8"/>
        <rFont val="Arial"/>
        <family val="2"/>
      </rPr>
      <t>bis 1999 vertraglich, ab 2000 physikalisch</t>
    </r>
  </si>
  <si>
    <r>
      <rPr>
        <vertAlign val="superscript"/>
        <sz val="8"/>
        <rFont val="Arial"/>
        <family val="2"/>
      </rPr>
      <t xml:space="preserve">3 </t>
    </r>
    <r>
      <rPr>
        <sz val="8"/>
        <rFont val="Arial"/>
        <family val="2"/>
      </rPr>
      <t>jusqu'à 1999 contracuel, dès 2000 physique</t>
    </r>
  </si>
  <si>
    <t>Ausfuhr von Energieträgern</t>
  </si>
  <si>
    <t>Tabelle 7</t>
  </si>
  <si>
    <t>Exportation d'agents énergétiques</t>
  </si>
  <si>
    <t>Tableau 7</t>
  </si>
  <si>
    <r>
      <t>Holz und Holzkohle</t>
    </r>
    <r>
      <rPr>
        <vertAlign val="superscript"/>
        <sz val="8"/>
        <rFont val="Arial"/>
        <family val="2"/>
      </rPr>
      <t>1</t>
    </r>
  </si>
  <si>
    <t>Erdölprodukte</t>
  </si>
  <si>
    <r>
      <t>Elektrizität</t>
    </r>
    <r>
      <rPr>
        <vertAlign val="superscript"/>
        <sz val="8"/>
        <rFont val="Arial"/>
        <family val="2"/>
      </rPr>
      <t>2</t>
    </r>
  </si>
  <si>
    <r>
      <t>Bois et charbon de bois</t>
    </r>
    <r>
      <rPr>
        <vertAlign val="superscript"/>
        <sz val="8"/>
        <rFont val="Arial"/>
        <family val="2"/>
      </rPr>
      <t>1</t>
    </r>
  </si>
  <si>
    <t>Produits pétroliers</t>
  </si>
  <si>
    <r>
      <t>Electricité</t>
    </r>
    <r>
      <rPr>
        <vertAlign val="superscript"/>
        <sz val="8"/>
        <rFont val="Arial"/>
        <family val="2"/>
      </rPr>
      <t>2</t>
    </r>
  </si>
  <si>
    <r>
      <t>1</t>
    </r>
    <r>
      <rPr>
        <sz val="8"/>
        <rFont val="Arial"/>
        <family val="2"/>
      </rPr>
      <t xml:space="preserve"> seit 1990 erfasst</t>
    </r>
  </si>
  <si>
    <r>
      <t>1</t>
    </r>
    <r>
      <rPr>
        <sz val="8"/>
        <rFont val="Arial"/>
        <family val="2"/>
      </rPr>
      <t xml:space="preserve"> relevés dès 1990</t>
    </r>
  </si>
  <si>
    <r>
      <rPr>
        <vertAlign val="superscript"/>
        <sz val="8"/>
        <rFont val="Arial"/>
        <family val="2"/>
      </rPr>
      <t xml:space="preserve">2 </t>
    </r>
    <r>
      <rPr>
        <sz val="8"/>
        <rFont val="Arial"/>
        <family val="2"/>
      </rPr>
      <t>bis 1999 vertraglich, ab 2000 physikalisch</t>
    </r>
  </si>
  <si>
    <r>
      <rPr>
        <vertAlign val="superscript"/>
        <sz val="8"/>
        <rFont val="Arial"/>
        <family val="2"/>
      </rPr>
      <t xml:space="preserve">2 </t>
    </r>
    <r>
      <rPr>
        <sz val="8"/>
        <rFont val="Arial"/>
        <family val="2"/>
      </rPr>
      <t>jusqu'à 1999 contracuel, dès 2000 physique</t>
    </r>
  </si>
  <si>
    <t>Bruttoenergieverbrauch</t>
  </si>
  <si>
    <t>Tabelle 10</t>
  </si>
  <si>
    <t>Consommation brute d'énergie</t>
  </si>
  <si>
    <t>Tableau 10</t>
  </si>
  <si>
    <t>Kernbrennstoffe</t>
  </si>
  <si>
    <t>Gesamter Energieeinsatz</t>
  </si>
  <si>
    <t>Elektrizität Import/Export-Saldo</t>
  </si>
  <si>
    <t>Inländischer Brutto-energie-verbrauch (100%)</t>
  </si>
  <si>
    <t>Pétrole brut et produits pétroliers</t>
  </si>
  <si>
    <t>Combustibles nucléaires</t>
  </si>
  <si>
    <t>Utilisation totale d'agents énergé-tiques</t>
  </si>
  <si>
    <t>Elektricité Solde de Import/Export</t>
  </si>
  <si>
    <t>Consommation brute d'énergie dans le pays (100%)</t>
  </si>
  <si>
    <t>%</t>
  </si>
  <si>
    <r>
      <t>2</t>
    </r>
    <r>
      <rPr>
        <sz val="8"/>
        <rFont val="Arial"/>
        <family val="2"/>
      </rPr>
      <t xml:space="preserve"> 1978 erstmals erfasst</t>
    </r>
  </si>
  <si>
    <r>
      <t>2</t>
    </r>
    <r>
      <rPr>
        <sz val="8"/>
        <rFont val="Arial"/>
        <family val="2"/>
      </rPr>
      <t xml:space="preserve"> relevés dès 1978</t>
    </r>
  </si>
  <si>
    <t>Energieumwandlung: Input (TJ)</t>
  </si>
  <si>
    <t>Tabelle 11</t>
  </si>
  <si>
    <t>Transformation d'énergie: Input (TJ)</t>
  </si>
  <si>
    <t>Tableau 11</t>
  </si>
  <si>
    <t>Kernbrenn-stoffe</t>
  </si>
  <si>
    <t>Rohöl</t>
  </si>
  <si>
    <r>
      <t>Müll</t>
    </r>
    <r>
      <rPr>
        <vertAlign val="superscript"/>
        <sz val="8"/>
        <rFont val="Arial"/>
        <family val="2"/>
      </rPr>
      <t>1</t>
    </r>
  </si>
  <si>
    <r>
      <t>Holz</t>
    </r>
    <r>
      <rPr>
        <vertAlign val="superscript"/>
        <sz val="8"/>
        <rFont val="Arial"/>
        <family val="2"/>
      </rPr>
      <t>2</t>
    </r>
  </si>
  <si>
    <t>Pétrole brut</t>
  </si>
  <si>
    <r>
      <t>Ordures</t>
    </r>
    <r>
      <rPr>
        <vertAlign val="superscript"/>
        <sz val="8"/>
        <rFont val="Arial"/>
        <family val="2"/>
      </rPr>
      <t>1</t>
    </r>
  </si>
  <si>
    <r>
      <t>Bois</t>
    </r>
    <r>
      <rPr>
        <vertAlign val="superscript"/>
        <sz val="8"/>
        <rFont val="Arial"/>
        <family val="2"/>
      </rPr>
      <t>2</t>
    </r>
  </si>
  <si>
    <r>
      <t>Autres énergies renouvables</t>
    </r>
    <r>
      <rPr>
        <vertAlign val="superscript"/>
        <sz val="8"/>
        <rFont val="Arial"/>
        <family val="2"/>
      </rPr>
      <t>3</t>
    </r>
  </si>
  <si>
    <r>
      <t>1</t>
    </r>
    <r>
      <rPr>
        <sz val="8"/>
        <rFont val="Arial"/>
        <family val="2"/>
      </rPr>
      <t xml:space="preserve"> ab 1990 ohne Eigenverbrauch KVA</t>
    </r>
  </si>
  <si>
    <r>
      <t>1</t>
    </r>
    <r>
      <rPr>
        <sz val="8"/>
        <rFont val="Arial"/>
        <family val="2"/>
      </rPr>
      <t xml:space="preserve"> dès 1990, sans consommation des UIOM</t>
    </r>
  </si>
  <si>
    <r>
      <t>2</t>
    </r>
    <r>
      <rPr>
        <sz val="8"/>
        <rFont val="Arial"/>
        <family val="2"/>
      </rPr>
      <t xml:space="preserve"> 1990 erstmals erfasst</t>
    </r>
  </si>
  <si>
    <r>
      <t>2</t>
    </r>
    <r>
      <rPr>
        <sz val="8"/>
        <rFont val="Arial"/>
        <family val="2"/>
      </rPr>
      <t xml:space="preserve"> relevés dès 1990</t>
    </r>
  </si>
  <si>
    <t>Energieumwandlung: Output und Umwandlungsverluste (TJ)</t>
  </si>
  <si>
    <t>Tabelle 12</t>
  </si>
  <si>
    <t>Transformation d'énergie: Output et pertes (TJ)</t>
  </si>
  <si>
    <t>Tableau 12</t>
  </si>
  <si>
    <t>Elektrizität</t>
  </si>
  <si>
    <r>
      <t>Fernwärme</t>
    </r>
    <r>
      <rPr>
        <vertAlign val="superscript"/>
        <sz val="8"/>
        <rFont val="Arial"/>
        <family val="2"/>
      </rPr>
      <t>1</t>
    </r>
  </si>
  <si>
    <t>Umwandlungsverluste (Tab. 11-Tab. 12)</t>
  </si>
  <si>
    <t>Electricité</t>
  </si>
  <si>
    <r>
      <t>Chaleur à distance</t>
    </r>
    <r>
      <rPr>
        <vertAlign val="superscript"/>
        <sz val="8"/>
        <rFont val="Arial"/>
        <family val="2"/>
      </rPr>
      <t>1</t>
    </r>
  </si>
  <si>
    <t xml:space="preserve">Gaz </t>
  </si>
  <si>
    <t>Pertes
(Tab. 11-tab. 12)</t>
  </si>
  <si>
    <r>
      <t>1</t>
    </r>
    <r>
      <rPr>
        <sz val="8"/>
        <rFont val="Arial"/>
        <family val="2"/>
      </rPr>
      <t xml:space="preserve"> 1978 erstmals erfasst</t>
    </r>
  </si>
  <si>
    <r>
      <t>1</t>
    </r>
    <r>
      <rPr>
        <sz val="8"/>
        <rFont val="Arial"/>
        <family val="2"/>
      </rPr>
      <t xml:space="preserve"> relevés dès 1978</t>
    </r>
  </si>
  <si>
    <t>Eigenverbrauch des Energiesektors und Netzverluste / nicht energetischer Verbrauch (TJ)</t>
  </si>
  <si>
    <t>Tabelle 13</t>
  </si>
  <si>
    <t>Consommation propre du secteur énergétique et pertes de réseaux / consommation non énergétique (TJ)</t>
  </si>
  <si>
    <t>Tableau 13</t>
  </si>
  <si>
    <r>
      <t>Inlandraffinerien</t>
    </r>
    <r>
      <rPr>
        <vertAlign val="superscript"/>
        <sz val="8"/>
        <rFont val="Arial"/>
        <family val="2"/>
      </rPr>
      <t>1</t>
    </r>
  </si>
  <si>
    <t>Gaswerke</t>
  </si>
  <si>
    <t>Elektrizitätswerke</t>
  </si>
  <si>
    <t>Fernwärme</t>
  </si>
  <si>
    <r>
      <t>Nichtenergetischer Verbrauch</t>
    </r>
    <r>
      <rPr>
        <vertAlign val="superscript"/>
        <sz val="8"/>
        <rFont val="Arial"/>
        <family val="2"/>
      </rPr>
      <t>2</t>
    </r>
  </si>
  <si>
    <r>
      <t>Raffineries suisses</t>
    </r>
    <r>
      <rPr>
        <vertAlign val="superscript"/>
        <sz val="8"/>
        <rFont val="Arial"/>
        <family val="2"/>
      </rPr>
      <t>1</t>
    </r>
  </si>
  <si>
    <t>Usines à gaz</t>
  </si>
  <si>
    <t>Centrales électriques</t>
  </si>
  <si>
    <t>Chaleur à distance</t>
  </si>
  <si>
    <r>
      <t>Consommation non énergétique</t>
    </r>
    <r>
      <rPr>
        <vertAlign val="superscript"/>
        <sz val="8"/>
        <rFont val="Arial"/>
        <family val="2"/>
      </rPr>
      <t>2</t>
    </r>
  </si>
  <si>
    <r>
      <t>1</t>
    </r>
    <r>
      <rPr>
        <sz val="8"/>
        <rFont val="Arial"/>
        <family val="2"/>
      </rPr>
      <t xml:space="preserve"> nur Eigenverbrauch</t>
    </r>
  </si>
  <si>
    <r>
      <t>1</t>
    </r>
    <r>
      <rPr>
        <sz val="8"/>
        <rFont val="Arial"/>
        <family val="2"/>
      </rPr>
      <t xml:space="preserve"> seulement consommation propre</t>
    </r>
  </si>
  <si>
    <r>
      <t>2</t>
    </r>
    <r>
      <rPr>
        <sz val="8"/>
        <rFont val="Arial"/>
        <family val="2"/>
      </rPr>
      <t xml:space="preserve"> Erdölprodukte; bis 1980 nur aus inländ. Raffinerien</t>
    </r>
  </si>
  <si>
    <r>
      <t>2</t>
    </r>
    <r>
      <rPr>
        <sz val="8"/>
        <rFont val="Arial"/>
        <family val="2"/>
      </rPr>
      <t xml:space="preserve"> produits pétroliers, jusqu'à 1980 uniquement des raffineries suisses</t>
    </r>
  </si>
  <si>
    <t>Entwicklung des Endverbrauchs in TJ</t>
  </si>
  <si>
    <t>Tabelle 14</t>
  </si>
  <si>
    <t>Evolution de la consommation finale en TJ</t>
  </si>
  <si>
    <t>Tableau 14</t>
  </si>
  <si>
    <t xml:space="preserve">Gas </t>
  </si>
  <si>
    <r>
      <t>Holzenergie</t>
    </r>
    <r>
      <rPr>
        <vertAlign val="superscript"/>
        <sz val="8"/>
        <rFont val="Arial"/>
        <family val="2"/>
      </rPr>
      <t>1</t>
    </r>
  </si>
  <si>
    <r>
      <t>Fernwärme</t>
    </r>
    <r>
      <rPr>
        <vertAlign val="superscript"/>
        <sz val="8"/>
        <rFont val="Arial"/>
        <family val="2"/>
      </rPr>
      <t>2</t>
    </r>
  </si>
  <si>
    <r>
      <t>Industrieabfälle</t>
    </r>
    <r>
      <rPr>
        <vertAlign val="superscript"/>
        <sz val="8"/>
        <rFont val="Arial"/>
        <family val="2"/>
      </rPr>
      <t>3</t>
    </r>
  </si>
  <si>
    <r>
      <t>Übrige erneuerbare Energien</t>
    </r>
    <r>
      <rPr>
        <vertAlign val="superscript"/>
        <sz val="8"/>
        <rFont val="Arial"/>
        <family val="2"/>
      </rPr>
      <t>4</t>
    </r>
  </si>
  <si>
    <t>Brennstoffe</t>
  </si>
  <si>
    <t>Treibstoffe</t>
  </si>
  <si>
    <r>
      <t>Biogene Treibstoffe</t>
    </r>
    <r>
      <rPr>
        <vertAlign val="superscript"/>
        <sz val="8"/>
        <rFont val="Arial"/>
        <family val="2"/>
      </rPr>
      <t>5</t>
    </r>
  </si>
  <si>
    <t>Biogas</t>
  </si>
  <si>
    <t>Sonne</t>
  </si>
  <si>
    <t>Umweltwärme</t>
  </si>
  <si>
    <r>
      <t>Energie du bois</t>
    </r>
    <r>
      <rPr>
        <vertAlign val="superscript"/>
        <sz val="8"/>
        <rFont val="Arial"/>
        <family val="2"/>
      </rPr>
      <t>1</t>
    </r>
  </si>
  <si>
    <r>
      <t>Chaleur à distance</t>
    </r>
    <r>
      <rPr>
        <vertAlign val="superscript"/>
        <sz val="8"/>
        <rFont val="Arial"/>
        <family val="2"/>
      </rPr>
      <t>2</t>
    </r>
  </si>
  <si>
    <r>
      <t>Déchets industriels</t>
    </r>
    <r>
      <rPr>
        <vertAlign val="superscript"/>
        <sz val="8"/>
        <rFont val="Arial"/>
        <family val="2"/>
      </rPr>
      <t>3</t>
    </r>
  </si>
  <si>
    <r>
      <t>Autres énergies renouvelables</t>
    </r>
    <r>
      <rPr>
        <vertAlign val="superscript"/>
        <sz val="8"/>
        <rFont val="Arial"/>
        <family val="2"/>
      </rPr>
      <t>4</t>
    </r>
  </si>
  <si>
    <t>Combustibles</t>
  </si>
  <si>
    <t>Carburants</t>
  </si>
  <si>
    <r>
      <t>Carburants biogènes</t>
    </r>
    <r>
      <rPr>
        <vertAlign val="superscript"/>
        <sz val="8"/>
        <rFont val="Arial"/>
        <family val="2"/>
      </rPr>
      <t>5</t>
    </r>
  </si>
  <si>
    <t>Biogaz</t>
  </si>
  <si>
    <t>Soleil</t>
  </si>
  <si>
    <t>Chaleur ambiante</t>
  </si>
  <si>
    <r>
      <t>1</t>
    </r>
    <r>
      <rPr>
        <sz val="8"/>
        <rFont val="Arial"/>
        <family val="2"/>
      </rPr>
      <t xml:space="preserve"> ab 1980 neue Erhebungsmethode</t>
    </r>
  </si>
  <si>
    <r>
      <t>1</t>
    </r>
    <r>
      <rPr>
        <sz val="8"/>
        <rFont val="Arial"/>
        <family val="2"/>
      </rPr>
      <t xml:space="preserve"> dès 1980, nouvelle enquête</t>
    </r>
  </si>
  <si>
    <r>
      <t>3</t>
    </r>
    <r>
      <rPr>
        <sz val="8"/>
        <rFont val="Arial"/>
        <family val="2"/>
      </rPr>
      <t xml:space="preserve"> 1978 erstmals erfasst, ab 1990 inklusive Eigenverbrauch KVA</t>
    </r>
  </si>
  <si>
    <r>
      <t xml:space="preserve">3 </t>
    </r>
    <r>
      <rPr>
        <sz val="8"/>
        <rFont val="Arial"/>
        <family val="2"/>
      </rPr>
      <t>relevés dès 1978 et y compris la consommation des UIOM à partir de 1990</t>
    </r>
  </si>
  <si>
    <r>
      <t>4</t>
    </r>
    <r>
      <rPr>
        <sz val="8"/>
        <rFont val="Arial"/>
        <family val="2"/>
      </rPr>
      <t xml:space="preserve"> 1990 erstmals erfasst</t>
    </r>
  </si>
  <si>
    <r>
      <t>4</t>
    </r>
    <r>
      <rPr>
        <sz val="8"/>
        <rFont val="Arial"/>
        <family val="2"/>
      </rPr>
      <t xml:space="preserve"> relevés dès 1990</t>
    </r>
  </si>
  <si>
    <r>
      <t>5</t>
    </r>
    <r>
      <rPr>
        <sz val="8"/>
        <rFont val="Arial"/>
        <family val="2"/>
      </rPr>
      <t xml:space="preserve"> 1997 erstmals erfasst</t>
    </r>
  </si>
  <si>
    <r>
      <t>5</t>
    </r>
    <r>
      <rPr>
        <sz val="8"/>
        <rFont val="Arial"/>
        <family val="2"/>
      </rPr>
      <t xml:space="preserve"> relevés dès 1997</t>
    </r>
  </si>
  <si>
    <t>Endverbrauch nach Verbrauchergruppen in TJ</t>
  </si>
  <si>
    <t>Consommation finale selon les catégories de consommateurs en TJ</t>
  </si>
  <si>
    <t>A: Haushalte</t>
  </si>
  <si>
    <t>Tabelle 17a</t>
  </si>
  <si>
    <t>A: Ménages</t>
  </si>
  <si>
    <t>Tableau 17a</t>
  </si>
  <si>
    <t>Industrieabfälle</t>
  </si>
  <si>
    <r>
      <t>Übrige erneuerbare Energien</t>
    </r>
    <r>
      <rPr>
        <vertAlign val="superscript"/>
        <sz val="8"/>
        <rFont val="Arial"/>
        <family val="2"/>
      </rPr>
      <t>2</t>
    </r>
  </si>
  <si>
    <t>Total
= 100%</t>
  </si>
  <si>
    <t>davon Heizöl extra-leicht</t>
  </si>
  <si>
    <t>Déchets industriels</t>
  </si>
  <si>
    <r>
      <t>Autres énergies renouvelables</t>
    </r>
    <r>
      <rPr>
        <vertAlign val="superscript"/>
        <sz val="8"/>
        <rFont val="Arial"/>
        <family val="2"/>
      </rPr>
      <t>2</t>
    </r>
  </si>
  <si>
    <t>dont Huile extra-légère</t>
  </si>
  <si>
    <r>
      <t>1</t>
    </r>
    <r>
      <rPr>
        <sz val="8"/>
        <rFont val="Arial"/>
        <family val="2"/>
      </rPr>
      <t xml:space="preserve"> ab 1990 neue Erhebungsmethode</t>
    </r>
  </si>
  <si>
    <r>
      <t>2</t>
    </r>
    <r>
      <rPr>
        <sz val="8"/>
        <rFont val="Arial"/>
        <family val="2"/>
      </rPr>
      <t xml:space="preserve"> Sonne, Wind, Biogas, Umweltwärme; 1990 erstmals erfasst</t>
    </r>
  </si>
  <si>
    <r>
      <t>2</t>
    </r>
    <r>
      <rPr>
        <sz val="8"/>
        <rFont val="Arial"/>
        <family val="2"/>
      </rPr>
      <t xml:space="preserve"> soleil, énergie éolienne, biogaz, chaleur ambiante; relevés dès 1990</t>
    </r>
  </si>
  <si>
    <t>B: Industrie (inkl. Gewerbe)</t>
  </si>
  <si>
    <t>Tabelle 17b</t>
  </si>
  <si>
    <t>B: Industrie (y compris arts et métiers)</t>
  </si>
  <si>
    <t>Tableau 17b</t>
  </si>
  <si>
    <r>
      <t>Erdölprodukte</t>
    </r>
    <r>
      <rPr>
        <vertAlign val="superscript"/>
        <sz val="8"/>
        <rFont val="Arial"/>
        <family val="2"/>
      </rPr>
      <t>1</t>
    </r>
  </si>
  <si>
    <r>
      <t>Holzenergie</t>
    </r>
    <r>
      <rPr>
        <vertAlign val="superscript"/>
        <sz val="8"/>
        <rFont val="Arial"/>
        <family val="2"/>
      </rPr>
      <t>3</t>
    </r>
  </si>
  <si>
    <r>
      <t>Fernwärme</t>
    </r>
    <r>
      <rPr>
        <vertAlign val="superscript"/>
        <sz val="8"/>
        <rFont val="Arial"/>
        <family val="2"/>
      </rPr>
      <t>4</t>
    </r>
  </si>
  <si>
    <r>
      <t>Übrige erneuerbare Energien</t>
    </r>
    <r>
      <rPr>
        <vertAlign val="superscript"/>
        <sz val="8"/>
        <rFont val="Arial"/>
        <family val="2"/>
      </rPr>
      <t>5</t>
    </r>
  </si>
  <si>
    <r>
      <t>Produits pétroliers</t>
    </r>
    <r>
      <rPr>
        <vertAlign val="superscript"/>
        <sz val="8"/>
        <rFont val="Arial"/>
        <family val="2"/>
      </rPr>
      <t>1</t>
    </r>
  </si>
  <si>
    <r>
      <t>Energie du bois</t>
    </r>
    <r>
      <rPr>
        <vertAlign val="superscript"/>
        <sz val="8"/>
        <rFont val="Arial"/>
        <family val="2"/>
      </rPr>
      <t>3</t>
    </r>
  </si>
  <si>
    <r>
      <t>Chaleur à distance</t>
    </r>
    <r>
      <rPr>
        <vertAlign val="superscript"/>
        <sz val="8"/>
        <rFont val="Arial"/>
        <family val="2"/>
      </rPr>
      <t>4</t>
    </r>
  </si>
  <si>
    <t>Ordures ménagères et déchets industriels</t>
  </si>
  <si>
    <r>
      <t>Autres énergies renouvelables</t>
    </r>
    <r>
      <rPr>
        <vertAlign val="superscript"/>
        <sz val="8"/>
        <rFont val="Arial"/>
        <family val="2"/>
      </rPr>
      <t>5</t>
    </r>
  </si>
  <si>
    <r>
      <t>1</t>
    </r>
    <r>
      <rPr>
        <sz val="8"/>
        <rFont val="Arial"/>
        <family val="2"/>
      </rPr>
      <t xml:space="preserve"> interner Werkverkehr der Industrie unter Verkehr</t>
    </r>
  </si>
  <si>
    <r>
      <t>1</t>
    </r>
    <r>
      <rPr>
        <sz val="8"/>
        <rFont val="Arial"/>
        <family val="2"/>
      </rPr>
      <t xml:space="preserve"> transports sur terrain ou route privé de l'industrie sous transport</t>
    </r>
  </si>
  <si>
    <r>
      <t>2</t>
    </r>
    <r>
      <rPr>
        <sz val="8"/>
        <rFont val="Arial"/>
        <family val="2"/>
      </rPr>
      <t xml:space="preserve"> bis 1999 inkl. interner Werkverkehr (Non-Road) der Industrie</t>
    </r>
  </si>
  <si>
    <r>
      <t>2</t>
    </r>
    <r>
      <rPr>
        <sz val="8"/>
        <rFont val="Arial"/>
        <family val="2"/>
      </rPr>
      <t xml:space="preserve"> jusqu'à 1999 incl. transports sur terrain ou route privé de l'industrie</t>
    </r>
  </si>
  <si>
    <r>
      <t>3</t>
    </r>
    <r>
      <rPr>
        <sz val="8"/>
        <rFont val="Arial"/>
        <family val="2"/>
      </rPr>
      <t xml:space="preserve"> ab 1990 neue Erhebungsmethode</t>
    </r>
  </si>
  <si>
    <r>
      <t>3</t>
    </r>
    <r>
      <rPr>
        <sz val="8"/>
        <rFont val="Arial"/>
        <family val="2"/>
      </rPr>
      <t xml:space="preserve"> dès 1990, nouvelle enquête</t>
    </r>
  </si>
  <si>
    <r>
      <t>4</t>
    </r>
    <r>
      <rPr>
        <sz val="8"/>
        <rFont val="Arial"/>
        <family val="2"/>
      </rPr>
      <t xml:space="preserve"> bis 1998 ohne Gewerbe</t>
    </r>
  </si>
  <si>
    <r>
      <t>4</t>
    </r>
    <r>
      <rPr>
        <sz val="8"/>
        <rFont val="Arial"/>
        <family val="2"/>
      </rPr>
      <t xml:space="preserve"> jusqu'à 1998, sans arts et métiers</t>
    </r>
  </si>
  <si>
    <r>
      <t>5</t>
    </r>
    <r>
      <rPr>
        <sz val="8"/>
        <rFont val="Arial"/>
        <family val="2"/>
      </rPr>
      <t xml:space="preserve"> Sonne, Wind, Biogas, Umweltwärme; 1990 erstmals erfasst</t>
    </r>
  </si>
  <si>
    <r>
      <rPr>
        <vertAlign val="superscript"/>
        <sz val="8"/>
        <rFont val="Arial"/>
        <family val="2"/>
      </rPr>
      <t>5</t>
    </r>
    <r>
      <rPr>
        <sz val="8"/>
        <rFont val="Arial"/>
        <family val="2"/>
      </rPr>
      <t xml:space="preserve"> soleil, énergie éolienne, biogaz, chaleur ambiante; relevés dès 1990</t>
    </r>
  </si>
  <si>
    <t>C: Dienstleistungen</t>
  </si>
  <si>
    <t>Tabelle 17c</t>
  </si>
  <si>
    <t>C: Services</t>
  </si>
  <si>
    <t>Tableau 17c</t>
  </si>
  <si>
    <r>
      <t>Holzenergie</t>
    </r>
    <r>
      <rPr>
        <vertAlign val="superscript"/>
        <sz val="8"/>
        <rFont val="Arial"/>
        <family val="2"/>
      </rPr>
      <t>2</t>
    </r>
  </si>
  <si>
    <r>
      <t>Fernwärme</t>
    </r>
    <r>
      <rPr>
        <vertAlign val="superscript"/>
        <sz val="8"/>
        <rFont val="Arial"/>
        <family val="2"/>
      </rPr>
      <t>3</t>
    </r>
  </si>
  <si>
    <r>
      <t>Industrieabfälle</t>
    </r>
    <r>
      <rPr>
        <vertAlign val="superscript"/>
        <sz val="8"/>
        <rFont val="Arial"/>
        <family val="2"/>
      </rPr>
      <t>4</t>
    </r>
  </si>
  <si>
    <r>
      <t>Energie du bois</t>
    </r>
    <r>
      <rPr>
        <vertAlign val="superscript"/>
        <sz val="8"/>
        <rFont val="Arial"/>
        <family val="2"/>
      </rPr>
      <t>2</t>
    </r>
  </si>
  <si>
    <r>
      <t>Chaleur à distance</t>
    </r>
    <r>
      <rPr>
        <vertAlign val="superscript"/>
        <sz val="8"/>
        <rFont val="Arial"/>
        <family val="2"/>
      </rPr>
      <t>3</t>
    </r>
  </si>
  <si>
    <r>
      <t>Déchets industriels</t>
    </r>
    <r>
      <rPr>
        <vertAlign val="superscript"/>
        <sz val="8"/>
        <rFont val="Arial"/>
        <family val="2"/>
      </rPr>
      <t>4</t>
    </r>
  </si>
  <si>
    <r>
      <t>1</t>
    </r>
    <r>
      <rPr>
        <sz val="8"/>
        <rFont val="Arial"/>
        <family val="2"/>
      </rPr>
      <t xml:space="preserve"> interner Werkverkehr der  Dienstleistungen unter Verkehr</t>
    </r>
  </si>
  <si>
    <r>
      <t>1</t>
    </r>
    <r>
      <rPr>
        <sz val="8"/>
        <rFont val="Arial"/>
        <family val="2"/>
      </rPr>
      <t xml:space="preserve"> transports sur terrain ou route privé des services sous transport</t>
    </r>
  </si>
  <si>
    <r>
      <t>2</t>
    </r>
    <r>
      <rPr>
        <sz val="8"/>
        <rFont val="Arial"/>
        <family val="2"/>
      </rPr>
      <t xml:space="preserve"> ab 1990 neue Erhebungsmethode</t>
    </r>
  </si>
  <si>
    <r>
      <t>2</t>
    </r>
    <r>
      <rPr>
        <sz val="8"/>
        <rFont val="Arial"/>
        <family val="2"/>
      </rPr>
      <t xml:space="preserve"> dès 1990, nouvelle enquête</t>
    </r>
  </si>
  <si>
    <r>
      <t>3</t>
    </r>
    <r>
      <rPr>
        <sz val="8"/>
        <rFont val="Arial"/>
        <family val="2"/>
      </rPr>
      <t xml:space="preserve"> bis 1998 inklusive Gewerbe</t>
    </r>
  </si>
  <si>
    <r>
      <t>3</t>
    </r>
    <r>
      <rPr>
        <sz val="8"/>
        <rFont val="Arial"/>
        <family val="2"/>
      </rPr>
      <t xml:space="preserve"> jusqu'à 1998, y compris arts et métiers</t>
    </r>
  </si>
  <si>
    <r>
      <t>4</t>
    </r>
    <r>
      <rPr>
        <sz val="8"/>
        <rFont val="Arial"/>
        <family val="2"/>
      </rPr>
      <t xml:space="preserve"> Sonne, Wind, Biogas, Umweltwärme; 1990 erstmals erfasst</t>
    </r>
  </si>
  <si>
    <r>
      <t>4</t>
    </r>
    <r>
      <rPr>
        <sz val="8"/>
        <rFont val="Arial"/>
        <family val="2"/>
      </rPr>
      <t xml:space="preserve"> soleil, énergie éolienne, biogaz, chaleur ambiante; relevés dès 1990</t>
    </r>
  </si>
  <si>
    <t>D: Statistische Differenz inklusive Landwirtschaft</t>
  </si>
  <si>
    <t>Tabelle 17d</t>
  </si>
  <si>
    <t>D: Différences statistiques y compris agriculture</t>
  </si>
  <si>
    <t>Tableau 17d</t>
  </si>
  <si>
    <r>
      <t>davon Heizöl extra-leicht</t>
    </r>
    <r>
      <rPr>
        <vertAlign val="superscript"/>
        <sz val="8"/>
        <rFont val="Arial"/>
        <family val="2"/>
      </rPr>
      <t>2</t>
    </r>
  </si>
  <si>
    <r>
      <t>dont Huile extra-légère</t>
    </r>
    <r>
      <rPr>
        <vertAlign val="superscript"/>
        <sz val="8"/>
        <rFont val="Arial"/>
        <family val="2"/>
      </rPr>
      <t>2</t>
    </r>
  </si>
  <si>
    <r>
      <t>1</t>
    </r>
    <r>
      <rPr>
        <sz val="8"/>
        <rFont val="Arial"/>
        <family val="2"/>
      </rPr>
      <t xml:space="preserve"> interner Werkverkehr der Landwirtschaft und Forstwirtschaft unter Verkehr</t>
    </r>
  </si>
  <si>
    <r>
      <t>1</t>
    </r>
    <r>
      <rPr>
        <sz val="8"/>
        <rFont val="Arial"/>
        <family val="2"/>
      </rPr>
      <t xml:space="preserve"> transports sur terrain ou route privé de l'agriculture (sylviculture incluse) sous transport</t>
    </r>
  </si>
  <si>
    <r>
      <t>2</t>
    </r>
    <r>
      <rPr>
        <sz val="8"/>
        <rFont val="Arial"/>
        <family val="2"/>
      </rPr>
      <t xml:space="preserve"> Rundungsdifferenzen zu Total Erdölprodukte möglich</t>
    </r>
  </si>
  <si>
    <r>
      <t>2</t>
    </r>
    <r>
      <rPr>
        <sz val="8"/>
        <rFont val="Arial"/>
        <family val="2"/>
      </rPr>
      <t xml:space="preserve"> légères différences possibles par rapport au total Produits pétroliers dues à l’arrondi</t>
    </r>
  </si>
  <si>
    <t>E: Verkehr</t>
  </si>
  <si>
    <t>Tabelle 17e</t>
  </si>
  <si>
    <t>E: Transport</t>
  </si>
  <si>
    <t>Tableau 17e</t>
  </si>
  <si>
    <r>
      <t>Gas Pipelinetransport</t>
    </r>
    <r>
      <rPr>
        <vertAlign val="superscript"/>
        <sz val="8"/>
        <rFont val="Arial"/>
        <family val="2"/>
      </rPr>
      <t>4</t>
    </r>
  </si>
  <si>
    <r>
      <t>Gas übriger Vekehr</t>
    </r>
    <r>
      <rPr>
        <vertAlign val="superscript"/>
        <sz val="8"/>
        <rFont val="Arial"/>
        <family val="2"/>
      </rPr>
      <t>5</t>
    </r>
  </si>
  <si>
    <r>
      <t>Übrige erneuerbare Energien</t>
    </r>
    <r>
      <rPr>
        <vertAlign val="superscript"/>
        <sz val="8"/>
        <rFont val="Arial"/>
        <family val="2"/>
      </rPr>
      <t>6</t>
    </r>
  </si>
  <si>
    <t>Total Treibstoffe</t>
  </si>
  <si>
    <t>davon Benzin</t>
  </si>
  <si>
    <t>davon Diesel</t>
  </si>
  <si>
    <t>davon Flugtreibstoffe</t>
  </si>
  <si>
    <t xml:space="preserve">Total Elektrizität </t>
  </si>
  <si>
    <r>
      <t>davon Bahnen</t>
    </r>
    <r>
      <rPr>
        <vertAlign val="superscript"/>
        <sz val="8"/>
        <rFont val="Arial"/>
        <family val="2"/>
      </rPr>
      <t>3</t>
    </r>
  </si>
  <si>
    <t>davon Strasse</t>
  </si>
  <si>
    <t>davon Non-Road</t>
  </si>
  <si>
    <r>
      <t>Gaz transport par conduites</t>
    </r>
    <r>
      <rPr>
        <vertAlign val="superscript"/>
        <sz val="8"/>
        <rFont val="Arial"/>
        <family val="2"/>
      </rPr>
      <t>4</t>
    </r>
  </si>
  <si>
    <r>
      <t>Gaz autres transport</t>
    </r>
    <r>
      <rPr>
        <vertAlign val="superscript"/>
        <sz val="8"/>
        <rFont val="Arial"/>
        <family val="2"/>
      </rPr>
      <t>5</t>
    </r>
  </si>
  <si>
    <r>
      <t>Autres énergies renouvelables</t>
    </r>
    <r>
      <rPr>
        <vertAlign val="superscript"/>
        <sz val="8"/>
        <rFont val="Arial"/>
        <family val="2"/>
      </rPr>
      <t>6</t>
    </r>
  </si>
  <si>
    <t>Total Carburants</t>
  </si>
  <si>
    <t>dont Essence</t>
  </si>
  <si>
    <t>dont Carburant diesel</t>
  </si>
  <si>
    <t>dont Carburants d'aviation</t>
  </si>
  <si>
    <t>Total Electricité</t>
  </si>
  <si>
    <r>
      <t>dont chemins de fer</t>
    </r>
    <r>
      <rPr>
        <vertAlign val="superscript"/>
        <sz val="8"/>
        <rFont val="Arial"/>
        <family val="2"/>
      </rPr>
      <t>3</t>
    </r>
  </si>
  <si>
    <t>dont routier</t>
  </si>
  <si>
    <t>dont non routier</t>
  </si>
  <si>
    <r>
      <t>1</t>
    </r>
    <r>
      <rPr>
        <sz val="8"/>
        <rFont val="Arial"/>
        <family val="2"/>
      </rPr>
      <t xml:space="preserve"> inklusive interner Werkverkehr der Industrie, der  Dienstleistungen sowie Landwirtschaft inklusive Forstwirtschaft</t>
    </r>
  </si>
  <si>
    <r>
      <t>1</t>
    </r>
    <r>
      <rPr>
        <sz val="8"/>
        <rFont val="Arial"/>
        <family val="2"/>
      </rPr>
      <t xml:space="preserve"> transports sur terrain ou route privé de l'industrie et des services inclus, agriculture et sylviculture incluse</t>
    </r>
  </si>
  <si>
    <r>
      <t xml:space="preserve">2 </t>
    </r>
    <r>
      <rPr>
        <sz val="8"/>
        <rFont val="Arial"/>
        <family val="2"/>
      </rPr>
      <t>Quelle: Schweiz. Elektrizitätsstatistik BFE und Ex-Post Analyse Prognos/TEP/Infras</t>
    </r>
  </si>
  <si>
    <r>
      <t xml:space="preserve">2 </t>
    </r>
    <r>
      <rPr>
        <sz val="8"/>
        <rFont val="Arial"/>
        <family val="2"/>
      </rPr>
      <t>Source: Statistique suisse de l'électricité OFEN et Ex-Post Analyse Prognos/TEP/Infras</t>
    </r>
  </si>
  <si>
    <r>
      <t>3</t>
    </r>
    <r>
      <rPr>
        <sz val="8"/>
        <rFont val="Arial"/>
        <family val="2"/>
      </rPr>
      <t xml:space="preserve"> Inkl. Bergbahnen, Skilifte, Trams, Trolleybus sowie Fahrleitungsverluste</t>
    </r>
  </si>
  <si>
    <r>
      <t>3</t>
    </r>
    <r>
      <rPr>
        <sz val="8"/>
        <rFont val="Arial"/>
        <family val="2"/>
      </rPr>
      <t xml:space="preserve"> y compris chemins de fer de montagne, téléski, trams, trolleybus ainsi que pertes des caténaires</t>
    </r>
  </si>
  <si>
    <r>
      <t>4</t>
    </r>
    <r>
      <rPr>
        <sz val="8"/>
        <rFont val="Arial"/>
        <family val="2"/>
      </rPr>
      <t xml:space="preserve"> Gasverbrauch der Kompressoren zum Betrieb der Transitleitung für Erdgas</t>
    </r>
  </si>
  <si>
    <r>
      <t>4</t>
    </r>
    <r>
      <rPr>
        <sz val="8"/>
        <rFont val="Arial"/>
        <family val="2"/>
      </rPr>
      <t xml:space="preserve"> consommation de gaz des compresseurs de la conduite de transit</t>
    </r>
  </si>
  <si>
    <r>
      <t>6</t>
    </r>
    <r>
      <rPr>
        <sz val="8"/>
        <rFont val="Arial"/>
        <family val="2"/>
      </rPr>
      <t xml:space="preserve"> Biogene Treibstoffe und Biogas-Verkäufe an Tankstellen bei Biogas-Anlagen; 1997 erstmals erfasst</t>
    </r>
  </si>
  <si>
    <r>
      <t>6</t>
    </r>
    <r>
      <rPr>
        <sz val="8"/>
        <rFont val="Arial"/>
        <family val="2"/>
      </rPr>
      <t xml:space="preserve"> carburants biogènes et les ventes de biogaz aux stations-service; relevés dès 1997</t>
    </r>
  </si>
  <si>
    <r>
      <t>Endverbrauch von Erdölprodukten (in 1000 t)</t>
    </r>
    <r>
      <rPr>
        <i/>
        <vertAlign val="superscript"/>
        <sz val="10"/>
        <rFont val="Arial"/>
        <family val="2"/>
      </rPr>
      <t>1</t>
    </r>
  </si>
  <si>
    <t>Tabelle 20</t>
  </si>
  <si>
    <r>
      <t>Consommation finale des produits pétroliers (en 1000 t)</t>
    </r>
    <r>
      <rPr>
        <i/>
        <vertAlign val="superscript"/>
        <sz val="10"/>
        <rFont val="Arial"/>
        <family val="2"/>
      </rPr>
      <t>1</t>
    </r>
  </si>
  <si>
    <t>Tableau 20</t>
  </si>
  <si>
    <t>Heizöl extra-leicht</t>
  </si>
  <si>
    <t>Heizöl mittel und schwer</t>
  </si>
  <si>
    <r>
      <t>Benzin</t>
    </r>
    <r>
      <rPr>
        <vertAlign val="superscript"/>
        <sz val="8"/>
        <rFont val="Arial"/>
        <family val="2"/>
      </rPr>
      <t>2</t>
    </r>
  </si>
  <si>
    <r>
      <t>Flugtreib-stoffe</t>
    </r>
    <r>
      <rPr>
        <vertAlign val="superscript"/>
        <sz val="8"/>
        <rFont val="Arial"/>
        <family val="2"/>
      </rPr>
      <t>2</t>
    </r>
  </si>
  <si>
    <r>
      <t>Dieselöl</t>
    </r>
    <r>
      <rPr>
        <vertAlign val="superscript"/>
        <sz val="8"/>
        <rFont val="Arial"/>
        <family val="2"/>
      </rPr>
      <t>2</t>
    </r>
  </si>
  <si>
    <r>
      <t>Petrolkoks</t>
    </r>
    <r>
      <rPr>
        <vertAlign val="superscript"/>
        <sz val="8"/>
        <rFont val="Arial"/>
        <family val="2"/>
      </rPr>
      <t>3</t>
    </r>
  </si>
  <si>
    <r>
      <t>Übrige energet. Erdölprodukte</t>
    </r>
    <r>
      <rPr>
        <vertAlign val="superscript"/>
        <sz val="8"/>
        <rFont val="Arial"/>
        <family val="2"/>
      </rPr>
      <t>4</t>
    </r>
  </si>
  <si>
    <t>Endverbrauch</t>
  </si>
  <si>
    <r>
      <t>davon un-verbleit</t>
    </r>
    <r>
      <rPr>
        <vertAlign val="superscript"/>
        <sz val="8"/>
        <rFont val="Arial"/>
        <family val="2"/>
      </rPr>
      <t>2</t>
    </r>
  </si>
  <si>
    <t>verbrauch</t>
  </si>
  <si>
    <t>Huile extra-légère</t>
  </si>
  <si>
    <t>Huile moyenne et lourde</t>
  </si>
  <si>
    <r>
      <t>Essence</t>
    </r>
    <r>
      <rPr>
        <vertAlign val="superscript"/>
        <sz val="8"/>
        <rFont val="Arial"/>
        <family val="2"/>
      </rPr>
      <t>2</t>
    </r>
  </si>
  <si>
    <r>
      <t>Carburants d'aviation</t>
    </r>
    <r>
      <rPr>
        <vertAlign val="superscript"/>
        <sz val="8"/>
        <rFont val="Arial"/>
        <family val="2"/>
      </rPr>
      <t>2</t>
    </r>
  </si>
  <si>
    <r>
      <t>Carburant diesel</t>
    </r>
    <r>
      <rPr>
        <vertAlign val="superscript"/>
        <sz val="8"/>
        <rFont val="Arial"/>
        <family val="2"/>
      </rPr>
      <t>2</t>
    </r>
  </si>
  <si>
    <r>
      <t>Coke de pétrole</t>
    </r>
    <r>
      <rPr>
        <vertAlign val="superscript"/>
        <sz val="8"/>
        <rFont val="Arial"/>
        <family val="2"/>
      </rPr>
      <t>3</t>
    </r>
  </si>
  <si>
    <r>
      <t>Autres produits pétroliers énerg.</t>
    </r>
    <r>
      <rPr>
        <vertAlign val="superscript"/>
        <sz val="8"/>
        <rFont val="Arial"/>
        <family val="2"/>
      </rPr>
      <t>4</t>
    </r>
  </si>
  <si>
    <t>Consommation finale</t>
  </si>
  <si>
    <r>
      <t>dont sans plomb</t>
    </r>
    <r>
      <rPr>
        <vertAlign val="superscript"/>
        <sz val="8"/>
        <rFont val="Arial"/>
        <family val="2"/>
      </rPr>
      <t>2</t>
    </r>
  </si>
  <si>
    <r>
      <t>1</t>
    </r>
    <r>
      <rPr>
        <sz val="8"/>
        <rFont val="Arial"/>
        <family val="2"/>
      </rPr>
      <t xml:space="preserve"> ab 1997 revidierte Erhebungsmethode</t>
    </r>
  </si>
  <si>
    <r>
      <t>1</t>
    </r>
    <r>
      <rPr>
        <sz val="8"/>
        <rFont val="Arial"/>
        <family val="2"/>
      </rPr>
      <t xml:space="preserve"> dès 1997, changement de l'enquête</t>
    </r>
  </si>
  <si>
    <r>
      <t>2</t>
    </r>
    <r>
      <rPr>
        <sz val="8"/>
        <rFont val="Arial"/>
        <family val="2"/>
      </rPr>
      <t xml:space="preserve"> Absatz</t>
    </r>
  </si>
  <si>
    <r>
      <t>2</t>
    </r>
    <r>
      <rPr>
        <sz val="8"/>
        <rFont val="Arial"/>
        <family val="2"/>
      </rPr>
      <t xml:space="preserve"> Débit</t>
    </r>
  </si>
  <si>
    <r>
      <t>3</t>
    </r>
    <r>
      <rPr>
        <sz val="8"/>
        <rFont val="Arial"/>
        <family val="2"/>
      </rPr>
      <t xml:space="preserve"> vor 1979 in der Kolonne 'Übrige energet. Erdölprodukte' enthalten     </t>
    </r>
  </si>
  <si>
    <r>
      <t>3</t>
    </r>
    <r>
      <rPr>
        <sz val="8"/>
        <rFont val="Arial"/>
        <family val="2"/>
      </rPr>
      <t xml:space="preserve"> avant 1979, inclus dans la colonne 'Autres produits pétroliers énergétiques'</t>
    </r>
  </si>
  <si>
    <r>
      <t>4</t>
    </r>
    <r>
      <rPr>
        <sz val="8"/>
        <rFont val="Arial"/>
        <family val="2"/>
      </rPr>
      <t xml:space="preserve"> Flüssiggase, Leuchtpetrol, White Spirit, VGO</t>
    </r>
  </si>
  <si>
    <r>
      <t>4</t>
    </r>
    <r>
      <rPr>
        <sz val="8"/>
        <rFont val="Arial"/>
        <family val="2"/>
      </rPr>
      <t xml:space="preserve"> Gaz liquéfié, pétrole lampant, White Spirit, VGO</t>
    </r>
  </si>
  <si>
    <t>Quellen: Carbura, Avenergy, BFE</t>
  </si>
  <si>
    <t>Sources: Carbura, Avenergy, OFEN</t>
  </si>
  <si>
    <t>Elektrizitätserzeugung</t>
  </si>
  <si>
    <t>Tabelle 24</t>
  </si>
  <si>
    <t>Production d'électricité</t>
  </si>
  <si>
    <t>Tableau 24</t>
  </si>
  <si>
    <t>Wasserkraftwerke</t>
  </si>
  <si>
    <t>Kernkraftwerke</t>
  </si>
  <si>
    <r>
      <t>Konventionell-thermische Kraft- und Fernheizkraftwerke</t>
    </r>
    <r>
      <rPr>
        <vertAlign val="superscript"/>
        <sz val="8"/>
        <rFont val="Arial"/>
        <family val="2"/>
      </rPr>
      <t>1</t>
    </r>
  </si>
  <si>
    <r>
      <t>Diverse erneuerbare Energien</t>
    </r>
    <r>
      <rPr>
        <vertAlign val="superscript"/>
        <sz val="8"/>
        <rFont val="Arial"/>
        <family val="2"/>
      </rPr>
      <t>3</t>
    </r>
  </si>
  <si>
    <t>Landes-erzeugung (brutto)</t>
  </si>
  <si>
    <t>Verbrauch der Speicher-pumpen</t>
  </si>
  <si>
    <t>Nettoerz. (Speicher-pumpen abgezogen)</t>
  </si>
  <si>
    <t>Laufwerke</t>
  </si>
  <si>
    <t>Speicher-werke</t>
  </si>
  <si>
    <t>davon
nicht erneuerbarer</t>
  </si>
  <si>
    <r>
      <t xml:space="preserve">davon
erneuerbar </t>
    </r>
    <r>
      <rPr>
        <vertAlign val="superscript"/>
        <sz val="8"/>
        <rFont val="Arial"/>
        <family val="2"/>
      </rPr>
      <t>2</t>
    </r>
  </si>
  <si>
    <t>Feuerungen mit Holz und Holzanteilen</t>
  </si>
  <si>
    <t>Biogas-anlagen</t>
  </si>
  <si>
    <t>Photovoltaik-anlagen</t>
  </si>
  <si>
    <t>Windenergie-anlagen</t>
  </si>
  <si>
    <t>Centrales hydrauliques</t>
  </si>
  <si>
    <t>Centrales nucléaires</t>
  </si>
  <si>
    <r>
      <t>Centrales thermiques class. et centrales chaleur-force</t>
    </r>
    <r>
      <rPr>
        <vertAlign val="superscript"/>
        <sz val="8"/>
        <rFont val="Arial"/>
        <family val="2"/>
      </rPr>
      <t>1</t>
    </r>
  </si>
  <si>
    <r>
      <t>Energies renouvelables diverses</t>
    </r>
    <r>
      <rPr>
        <vertAlign val="superscript"/>
        <sz val="8"/>
        <rFont val="Arial"/>
        <family val="2"/>
      </rPr>
      <t>3</t>
    </r>
  </si>
  <si>
    <t>Production nationale (brute)</t>
  </si>
  <si>
    <t>Pompage d'accumu-lation</t>
  </si>
  <si>
    <t>Production nette (pompage déduit)</t>
  </si>
  <si>
    <t>Centrales au fil de l'eau</t>
  </si>
  <si>
    <t>Centrales à accumulation</t>
  </si>
  <si>
    <t>dont
non renouvelable</t>
  </si>
  <si>
    <r>
      <t xml:space="preserve">dont renouvelable </t>
    </r>
    <r>
      <rPr>
        <vertAlign val="superscript"/>
        <sz val="8"/>
        <rFont val="Arial"/>
        <family val="2"/>
      </rPr>
      <t>2</t>
    </r>
  </si>
  <si>
    <t>Chauffages au bois et en partie au bois</t>
  </si>
  <si>
    <t>Installations au biogaz</t>
  </si>
  <si>
    <r>
      <t>Installations photo-volta</t>
    </r>
    <r>
      <rPr>
        <sz val="8"/>
        <rFont val="Arial"/>
        <family val="2"/>
      </rPr>
      <t>ï</t>
    </r>
    <r>
      <rPr>
        <sz val="8"/>
        <rFont val="Arial"/>
        <family val="2"/>
      </rPr>
      <t>ques</t>
    </r>
  </si>
  <si>
    <t>Éoliennes</t>
  </si>
  <si>
    <r>
      <t>1</t>
    </r>
    <r>
      <rPr>
        <sz val="8"/>
        <rFont val="Arial"/>
        <family val="2"/>
      </rPr>
      <t xml:space="preserve"> Die "Therm. Stromprod. gem. Elektrizitätsstatistik" im Anhang A.1c der Publikation "Thermische Stromproduktion inklusive Wärmekraftkopplung (WKK) in der Schweiz" des BFE beinhaltet zusätzlich die Feuerungen mit Holz und Holzanteilen sowie die Biogasanlagen.</t>
    </r>
  </si>
  <si>
    <r>
      <t>1</t>
    </r>
    <r>
      <rPr>
        <sz val="8"/>
        <rFont val="Arial"/>
        <family val="2"/>
      </rPr>
      <t xml:space="preserve"> La production d’électricité thermique selon la statistique de l’électricité («Therm. Stromprod. gem. Elektrizitätsstatistik») mentionnée à l’annexe A.1c de la publication de l’OFEN intitulée «Thermische Stromproduktion inklusive Wärmekraftkopplung (WKK) in der Schweiz» (Production d'électricité thermique, y compris le couplage chaleur-force (CCF) en Suisse) comprend en plus les chauffages au bois et en partie au bois ainsi que les installations à biogaz.</t>
    </r>
  </si>
  <si>
    <r>
      <t>2</t>
    </r>
    <r>
      <rPr>
        <sz val="8"/>
        <rFont val="Arial"/>
        <family val="2"/>
      </rPr>
      <t xml:space="preserve"> aus Kehrichtverbrennungsanlagen und erneuerbaren Abfällen; 1990 erstmals erfasst</t>
    </r>
  </si>
  <si>
    <r>
      <t>2</t>
    </r>
    <r>
      <rPr>
        <sz val="8"/>
        <rFont val="Arial"/>
        <family val="2"/>
      </rPr>
      <t xml:space="preserve"> provenant d’usines d’incinération des ordures ménagères et les déchets renouvelables; relevés dès 1990</t>
    </r>
  </si>
  <si>
    <r>
      <t>3</t>
    </r>
    <r>
      <rPr>
        <sz val="8"/>
        <rFont val="Arial"/>
        <family val="2"/>
      </rPr>
      <t xml:space="preserve"> 1990 erstmals erfasst</t>
    </r>
  </si>
  <si>
    <r>
      <t>3</t>
    </r>
    <r>
      <rPr>
        <sz val="8"/>
        <rFont val="Arial"/>
        <family val="2"/>
      </rPr>
      <t xml:space="preserve"> relevés dès 1990</t>
    </r>
  </si>
  <si>
    <t>Quelle: Schweiz. Elektrizitätsstatistik und Statistik der erneuerbaren Energien des BFE</t>
  </si>
  <si>
    <t>Source: Statistique suisse de l'électricité et statistique des énergies renouvelables de l'OFEN</t>
  </si>
  <si>
    <t>Elektrizität: Verbrauch (in GWh)</t>
  </si>
  <si>
    <t>Tabelle 25</t>
  </si>
  <si>
    <t>Electricité: Consommation (en GWh)</t>
  </si>
  <si>
    <t>Tableau 25</t>
  </si>
  <si>
    <t xml:space="preserve">Jahr </t>
  </si>
  <si>
    <t>Nettoerzeugung</t>
  </si>
  <si>
    <t xml:space="preserve">Import </t>
  </si>
  <si>
    <t>Export</t>
  </si>
  <si>
    <t>Import/Export-Saldo</t>
  </si>
  <si>
    <t>Landesverbrauch</t>
  </si>
  <si>
    <t>Uebertragungs- und Verteilverluste (-)</t>
  </si>
  <si>
    <t>Endverbrauch Total</t>
  </si>
  <si>
    <t>Production nette</t>
  </si>
  <si>
    <t>Solde import/export</t>
  </si>
  <si>
    <t>Consommation du pays</t>
  </si>
  <si>
    <t>Pertes de transport et de distribution (-)</t>
  </si>
  <si>
    <t>Consommation finale Total</t>
  </si>
  <si>
    <t>Quelle: Schweiz. Elektrizitätsstatistik des BFE</t>
  </si>
  <si>
    <t>Source: Statistique suisse de l'électricité de l'OFEN</t>
  </si>
  <si>
    <t>Fernwärme: Produktion und Endverbrauch (in TJ)</t>
  </si>
  <si>
    <t>Tabelle 26</t>
  </si>
  <si>
    <t>Chaleur à distance: production et consommation finale (en TJ)</t>
  </si>
  <si>
    <t>Tableau 26</t>
  </si>
  <si>
    <t>Energieeinsatz</t>
  </si>
  <si>
    <t>Produktion</t>
  </si>
  <si>
    <t>Netzabgabe</t>
  </si>
  <si>
    <t>Endverbrauch Fernwärme</t>
  </si>
  <si>
    <r>
      <t>Müll</t>
    </r>
    <r>
      <rPr>
        <vertAlign val="superscript"/>
        <sz val="8"/>
        <rFont val="Arial"/>
        <family val="2"/>
      </rPr>
      <t>2</t>
    </r>
  </si>
  <si>
    <t>Holz</t>
  </si>
  <si>
    <r>
      <t>Kern-brennstoffe</t>
    </r>
    <r>
      <rPr>
        <vertAlign val="superscript"/>
        <sz val="8"/>
        <rFont val="Arial"/>
        <family val="2"/>
      </rPr>
      <t>3</t>
    </r>
  </si>
  <si>
    <r>
      <t>Diverses</t>
    </r>
    <r>
      <rPr>
        <vertAlign val="superscript"/>
        <sz val="8"/>
        <rFont val="Arial"/>
        <family val="2"/>
      </rPr>
      <t>4</t>
    </r>
  </si>
  <si>
    <t>Wärme</t>
  </si>
  <si>
    <t>Energie utilisé</t>
  </si>
  <si>
    <t>Production</t>
  </si>
  <si>
    <t>Fourniture au réseau</t>
  </si>
  <si>
    <t>Consommation finale de chaleur à distance</t>
  </si>
  <si>
    <r>
      <t>Ordures</t>
    </r>
    <r>
      <rPr>
        <vertAlign val="superscript"/>
        <sz val="8"/>
        <rFont val="Arial"/>
        <family val="2"/>
      </rPr>
      <t>2</t>
    </r>
  </si>
  <si>
    <t>Bois</t>
  </si>
  <si>
    <r>
      <t>Combustibles nucléaires</t>
    </r>
    <r>
      <rPr>
        <vertAlign val="superscript"/>
        <sz val="8"/>
        <rFont val="Arial"/>
        <family val="2"/>
      </rPr>
      <t>3</t>
    </r>
  </si>
  <si>
    <r>
      <t>Divers</t>
    </r>
    <r>
      <rPr>
        <vertAlign val="superscript"/>
        <sz val="8"/>
        <rFont val="Arial"/>
        <family val="2"/>
      </rPr>
      <t>4</t>
    </r>
  </si>
  <si>
    <t>Chaleur</t>
  </si>
  <si>
    <r>
      <t>1</t>
    </r>
    <r>
      <rPr>
        <sz val="8"/>
        <rFont val="Arial"/>
        <family val="2"/>
      </rPr>
      <t xml:space="preserve"> unterer Heizwert</t>
    </r>
  </si>
  <si>
    <r>
      <t>1</t>
    </r>
    <r>
      <rPr>
        <sz val="8"/>
        <rFont val="Arial"/>
        <family val="2"/>
      </rPr>
      <t xml:space="preserve"> pouvoir calorifique inférieur</t>
    </r>
  </si>
  <si>
    <r>
      <t>2</t>
    </r>
    <r>
      <rPr>
        <sz val="8"/>
        <rFont val="Arial"/>
        <family val="2"/>
      </rPr>
      <t xml:space="preserve"> inklusive Eigenverbrauch KVA</t>
    </r>
    <r>
      <rPr>
        <vertAlign val="superscript"/>
        <sz val="8"/>
        <rFont val="Arial"/>
        <family val="2"/>
      </rPr>
      <t>;</t>
    </r>
    <r>
      <rPr>
        <sz val="8"/>
        <rFont val="Arial"/>
        <family val="2"/>
      </rPr>
      <t xml:space="preserve"> ab 2018 inkl. Klärschlamm </t>
    </r>
  </si>
  <si>
    <r>
      <t>2</t>
    </r>
    <r>
      <rPr>
        <sz val="8"/>
        <rFont val="Arial"/>
        <family val="2"/>
      </rPr>
      <t xml:space="preserve"> y compris consommation des UIOM; dès 2018 y compris boues d'épuration</t>
    </r>
  </si>
  <si>
    <r>
      <t>3</t>
    </r>
    <r>
      <rPr>
        <sz val="8"/>
        <rFont val="Arial"/>
        <family val="2"/>
      </rPr>
      <t xml:space="preserve"> nur Anteil für Fernwärme</t>
    </r>
  </si>
  <si>
    <r>
      <t>3</t>
    </r>
    <r>
      <rPr>
        <sz val="8"/>
        <rFont val="Arial"/>
        <family val="2"/>
      </rPr>
      <t xml:space="preserve"> seulement part pour chaleur à distance</t>
    </r>
  </si>
  <si>
    <r>
      <t xml:space="preserve">4 </t>
    </r>
    <r>
      <rPr>
        <sz val="8"/>
        <rFont val="Arial"/>
        <family val="2"/>
      </rPr>
      <t>bis 2017 inkl. Klärschlamm</t>
    </r>
  </si>
  <si>
    <r>
      <t xml:space="preserve">4 </t>
    </r>
    <r>
      <rPr>
        <sz val="8"/>
        <rFont val="Arial"/>
        <family val="2"/>
      </rPr>
      <t>jusqu'à 2017 y compris boues d'épuration</t>
    </r>
  </si>
  <si>
    <t>Quelle: BFE</t>
  </si>
  <si>
    <t>Source: OFEN</t>
  </si>
  <si>
    <t>Kehricht: Verbrennungsanlagen, Leistung, Verbrauch, Produktion</t>
  </si>
  <si>
    <t>Tabelle 27</t>
  </si>
  <si>
    <t>Ordures: usines d'incinération, puissance, consommation, production</t>
  </si>
  <si>
    <t>Tableau 27</t>
  </si>
  <si>
    <t>Kehrichtverbrennungsanlagen mit Energienutzung</t>
  </si>
  <si>
    <t>Installierte elektrische Nennleistung (MW)</t>
  </si>
  <si>
    <t>Energieverbrauch (GWh)</t>
  </si>
  <si>
    <t>Effektiv genutzte Energie (GWh)</t>
  </si>
  <si>
    <t>Eigenbedarf (GWh)</t>
  </si>
  <si>
    <t>Abgegebene Energie (GWh)</t>
  </si>
  <si>
    <t>Kehricht</t>
  </si>
  <si>
    <t>fossile Energien</t>
  </si>
  <si>
    <t>Usines d'incinération avec utilisation d'énergie</t>
  </si>
  <si>
    <t>Puissance électrique installée (MW)</t>
  </si>
  <si>
    <t>Consommation d'énergie (GWh)</t>
  </si>
  <si>
    <t>Energie utilisée (GWh)</t>
  </si>
  <si>
    <t>Consommation propre d'énergie (GWh)</t>
  </si>
  <si>
    <t>Vente d'énergie (GWh)</t>
  </si>
  <si>
    <t>Energies fossiles</t>
  </si>
  <si>
    <t>Quelle: Statistik der erneuerbaren Energien, BFE</t>
  </si>
  <si>
    <t>Source: Statistique des énergies renouvelables, OFEN</t>
  </si>
  <si>
    <r>
      <t>Holz und Holzkohle: Produktion, Handel und Verbrauch (TJ)</t>
    </r>
    <r>
      <rPr>
        <i/>
        <vertAlign val="superscript"/>
        <sz val="10"/>
        <rFont val="Arial"/>
        <family val="2"/>
      </rPr>
      <t>1</t>
    </r>
  </si>
  <si>
    <t>Tabelle 28</t>
  </si>
  <si>
    <r>
      <t>Bois et charbon de bois: production, commerce et consommation (TJ)</t>
    </r>
    <r>
      <rPr>
        <i/>
        <vertAlign val="superscript"/>
        <sz val="10"/>
        <rFont val="Arial"/>
        <family val="2"/>
      </rPr>
      <t>1</t>
    </r>
  </si>
  <si>
    <t>Tableau 28</t>
  </si>
  <si>
    <r>
      <t>Inländische Holzgewinnung</t>
    </r>
    <r>
      <rPr>
        <vertAlign val="superscript"/>
        <sz val="8"/>
        <rFont val="Arial"/>
        <family val="2"/>
      </rPr>
      <t>2</t>
    </r>
  </si>
  <si>
    <t>Importe</t>
  </si>
  <si>
    <r>
      <t>Exporte</t>
    </r>
    <r>
      <rPr>
        <vertAlign val="superscript"/>
        <sz val="8"/>
        <rFont val="Arial"/>
        <family val="2"/>
      </rPr>
      <t>4</t>
    </r>
  </si>
  <si>
    <t>Bruttoverbrauch</t>
  </si>
  <si>
    <r>
      <t>Umwandlung in Elektrizität und Fernwärme</t>
    </r>
    <r>
      <rPr>
        <vertAlign val="superscript"/>
        <sz val="8"/>
        <rFont val="Arial"/>
        <family val="2"/>
      </rPr>
      <t>5</t>
    </r>
  </si>
  <si>
    <r>
      <t>Brennholz</t>
    </r>
    <r>
      <rPr>
        <vertAlign val="superscript"/>
        <sz val="8"/>
        <rFont val="Arial"/>
        <family val="2"/>
      </rPr>
      <t>3</t>
    </r>
  </si>
  <si>
    <t>Pellets</t>
  </si>
  <si>
    <t>Holzkohle</t>
  </si>
  <si>
    <r>
      <t>Production indigène</t>
    </r>
    <r>
      <rPr>
        <vertAlign val="superscript"/>
        <sz val="8"/>
        <rFont val="Arial"/>
        <family val="2"/>
      </rPr>
      <t>2</t>
    </r>
  </si>
  <si>
    <t>Importations</t>
  </si>
  <si>
    <r>
      <t>Exportations</t>
    </r>
    <r>
      <rPr>
        <vertAlign val="superscript"/>
        <sz val="8"/>
        <rFont val="Arial"/>
        <family val="2"/>
      </rPr>
      <t>4</t>
    </r>
  </si>
  <si>
    <t>Consommation brute</t>
  </si>
  <si>
    <r>
      <t>Transformation en électricité et chaleur à distance</t>
    </r>
    <r>
      <rPr>
        <vertAlign val="superscript"/>
        <sz val="8"/>
        <rFont val="Arial"/>
        <family val="2"/>
      </rPr>
      <t>5</t>
    </r>
  </si>
  <si>
    <r>
      <t>Bois de chauffage</t>
    </r>
    <r>
      <rPr>
        <vertAlign val="superscript"/>
        <sz val="8"/>
        <rFont val="Arial"/>
        <family val="2"/>
      </rPr>
      <t>3</t>
    </r>
  </si>
  <si>
    <t>Granulés</t>
  </si>
  <si>
    <t>Charbon de bois</t>
  </si>
  <si>
    <r>
      <t>1</t>
    </r>
    <r>
      <rPr>
        <sz val="8"/>
        <rFont val="Arial"/>
        <family val="2"/>
      </rPr>
      <t xml:space="preserve"> ab 1990 revidierte Erhebungsmethode</t>
    </r>
  </si>
  <si>
    <r>
      <t>2</t>
    </r>
    <r>
      <rPr>
        <sz val="8"/>
        <rFont val="Arial"/>
        <family val="2"/>
      </rPr>
      <t xml:space="preserve"> ohne Altholznutzung in Kehrichtverbrennungsanlagen</t>
    </r>
  </si>
  <si>
    <r>
      <t>2</t>
    </r>
    <r>
      <rPr>
        <sz val="8"/>
        <rFont val="Arial"/>
        <family val="2"/>
      </rPr>
      <t xml:space="preserve"> sans le bois de démolition éliminé dans des usines d'incinération</t>
    </r>
  </si>
  <si>
    <r>
      <t>3</t>
    </r>
    <r>
      <rPr>
        <sz val="8"/>
        <rFont val="Arial"/>
        <family val="2"/>
      </rPr>
      <t xml:space="preserve"> inklusive Holzbriketts</t>
    </r>
  </si>
  <si>
    <r>
      <t>3</t>
    </r>
    <r>
      <rPr>
        <sz val="8"/>
        <rFont val="Arial"/>
        <family val="2"/>
      </rPr>
      <t xml:space="preserve"> avec des briquettes de bois</t>
    </r>
  </si>
  <si>
    <r>
      <t>4</t>
    </r>
    <r>
      <rPr>
        <sz val="8"/>
        <rFont val="Arial"/>
        <family val="2"/>
      </rPr>
      <t xml:space="preserve"> seit 1990 erfasst</t>
    </r>
  </si>
  <si>
    <r>
      <t>5</t>
    </r>
    <r>
      <rPr>
        <sz val="8"/>
        <rFont val="Arial"/>
        <family val="2"/>
      </rPr>
      <t xml:space="preserve"> seit 1990 erfasst, bis 1998 nur Umwandlung in Elektrizität</t>
    </r>
  </si>
  <si>
    <r>
      <t>5</t>
    </r>
    <r>
      <rPr>
        <sz val="8"/>
        <rFont val="Arial"/>
        <family val="2"/>
      </rPr>
      <t xml:space="preserve"> relevés dès 1990, jusqu'à 1998 uniquement transformation en électricité</t>
    </r>
  </si>
  <si>
    <t>Quelle: Schweizerische Holzenergiestatistik des BFE, Aussenhandelsstatistik des BAZG</t>
  </si>
  <si>
    <t>Source: Statistique suisse du bois de l’OFEN, statistique suisse du commerce extérieur de l'OFDF</t>
  </si>
  <si>
    <t>Brennholz: Verbrauch nach Anlagentypen</t>
  </si>
  <si>
    <t>Tabelle 29</t>
  </si>
  <si>
    <t>Bois de chauffage: Consommation selon les différents types de chauffage</t>
  </si>
  <si>
    <t>Tableau 29</t>
  </si>
  <si>
    <t>Einzelraum-
heizungen</t>
  </si>
  <si>
    <t>Gebäude-
heizungen</t>
  </si>
  <si>
    <t>Automatische Feuerungen</t>
  </si>
  <si>
    <t>Altholznutzung in Spezialfeuerungen</t>
  </si>
  <si>
    <r>
      <t>Total</t>
    </r>
    <r>
      <rPr>
        <vertAlign val="superscript"/>
        <sz val="8"/>
        <rFont val="Arial"/>
        <family val="2"/>
      </rPr>
      <t>1</t>
    </r>
  </si>
  <si>
    <t>Chauffages individuels</t>
  </si>
  <si>
    <t>Chauffages d'immeubles</t>
  </si>
  <si>
    <t>Chauffages automatiques</t>
  </si>
  <si>
    <t>Bois de démolition dans des chaudières spéciales</t>
  </si>
  <si>
    <r>
      <t>1</t>
    </r>
    <r>
      <rPr>
        <sz val="8"/>
        <rFont val="Arial"/>
        <family val="2"/>
      </rPr>
      <t xml:space="preserve"> entspricht dem Bruttoverbrauch abzüglich des Import-Saldos von Holzkohle gemäss Tabelle 28</t>
    </r>
  </si>
  <si>
    <r>
      <t>1</t>
    </r>
    <r>
      <rPr>
        <sz val="8"/>
        <rFont val="Arial"/>
        <family val="2"/>
      </rPr>
      <t xml:space="preserve"> correspond à la consommation brute sans le solde des importations de charbon de bois selon tableau 28</t>
    </r>
  </si>
  <si>
    <t>Quelle: Schweizerische Holzenergiestatistik, BFE</t>
  </si>
  <si>
    <t>Source: Statistique suisse du bois, BFE</t>
  </si>
  <si>
    <t>Windenergie: Anlagen, Leistung, Produktion</t>
  </si>
  <si>
    <t>Tabelle 31</t>
  </si>
  <si>
    <t>Energie éolienne: éoliennes, puissance, production</t>
  </si>
  <si>
    <t>Tableau 31</t>
  </si>
  <si>
    <r>
      <t>Anzahl Anlagen</t>
    </r>
    <r>
      <rPr>
        <vertAlign val="superscript"/>
        <sz val="8"/>
        <rFont val="Arial"/>
        <family val="2"/>
      </rPr>
      <t>1</t>
    </r>
  </si>
  <si>
    <t>Installierte Leistung (MW)</t>
  </si>
  <si>
    <t>Elektrizitätsproduktion (GWh)</t>
  </si>
  <si>
    <r>
      <t>Nombre d'éoliennes</t>
    </r>
    <r>
      <rPr>
        <vertAlign val="superscript"/>
        <sz val="8"/>
        <rFont val="Arial"/>
        <family val="2"/>
      </rPr>
      <t>1</t>
    </r>
  </si>
  <si>
    <t>Puissance installée (MW)</t>
  </si>
  <si>
    <t>Production d'électricité (GWh)</t>
  </si>
  <si>
    <r>
      <rPr>
        <vertAlign val="superscript"/>
        <sz val="8"/>
        <rFont val="Arial"/>
        <family val="2"/>
      </rPr>
      <t>1</t>
    </r>
    <r>
      <rPr>
        <sz val="8"/>
        <rFont val="Arial"/>
        <family val="2"/>
      </rPr>
      <t xml:space="preserve"> Bis 2020 Anzahl Standorte </t>
    </r>
  </si>
  <si>
    <r>
      <rPr>
        <vertAlign val="superscript"/>
        <sz val="8"/>
        <rFont val="Arial"/>
        <family val="2"/>
      </rPr>
      <t>1</t>
    </r>
    <r>
      <rPr>
        <sz val="8"/>
        <rFont val="Arial"/>
        <family val="2"/>
      </rPr>
      <t xml:space="preserve"> Nombre de sites jusqu'en 2020</t>
    </r>
  </si>
  <si>
    <t>Sonnenenergie: Photovoltaikanlagen, Leistung, Produktion</t>
  </si>
  <si>
    <t>Tabelle 32</t>
  </si>
  <si>
    <t>Energie solaire: installations photovoltaïques, puissance, production</t>
  </si>
  <si>
    <t>Tableau 32</t>
  </si>
  <si>
    <t xml:space="preserve">Anlagenbestand </t>
  </si>
  <si>
    <r>
      <t>Installierte elektr. Nennleistung (MWp DC)</t>
    </r>
    <r>
      <rPr>
        <vertAlign val="superscript"/>
        <sz val="8"/>
        <rFont val="Arial"/>
        <family val="2"/>
      </rPr>
      <t>1</t>
    </r>
  </si>
  <si>
    <t>Netzgekoppelt</t>
  </si>
  <si>
    <t>Inselanlagen</t>
  </si>
  <si>
    <r>
      <t>Inselanlagen</t>
    </r>
    <r>
      <rPr>
        <vertAlign val="superscript"/>
        <sz val="8"/>
        <rFont val="Arial"/>
        <family val="2"/>
      </rPr>
      <t>2</t>
    </r>
  </si>
  <si>
    <t>Nombre d'installations</t>
  </si>
  <si>
    <r>
      <t>Puissance installée (MWp DC)</t>
    </r>
    <r>
      <rPr>
        <vertAlign val="superscript"/>
        <sz val="8"/>
        <rFont val="Arial"/>
        <family val="2"/>
      </rPr>
      <t>1</t>
    </r>
  </si>
  <si>
    <t>Production d' électricité GWh)</t>
  </si>
  <si>
    <t>Reliées au réseau</t>
  </si>
  <si>
    <t xml:space="preserve">Non reliées au réseau </t>
  </si>
  <si>
    <r>
      <t>Non reliées au réseau</t>
    </r>
    <r>
      <rPr>
        <vertAlign val="superscript"/>
        <sz val="8"/>
        <rFont val="Arial"/>
        <family val="2"/>
      </rPr>
      <t>2</t>
    </r>
  </si>
  <si>
    <r>
      <t>1</t>
    </r>
    <r>
      <rPr>
        <sz val="8"/>
        <rFont val="Arial"/>
        <family val="2"/>
      </rPr>
      <t xml:space="preserve"> Gleichstromspitzenleistung</t>
    </r>
  </si>
  <si>
    <r>
      <t>1</t>
    </r>
    <r>
      <rPr>
        <sz val="8"/>
        <rFont val="Arial"/>
        <family val="2"/>
      </rPr>
      <t xml:space="preserve"> Puissance de crête en courant continu</t>
    </r>
  </si>
  <si>
    <r>
      <t>2</t>
    </r>
    <r>
      <rPr>
        <sz val="8"/>
        <rFont val="Arial"/>
        <family val="2"/>
      </rPr>
      <t xml:space="preserve"> Schätzung</t>
    </r>
  </si>
  <si>
    <r>
      <t>2</t>
    </r>
    <r>
      <rPr>
        <sz val="8"/>
        <rFont val="Arial"/>
        <family val="2"/>
      </rPr>
      <t xml:space="preserve"> Estimation</t>
    </r>
  </si>
  <si>
    <t>Sonnenenergie: Kollektoranlagen, Flächen, Produktion</t>
  </si>
  <si>
    <t>Tabelle 33</t>
  </si>
  <si>
    <t>Energie solaire: capteurs solaires, surface, production</t>
  </si>
  <si>
    <t>Tableau 33</t>
  </si>
  <si>
    <t>Installierte Kollektorfläche (1000 m2)</t>
  </si>
  <si>
    <t>Wärmeertrag (GWh)</t>
  </si>
  <si>
    <t>Röhren- und Flachkollektoren</t>
  </si>
  <si>
    <t>unverglaste Kollektoren</t>
  </si>
  <si>
    <t>Surface de capteurs installée (1000 m2)</t>
  </si>
  <si>
    <t>Production de chaleur (GWh)</t>
  </si>
  <si>
    <t>Capteurs turbulaines</t>
  </si>
  <si>
    <t>Capteurs non vitrés</t>
  </si>
  <si>
    <t>Biogas: Anlagen, Verbrauch, Produktion</t>
  </si>
  <si>
    <t>Tabelle 34a</t>
  </si>
  <si>
    <t>Biogaz: installations, consommation, production</t>
  </si>
  <si>
    <t>Tableau 34a</t>
  </si>
  <si>
    <t>Anzahl Biogasanlagen, in:</t>
  </si>
  <si>
    <t>Biogasverbrauch (GWh), in:</t>
  </si>
  <si>
    <t>Effektiv genutzte Wärme (GWh), in:</t>
  </si>
  <si>
    <t>Produzierte Elektrizität (GWh), in:</t>
  </si>
  <si>
    <t>Landwirtschaft</t>
  </si>
  <si>
    <r>
      <t>Abfallbe-wirtschaftung</t>
    </r>
    <r>
      <rPr>
        <vertAlign val="superscript"/>
        <sz val="8"/>
        <rFont val="Arial"/>
        <family val="2"/>
      </rPr>
      <t>1</t>
    </r>
  </si>
  <si>
    <r>
      <t>Abwasserbe-wirtschaftung</t>
    </r>
    <r>
      <rPr>
        <vertAlign val="superscript"/>
        <sz val="8"/>
        <rFont val="Arial"/>
        <family val="2"/>
      </rPr>
      <t>2</t>
    </r>
  </si>
  <si>
    <t>Nombre d'installations à biogaz</t>
  </si>
  <si>
    <t>Consommation de biogaz (GWh)</t>
  </si>
  <si>
    <t>Chaleur utilisée (GWh)</t>
  </si>
  <si>
    <t>Agriculture</t>
  </si>
  <si>
    <r>
      <t>Traitement des ordures</t>
    </r>
    <r>
      <rPr>
        <vertAlign val="superscript"/>
        <sz val="8"/>
        <rFont val="Arial"/>
        <family val="2"/>
      </rPr>
      <t>1</t>
    </r>
  </si>
  <si>
    <r>
      <t>Traitement des eaux usées</t>
    </r>
    <r>
      <rPr>
        <vertAlign val="superscript"/>
        <sz val="8"/>
        <rFont val="Arial"/>
        <family val="2"/>
      </rPr>
      <t>2</t>
    </r>
  </si>
  <si>
    <r>
      <t>1</t>
    </r>
    <r>
      <rPr>
        <sz val="8"/>
        <rFont val="Arial"/>
        <family val="2"/>
      </rPr>
      <t xml:space="preserve"> Deponiegas und Biogasanlagen Gewerbe/Industrie</t>
    </r>
  </si>
  <si>
    <r>
      <t>1</t>
    </r>
    <r>
      <rPr>
        <sz val="8"/>
        <rFont val="Arial"/>
        <family val="2"/>
      </rPr>
      <t xml:space="preserve"> Installations à gaz de décharge et à biogaz de l'industrie et des arts et métiers</t>
    </r>
  </si>
  <si>
    <r>
      <t>2</t>
    </r>
    <r>
      <rPr>
        <sz val="8"/>
        <rFont val="Arial"/>
        <family val="2"/>
      </rPr>
      <t xml:space="preserve"> Klärgas aus kommunalen Kläranlagen und Biogas aus Industrieabwässern</t>
    </r>
  </si>
  <si>
    <r>
      <t>2</t>
    </r>
    <r>
      <rPr>
        <sz val="8"/>
        <rFont val="Arial"/>
        <family val="2"/>
      </rPr>
      <t xml:space="preserve"> Installations à gaz de stations d'épuration communales et biogaz d'eaux usées de l'industrie</t>
    </r>
  </si>
  <si>
    <t>Umweltwärme: Wärmepumpenanlagen, Leistung, Verbrauch, Produktion</t>
  </si>
  <si>
    <t>Tabelle 35</t>
  </si>
  <si>
    <t>Chaleur ambiante: installations à pompes à chaleur, puissance, consommation, production</t>
  </si>
  <si>
    <t>Tableau 35</t>
  </si>
  <si>
    <t>Anzahl Anlagen</t>
  </si>
  <si>
    <t>installierte Heizleistung (MW)</t>
  </si>
  <si>
    <t>Wärmeproduktion (GWh)</t>
  </si>
  <si>
    <t>Elektromotor-WP</t>
  </si>
  <si>
    <t>Gas- und Diesel-WP</t>
  </si>
  <si>
    <t xml:space="preserve">Elektromotor-WP </t>
  </si>
  <si>
    <t>Gas und Diesel</t>
  </si>
  <si>
    <t xml:space="preserve"> Umweltwärme</t>
  </si>
  <si>
    <t>Puissance de chauffage installée (MW)</t>
  </si>
  <si>
    <t>Moteur électrique</t>
  </si>
  <si>
    <t>Moteur à gaz et diesel</t>
  </si>
  <si>
    <t xml:space="preserve">Moteur électrique </t>
  </si>
  <si>
    <t>Gaz et diesel</t>
  </si>
  <si>
    <t>Wärmekraftkoppelung: Anlagen, Leistung, Verbrauch, Produktion</t>
  </si>
  <si>
    <t>Tabelle 36</t>
  </si>
  <si>
    <t>Couplage chaleur-force: installations, puissance, consommation, production</t>
  </si>
  <si>
    <t>Tableau 36</t>
  </si>
  <si>
    <t>Anlagenbestand</t>
  </si>
  <si>
    <t>Install. elek. Nennleistung (MW)</t>
  </si>
  <si>
    <r>
      <t>Energieverbrauch Anlagen &lt;1000 kW (GWh)</t>
    </r>
    <r>
      <rPr>
        <vertAlign val="superscript"/>
        <sz val="8"/>
        <rFont val="Arial"/>
        <family val="2"/>
      </rPr>
      <t>2</t>
    </r>
  </si>
  <si>
    <r>
      <t>Wärmeproduktion &lt;1000kW (GWh)</t>
    </r>
    <r>
      <rPr>
        <vertAlign val="superscript"/>
        <sz val="8"/>
        <rFont val="Arial"/>
        <family val="2"/>
      </rPr>
      <t>2</t>
    </r>
  </si>
  <si>
    <r>
      <t>&gt; 1000 kW</t>
    </r>
    <r>
      <rPr>
        <vertAlign val="superscript"/>
        <sz val="8"/>
        <rFont val="Arial"/>
        <family val="2"/>
      </rPr>
      <t>1</t>
    </r>
  </si>
  <si>
    <r>
      <t>&lt; 1000 kW</t>
    </r>
    <r>
      <rPr>
        <vertAlign val="superscript"/>
        <sz val="8"/>
        <rFont val="Arial"/>
        <family val="2"/>
      </rPr>
      <t>2</t>
    </r>
  </si>
  <si>
    <t>Erdgas</t>
  </si>
  <si>
    <r>
      <t>Erdölprodukte</t>
    </r>
    <r>
      <rPr>
        <vertAlign val="superscript"/>
        <sz val="8"/>
        <rFont val="Arial"/>
        <family val="2"/>
      </rPr>
      <t>3</t>
    </r>
  </si>
  <si>
    <r>
      <t>übrige erneuer-bare Energien</t>
    </r>
    <r>
      <rPr>
        <vertAlign val="superscript"/>
        <sz val="8"/>
        <rFont val="Arial"/>
        <family val="2"/>
      </rPr>
      <t>4</t>
    </r>
  </si>
  <si>
    <t>Nombres d'installations</t>
  </si>
  <si>
    <r>
      <t>Consommation d'énergie des installations
&lt;1000 kW (GWh)</t>
    </r>
    <r>
      <rPr>
        <vertAlign val="superscript"/>
        <sz val="8"/>
        <rFont val="Arial"/>
        <family val="2"/>
      </rPr>
      <t>2</t>
    </r>
  </si>
  <si>
    <r>
      <t>Production de chaleur/installations &lt;1000 kW  (GWh)</t>
    </r>
    <r>
      <rPr>
        <vertAlign val="superscript"/>
        <sz val="8"/>
        <rFont val="Arial"/>
        <family val="2"/>
      </rPr>
      <t>2</t>
    </r>
  </si>
  <si>
    <t>Gaz naturel</t>
  </si>
  <si>
    <r>
      <t>Produits pétroliers</t>
    </r>
    <r>
      <rPr>
        <vertAlign val="superscript"/>
        <sz val="8"/>
        <rFont val="Arial"/>
        <family val="2"/>
      </rPr>
      <t>3</t>
    </r>
  </si>
  <si>
    <r>
      <t>1</t>
    </r>
    <r>
      <rPr>
        <sz val="8"/>
        <rFont val="Arial"/>
        <family val="2"/>
      </rPr>
      <t xml:space="preserve"> Gross-WKK-Anlagen; hauptsächlich in der Industrie</t>
    </r>
  </si>
  <si>
    <r>
      <t>1</t>
    </r>
    <r>
      <rPr>
        <sz val="8"/>
        <rFont val="Arial"/>
        <family val="2"/>
      </rPr>
      <t xml:space="preserve"> Grandes installations chaleur-force; surtout dans l'industrie</t>
    </r>
  </si>
  <si>
    <r>
      <t>2</t>
    </r>
    <r>
      <rPr>
        <sz val="8"/>
        <rFont val="Arial"/>
        <family val="2"/>
      </rPr>
      <t xml:space="preserve"> Klein-WKK-Anlagen; ohne Gas-/Dieselwärmepumpen</t>
    </r>
  </si>
  <si>
    <r>
      <t>2</t>
    </r>
    <r>
      <rPr>
        <sz val="8"/>
        <rFont val="Arial"/>
        <family val="2"/>
      </rPr>
      <t xml:space="preserve"> Petites installations chaleur-force; sans pompes à chaleur avec moteur gaz/diesel</t>
    </r>
  </si>
  <si>
    <r>
      <t>3</t>
    </r>
    <r>
      <rPr>
        <sz val="8"/>
        <rFont val="Arial"/>
        <family val="2"/>
      </rPr>
      <t xml:space="preserve"> Heizöl extra-leicht, Diesel, Propan</t>
    </r>
  </si>
  <si>
    <r>
      <t>3</t>
    </r>
    <r>
      <rPr>
        <sz val="8"/>
        <rFont val="Arial"/>
        <family val="2"/>
      </rPr>
      <t xml:space="preserve"> Huile extra-légère, diesel, propane</t>
    </r>
  </si>
  <si>
    <r>
      <t>4</t>
    </r>
    <r>
      <rPr>
        <sz val="8"/>
        <rFont val="Arial"/>
        <family val="2"/>
      </rPr>
      <t xml:space="preserve"> Biogas, Klärgas, Deponiegas</t>
    </r>
  </si>
  <si>
    <r>
      <t>4</t>
    </r>
    <r>
      <rPr>
        <sz val="8"/>
        <rFont val="Arial"/>
        <family val="2"/>
      </rPr>
      <t xml:space="preserve"> Biogaz, gaz d'épuration, gaz de décharge</t>
    </r>
  </si>
  <si>
    <t>Quelle: Statistik der thermischen Stromproduktion, BFE</t>
  </si>
  <si>
    <t>Source: Statistique de la production thermique d'électricité, OFEN</t>
  </si>
  <si>
    <t>Sheet</t>
  </si>
  <si>
    <t>B</t>
  </si>
  <si>
    <t>Col</t>
  </si>
  <si>
    <t>Row</t>
  </si>
  <si>
    <t>Value for Year 2000</t>
  </si>
  <si>
    <t>T14_Endverbrauch</t>
  </si>
  <si>
    <t>M</t>
  </si>
  <si>
    <t>T06_Einfuhr</t>
  </si>
  <si>
    <t>Divisor</t>
  </si>
  <si>
    <t>Year</t>
  </si>
  <si>
    <t>Wood Inland</t>
  </si>
  <si>
    <t>Wood Import</t>
  </si>
  <si>
    <t>Wood Total</t>
  </si>
  <si>
    <t>Calc</t>
  </si>
  <si>
    <t>D</t>
  </si>
  <si>
    <t>T27_KVA</t>
  </si>
  <si>
    <t>Ind-Abfälle</t>
  </si>
  <si>
    <t>MüllKVA</t>
  </si>
  <si>
    <t>Müll und Ind-Abfälle</t>
  </si>
  <si>
    <t>T35_WP</t>
  </si>
  <si>
    <t>H</t>
  </si>
  <si>
    <t>F</t>
  </si>
  <si>
    <t>G</t>
  </si>
  <si>
    <t>T33_Solarw</t>
  </si>
  <si>
    <t>J</t>
  </si>
  <si>
    <t>K</t>
  </si>
  <si>
    <t>T26_Fernw</t>
  </si>
  <si>
    <t>PowerPlantToDistrictHeat</t>
  </si>
  <si>
    <t>I</t>
  </si>
  <si>
    <t>Q</t>
  </si>
  <si>
    <t>C</t>
  </si>
  <si>
    <t>T24_Elektro</t>
  </si>
  <si>
    <t>P</t>
  </si>
  <si>
    <t>T17e_EndvVerk</t>
  </si>
  <si>
    <t>L</t>
  </si>
  <si>
    <t>T36_WKK</t>
  </si>
  <si>
    <t>Wood</t>
  </si>
  <si>
    <t>Abfälle</t>
  </si>
  <si>
    <t>WKK</t>
  </si>
  <si>
    <t>Strom&gt;1000</t>
  </si>
  <si>
    <t>Strom&lt;1000</t>
  </si>
  <si>
    <t>T07_Ausfuhr</t>
  </si>
  <si>
    <t>ElectricityToHouseholds</t>
  </si>
  <si>
    <t>ElectricityToIndustry</t>
  </si>
  <si>
    <t>ElectricityToServices</t>
  </si>
  <si>
    <t>Quelle: Endenergievrerbrauch nach Verwendungszwecken: Excel-Download von BFE-Homepage</t>
  </si>
  <si>
    <t>Unit</t>
  </si>
  <si>
    <t>Energiestatistik-nach-Verwendungszwecken-bis-2023.xlsx</t>
  </si>
  <si>
    <t>Factor</t>
  </si>
  <si>
    <t>Tabelle 1: Endenergieverbrauch nach Verwendungszwecken</t>
  </si>
  <si>
    <t>Entwicklung von 2000 bis 2023, in PJ</t>
  </si>
  <si>
    <t>Selected</t>
  </si>
  <si>
    <t>Verwendungszweck</t>
  </si>
  <si>
    <t>Δ’00-’23</t>
  </si>
  <si>
    <t>Raumwärme</t>
  </si>
  <si>
    <t>Warmwasser</t>
  </si>
  <si>
    <t>Prozesswärme</t>
  </si>
  <si>
    <t>Beleuchtung</t>
  </si>
  <si>
    <t>Klima, Lüftung &amp; HT</t>
  </si>
  <si>
    <t>I&amp;K, Unterhaltung</t>
  </si>
  <si>
    <t>Antriebe, Prozesse</t>
  </si>
  <si>
    <t>Mobilität Inland</t>
  </si>
  <si>
    <t>sonstige</t>
  </si>
  <si>
    <t>Inländischer EEV ¹⁾</t>
  </si>
  <si>
    <t>Tanktourismus</t>
  </si>
  <si>
    <t>int. Flugverkehr</t>
  </si>
  <si>
    <t>Total EEV</t>
  </si>
  <si>
    <t>Tabelle 4: Endenergieverbrauch für Wärme und Kälte</t>
  </si>
  <si>
    <t>Entwicklung von 2000 bis 2023 nach Verwendungszwecken und Energieträgern, in PJ </t>
  </si>
  <si>
    <t>Verwendungszweck / Energieträger</t>
  </si>
  <si>
    <t>Δ ’00-’23</t>
  </si>
  <si>
    <t>Prozesskälte</t>
  </si>
  <si>
    <t>Klimatisierung</t>
  </si>
  <si>
    <t>Total Endenergie</t>
  </si>
  <si>
    <t>Heizöl</t>
  </si>
  <si>
    <t>Gase</t>
  </si>
  <si>
    <t>Umweltwärme / Solarthermie</t>
  </si>
  <si>
    <t>Gase: Erdgas, Biogas; sonstige: Müll, übrige fossile </t>
  </si>
  <si>
    <t>|  Quelle: Prognos, TEP 2024</t>
  </si>
  <si>
    <t>Tabelle 9: Endenergieverbrauch der Schweiz nach Energieträgern</t>
  </si>
  <si>
    <t>Energieträger</t>
  </si>
  <si>
    <t>Erdölbrennstoffe</t>
  </si>
  <si>
    <t xml:space="preserve">   Heizöl extra-leicht</t>
  </si>
  <si>
    <t xml:space="preserve">   übrige Erdölbrennstoffe ¹⁾</t>
  </si>
  <si>
    <r>
      <t xml:space="preserve">Erdgas </t>
    </r>
    <r>
      <rPr>
        <vertAlign val="superscript"/>
        <sz val="11"/>
        <color rgb="FF000000"/>
        <rFont val="Franklin Gothic Book"/>
        <family val="2"/>
      </rPr>
      <t>2)</t>
    </r>
  </si>
  <si>
    <t>Kohle und Koks</t>
  </si>
  <si>
    <t>übrige erneuerbare Energien ³⁾</t>
  </si>
  <si>
    <t>Müll / Industrieabfälle</t>
  </si>
  <si>
    <t xml:space="preserve">   Benzin</t>
  </si>
  <si>
    <t xml:space="preserve">   Diesel</t>
  </si>
  <si>
    <t xml:space="preserve">   Flugtreibstoffe</t>
  </si>
  <si>
    <t>1) inklusive Heizöl Mittel und Schwer</t>
  </si>
  <si>
    <t>2) inklusive gasförmiger Treibstoffe und eingespeistem Biomethan</t>
  </si>
  <si>
    <t>3) Sonne, Biogas, Biotreibstoffe, Umweltwärme</t>
  </si>
  <si>
    <t>|  Quelle: BFE 2024a</t>
  </si>
  <si>
    <t>Tabelle 10: Endenergieverbrauch der Schweiz nach Sektoren</t>
  </si>
  <si>
    <t>Entwicklung von 2000 bis 2023, in PJ </t>
  </si>
  <si>
    <t>Verbrauchssektor</t>
  </si>
  <si>
    <t>Haushalte</t>
  </si>
  <si>
    <t>Industrie</t>
  </si>
  <si>
    <t>Dienstleistungen</t>
  </si>
  <si>
    <t>Verkehr</t>
  </si>
  <si>
    <t>statistische Differenz</t>
  </si>
  <si>
    <t>Tabelle 14: Thermische Energieträger nach Verwendungszwecken</t>
  </si>
  <si>
    <t>Brenn- und Treibstoffe inkl. Umwelt-, Solar- und Fernwärme, Entwicklung 2000 bis 2023, in PJ</t>
  </si>
  <si>
    <t>Total Brenn-/Treibstoffe</t>
  </si>
  <si>
    <t>¹⁾ ohne Pipelines</t>
  </si>
  <si>
    <t>HT: Haustechnik; I&amp;K: Information und Kommunikation; EEV: Endenergieverbrauch</t>
  </si>
  <si>
    <t>|  Quelle: Prognos, TEP, Infras 2024</t>
  </si>
  <si>
    <t>Tabelle 15: Elektrizitätsverbrauch nach Verwendungszwecken</t>
  </si>
  <si>
    <t>Total Elektrizität</t>
  </si>
  <si>
    <t>HT: Haustechnik; I&amp;K: Information und Kommunikation</t>
  </si>
  <si>
    <t>Tabelle 17: Entwicklung des Energieverbrauchs der Privaten Haushalte</t>
  </si>
  <si>
    <t>Darstellung nach Verwendungszwecken für die Jahre 2000 bis 2023, in PJ</t>
  </si>
  <si>
    <t xml:space="preserve">   Raumwärme festinstalliert</t>
  </si>
  <si>
    <t xml:space="preserve">   Heizen mobil</t>
  </si>
  <si>
    <t>Klima, Lüftung, HT</t>
  </si>
  <si>
    <t xml:space="preserve">   Heizen Hilfsenergie</t>
  </si>
  <si>
    <t xml:space="preserve">   Klimatisierung</t>
  </si>
  <si>
    <t xml:space="preserve">   übrige Haustechnik</t>
  </si>
  <si>
    <t>Kochen</t>
  </si>
  <si>
    <t>Waschen &amp; Trocknen</t>
  </si>
  <si>
    <t>Kühlen &amp; Gefrieren</t>
  </si>
  <si>
    <t>Geschirrspüler</t>
  </si>
  <si>
    <t>sonstige Elektrogeräte</t>
  </si>
  <si>
    <t>Total Endenergieverbrauch</t>
  </si>
  <si>
    <t>|  Quelle: Prognos 2024</t>
  </si>
  <si>
    <t>Tabelle 18: Elektrizitätsverbrauch der Privaten Haushalte</t>
  </si>
  <si>
    <t>Entwicklung nach Verwendungszwecken von 2000 bis 2023, in PJ</t>
  </si>
  <si>
    <t>Kochherde</t>
  </si>
  <si>
    <t>|  Quelle: eigene Fortschreibung der Gebäude- und Wohnungszählung 2000</t>
  </si>
  <si>
    <t>Tabelle 20: Energieverbrauch für Raumwärme in Privaten Haushalten</t>
  </si>
  <si>
    <t>Entwicklung von 2000 bis 2023 nach Energieträgern, in PJ</t>
  </si>
  <si>
    <t>Anlagensystem</t>
  </si>
  <si>
    <t>El. Widerstandsheizungen</t>
  </si>
  <si>
    <t>El. Wärmepumpen ¹⁾</t>
  </si>
  <si>
    <t>Heat from hp + el. heaters</t>
  </si>
  <si>
    <t>Solar</t>
  </si>
  <si>
    <t xml:space="preserve">  witterungsbereinigt</t>
  </si>
  <si>
    <t>Tabelle 22: Energieverbrauch für Warmwasser in Privaten Haushalten</t>
  </si>
  <si>
    <t>Entwicklung von 2000 bis 2023 nach Anlagensystem, in PJ</t>
  </si>
  <si>
    <t>El. Ohm'sche Anlagen</t>
  </si>
  <si>
    <t>El. Wärmepumpen</t>
  </si>
  <si>
    <t>El.: Elektrisch. Der Elektrizitätsverbrauch ist aufgeteilt auf elektrische Wärmepumpen und übrige Elektroanlagen (Ohm’sche Anlagen)</t>
  </si>
  <si>
    <t>Tabelle 24: Stromverbrauch Privater Haushalte für Beleuchtung und Elektrogeräte</t>
  </si>
  <si>
    <t>Entwicklung von 2000 bis 2023 nach Verwendungszwecken, in PJ</t>
  </si>
  <si>
    <t>Kühlen und Gefrieren</t>
  </si>
  <si>
    <t>Waschen und Trocknen</t>
  </si>
  <si>
    <t>I&amp;K: Information und Kommunikation; HT: Haustechnik</t>
  </si>
  <si>
    <t>Tabelle 26: Endenergieverbrauch im Dienstleistungssektor nach Verwendungszwecken</t>
  </si>
  <si>
    <t>Entwicklung von 2000 bis 2023, in PJ, inkl. Landwirtschaft</t>
  </si>
  <si>
    <t xml:space="preserve">HT: Haustechnik; I&amp;K: Information und Kommunikation </t>
  </si>
  <si>
    <t>|  Quelle: TEP 2024</t>
  </si>
  <si>
    <t>Electric</t>
  </si>
  <si>
    <t>Tabelle 28: Stromverbrauch im Dienstleistungssektor nach Verwendungszwecken</t>
  </si>
  <si>
    <t>Tabelle 30: Endenergieverbrauch im Industriesektor nach Verwendungszwecken</t>
  </si>
  <si>
    <t>El. PRoc</t>
  </si>
  <si>
    <t>Tabelle 35: Energieverbrauch im Verkehrssektor nach Verkehrsträgern</t>
  </si>
  <si>
    <t>Entwicklung des Endenergieverbrauchs von 2000 bis 2023, in PJ</t>
  </si>
  <si>
    <t>Verkehrsträger</t>
  </si>
  <si>
    <t>Luft (Inland)</t>
  </si>
  <si>
    <t>Schiene</t>
  </si>
  <si>
    <t>Strasse</t>
  </si>
  <si>
    <t>Wasser</t>
  </si>
  <si>
    <t>übrige</t>
  </si>
  <si>
    <t>Tabelle 37: Energieverbrauch im Verkehrssektor nach Energieträgern</t>
  </si>
  <si>
    <t>Benzin</t>
  </si>
  <si>
    <t>Diesel</t>
  </si>
  <si>
    <t>Kerosin</t>
  </si>
  <si>
    <t>Biogene Treibstoffe</t>
  </si>
  <si>
    <t>übrige fossile Treibstoffe</t>
  </si>
  <si>
    <t>Tabelle 39: Verbrauch im Personenverkehr nach Verkehrsmitteln und Energieträgern</t>
  </si>
  <si>
    <t>Energieverbrauch in den Jahren 2010, 2022 und 2023, in PJ</t>
  </si>
  <si>
    <t>Personenwagen</t>
  </si>
  <si>
    <t>Motorrad, Mofas</t>
  </si>
  <si>
    <t>Bahn</t>
  </si>
  <si>
    <t>Tram</t>
  </si>
  <si>
    <t>Bus</t>
  </si>
  <si>
    <t>Trolleybus</t>
  </si>
  <si>
    <t>Flugzeug</t>
  </si>
  <si>
    <t>2010</t>
  </si>
  <si>
    <t xml:space="preserve">  Benzin</t>
  </si>
  <si>
    <t xml:space="preserve">  Diesel</t>
  </si>
  <si>
    <t xml:space="preserve">  Elektrizität</t>
  </si>
  <si>
    <t xml:space="preserve">  andere fossile TS</t>
  </si>
  <si>
    <t xml:space="preserve">  erneuerbare TS (flüssig)</t>
  </si>
  <si>
    <t xml:space="preserve">  erneuerbare TS (gasförmig)</t>
  </si>
  <si>
    <t xml:space="preserve">  Flugtreibstoffe</t>
  </si>
  <si>
    <t>2022</t>
  </si>
  <si>
    <t>2023</t>
  </si>
  <si>
    <t>Private</t>
  </si>
  <si>
    <t>Public</t>
  </si>
  <si>
    <t>TS: Treibstoffe</t>
  </si>
  <si>
    <t>|  Quelle: Infras 2024, basierend auf BFS/ARE 2012, 2017, 2023</t>
  </si>
  <si>
    <t>Tabelle 41: Verbrauch im Güterverkehr nach Verkehrsmitteln und Energieträgern </t>
  </si>
  <si>
    <t>Lieferwagen</t>
  </si>
  <si>
    <t>Lastwagen</t>
  </si>
  <si>
    <t>Güterverkehr</t>
  </si>
  <si>
    <t>|  Quelle: Infras 2024, basierend auf BFS/ARE 2012 und 2017</t>
  </si>
  <si>
    <t>Tabelle 45: Energieverbrauch für Raumwärme in Gebäuden</t>
  </si>
  <si>
    <t>Entwicklung des Endenergieverbrauchs von 2000 bis 2023 nach Energieträgern, in PJ</t>
  </si>
  <si>
    <t>Boilers</t>
  </si>
  <si>
    <t>hp &amp; el. heaters</t>
  </si>
  <si>
    <t>Tabelle 46: Energieverbrauch für Warmwasser in Gebäuden</t>
  </si>
  <si>
    <t>Tabelle 48: Endenergieverbrauch für Wärme und Kälte nach Energieträgern</t>
  </si>
  <si>
    <t>Tabelle 49: Endenergieverbrauch für Wärme und Kälte nach Verwendungszwecken</t>
  </si>
  <si>
    <t>Process Heat + C</t>
  </si>
  <si>
    <t>EnVnachVerwendung</t>
  </si>
  <si>
    <t>ElToHeat (wo hps)</t>
  </si>
  <si>
    <t>T13_Verluste</t>
  </si>
  <si>
    <t>{ source: "Waste", target: "CHP", value: 5.00 }, // 2024: 55'440 TJ (Gesamtenergiestatistik, BFE. S. 12); Widerspruch mit Sankey S. 10: 56'320 + 8'750 TJ --&gt; 18.08 TWh MINUS 13.10 KVA</t>
  </si>
  <si>
    <t>Waste to CHP</t>
  </si>
  <si>
    <t>Quellen</t>
  </si>
  <si>
    <t>Gesamtenergiestatstik</t>
  </si>
  <si>
    <t>https://www.bfe.admin.ch/bfe/de/home/versorgung/statistik-und-geodaten/energiestatistiken/gesamtenergiestatistik.html</t>
  </si>
  <si>
    <t>PDF 2024</t>
  </si>
  <si>
    <t>https://www.bfe.admin.ch/bfe/de/home/versorgung/statistik-und-geodaten/energiestatistiken/gesamtenergiestatistik.exturl.html/aHR0cHM6Ly9wdWJkYi5iZmUuYWRtaW4uY2gvZGUvcHVibGljYX/Rpb24vZG93bmxvYWQvMTIyMTg=.html</t>
  </si>
  <si>
    <t>Vernachlässigt</t>
  </si>
  <si>
    <t>/* KVA and District Heat */</t>
  </si>
  <si>
    <t>TWh</t>
  </si>
  <si>
    <t>Bemerkungen</t>
  </si>
  <si>
    <t>DistrictHeatToEndverbraucher</t>
  </si>
  <si>
    <t>Verluste District Heat</t>
  </si>
  <si>
    <t>Strom aus District Heat</t>
  </si>
  <si>
    <t>Verluste Strom</t>
  </si>
  <si>
    <t>Total Verlust District Heat</t>
  </si>
  <si>
    <t>Müll Input Fernwärme</t>
  </si>
  <si>
    <t>Kehricht input KVA</t>
  </si>
  <si>
    <t>568 229 597</t>
  </si>
  <si>
    <t xml:space="preserve">Kehricht und Industrieabfälle </t>
  </si>
  <si>
    <t>werden bei KVA in GWh aufgeführt, bei der Fernwärme in TJ, nach Umrechnuhng sind die Werte praktisch identisch, folglich liefern nur KVA erhebliche Wärmemengen aus Abfällen</t>
  </si>
  <si>
    <t>In 2024 wurden 1.4 TWh Biogas produziert, Einsatz aufgeteilt auf Strom und Wärme für Landwirtschaft, Abfallbewirtschaftung und Abwasserbewirtschaftung</t>
  </si>
  <si>
    <t>Biogene Treibstoff</t>
  </si>
  <si>
    <t>In 2024 vor allem Biodiesel (1.4), Bioethanol (0.7) und Pflanzenöle (0.4 TWh)</t>
  </si>
  <si>
    <t>in 2024 KLEIN-WKK &lt; 1000 kW vor allem mit Erdgas (0.2) und mit übrigen Erneuerbaren (1.2 TWh) betrieben, Produktion 0.45 TWh Strom und 0.67 TWh Wärme</t>
  </si>
  <si>
    <t>nicht angegeben ist der Verbrauch der industriellen WKK-Anlagen (Energieträger / Menge): Produktion von Strom 1.6 TWh, vermutlich aus Erdgas (grösster Teil), Biogas und Holz</t>
  </si>
  <si>
    <t>Der Einfachheit halber wurde bei den WKK der Input Erdgas um Stromproduktion der Gross-WKK*2.5 Erhöht</t>
  </si>
  <si>
    <t>Total Strom</t>
  </si>
  <si>
    <t>Erdgas &lt; 1000 kW</t>
  </si>
  <si>
    <t>Erdgas &gt; 1000 kW</t>
  </si>
  <si>
    <t>Schätzung</t>
  </si>
  <si>
    <t>Erneuerbare &lt; 1000 kW</t>
  </si>
  <si>
    <t>Erdgas Total</t>
  </si>
  <si>
    <t>Natural Gas</t>
  </si>
  <si>
    <t>Import</t>
  </si>
  <si>
    <t>ToBoiler</t>
  </si>
  <si>
    <t>T</t>
  </si>
  <si>
    <t>Einfuhr</t>
  </si>
  <si>
    <t>Bei der Einfuhr wurden nicht berücksichtigt und sind über 1 TWh: Müll (ist aber bei Input KVA enthalten)</t>
  </si>
  <si>
    <t>Biogene Treibstoffe: ca. 2 TWh</t>
  </si>
  <si>
    <t>NaturalGasToCHP</t>
  </si>
  <si>
    <t>years = [2000, 2001, 2002, 2003, 2004, 2005, 2006, 2007, 2008, 2009, 2010, 2011, 2012, 2013, 2014, 2015, 2016, 2017, 2018, 2019, 2020, 2021, 2022, 2023, 2024];</t>
  </si>
  <si>
    <t>OilToBoilers = [57.9, 62.99, 57.84, 60.68, 59.85, 59.92, 57.69, 50.2, 52.29, 50.58, 52.89, 41.9, 44.76, 46.79, 35.43, 37.19, 37.88, 35.54, 32.12, 31.2, 28.09, 31.03, 25.21, 24.53, 23.39];</t>
  </si>
  <si>
    <t>NaturalGasToBoilers = [24.64, 25.89, 25.22, 26.76, 27.76, 28.71, 27.77, 27.09, 29.06, 27.57, 30.53, 26.68, 29.71, 31.89, 27.64, 29.99, 31.02, 31.25, 29.83, 30.12, 29.4, 31.65, 26.31, 23.93, 23.67];</t>
  </si>
  <si>
    <t>NaturalGasToCHP = [3.66, 3.57, 3.69, 3.8, 3.77, 3.66, 3.7, 3.55, 3.58, 3.76, 4.48, 4.37, 4.32, 3.95, 3.41, 3.19, 3.83, 3.75, 3.36, 3.94, 3.76, 4.42, 3.38, 3.55, 4.24];</t>
  </si>
  <si>
    <t>WoodToBoilers = [7.98, 8.49, 8.16, 8.77, 8.76, 9.13, 9.33, 9.16, 10.51, 11.07, 12.04, 10.68, 12.01, 13.19, 11.32, 11.77, 12.72, 13, 12.29, 12.83, 12.66, 14.8, 13.42, 14.01, 14.24];</t>
  </si>
  <si>
    <t>WasteToKVA = [9.44, 9.99, 10.27, 10.14, 10.3, 10.8, 11.91, 11.91, 11.79, 11.7, 12.11, 12.28, 12.6, 12.16, 12.39, 12.8, 13.26, 13.33, 13.44, 13.54, 13.57, 13.3, 12.77, 12.86, 13.2];</t>
  </si>
  <si>
    <t>AmbientToHeatPumps = [1.19, 1.3, 1.32, 1.45, 1.53, 1.69, 1.75, 1.9, 2.26, 2.49, 3.01, 2.89, 3.38, 3.78, 3.5, 4, 4.42, 4.62, 4.54, 5, 5.18, 6.1, 5.82, 6.37, 6.8];</t>
  </si>
  <si>
    <t>SolarThermalToHeat = [0.15, 0.17, 0.18, 0.19, 0.2, 0.22, 0.23, 0.26, 0.29, 0.34, 0.4, 0.46, 0.51, 0.57, 0.61, 0.66, 0.68, 0.7, 0.72, 0.73, 0.74, 0.74, 0.74, 0.73, 0.72];</t>
  </si>
  <si>
    <t>KVAToDistrictHeat = [2.11, 2.23, 2.27, 2.39, 2.46, 2.6, 2.77, 2.83, 2.89, 2.81, 3.17, 3.07, 3.04, 3.13, 3.06, 3.4, 3.62, 3.71, 3.73, 4, 3.93, 4.24, 3.93, 4.07, 4.47];</t>
  </si>
  <si>
    <t>KVAToElectricity = [0.89, 0.97, 1.01, 1.04, 1.11, 1.19, 1.35, 1.32, 1.37, 1.31, 1.39, 1.45, 1.54, 1.61, 1.72, 1.73, 1.86, 1.87, 1.84, 1.87, 1.87, 1.76, 1.74, 1.67, 1.73];</t>
  </si>
  <si>
    <t>KVAToLoss = [6.44, 6.79, 6.98, 6.71, 6.73, 7.01, 7.79, 7.76, 7.53, 7.58, 7.56, 7.77, 8.01, 7.42, 7.62, 7.66, 7.78, 7.75, 7.87, 7.67, 7.77, 7.3, 7.11, 7.12, 7];</t>
  </si>
  <si>
    <t>WoodToDistrictHeat = [0.05, 0.05, 0.06, 0.08, 0.09, 0.1, 0.09, 0.09, 0.11, 0.21, 0.26, 0.3, 0.44, 0.5, 0.51, 0.57, 0.6, 0.61, 0.59, 0.92, 0.91, 1.01, 1.03, 1.05, 1.38];</t>
  </si>
  <si>
    <t>HPTtoDistrictHeat = [0, 0, 0, 0, 0, 0, 0, 0, 0, 0, 0, 0, 0, 0, 0, 0, 0, 0, 0, 0, 0, 0, 0, 0, 0];</t>
  </si>
  <si>
    <t>GasToDistrictHeat = [1.56, 1.69, 1.62, 1.83, 1.82, 1.83, 1.52, 1.37, 1.59, 1.5, 1.69, 1.24, 1.58, 1.91, 1.27, 1.72, 2.08, 1.91, 1.82, 1.92, 1.89, 2.34, 1.79, 1.6, 1.67];</t>
  </si>
  <si>
    <t>PowerPlantToDistrictHeat = [0.31, 0.33, 0.3, 0.31, 0.32, 0.31, 0.36, 0.35, 0.36, 0.36, 0.36, 0.36, 0.38, 0.35, 0.33, 0.31, 0.37, 0.37, 0.38, 0.38, 0.39, 0.42, 0.39, 0.4, 0.38];</t>
  </si>
  <si>
    <t>DistrictHeatToHeat = [3.97, 4.26, 4.16, 4.44, 4.59, 4.63, 4.71, 4.54, 4.69, 4.66, 5.19, 4.76, 5.04, 5.38, 4.87, 5.53, 5.88, 6.01, 5.91, 6.54, 6.46, 7.17, 6.59, 6.74, 7.45];</t>
  </si>
  <si>
    <t>HydroRiverToElectricity = [17.57, 17.75, 17.62, 15.4, 16.04, 15, 15.82, 16.55, 16.69, 16.11, 16.03, 14.73, 17.83, 17.76, 17.24, 16.6, 16.57, 15.95, 16.91, 17.7, 17.65, 16.96, 15.49, 17.49, 19.4];</t>
  </si>
  <si>
    <t>HydroDamsToElectricity = [20.28, 24.51, 18.89, 21.05, 19.08, 17.76, 16.74, 19.83, 20.87, 21.03, 21.42, 19.06, 22.07, 21.81, 22.06, 22.89, 19.75, 20.72, 20.52, 22.86, 22.97, 22.54, 18.01, 23.29, 28.93];</t>
  </si>
  <si>
    <t>UraniumToPowerPlant = [74.85, 75.88, 77.08, 77.79, 76.3, 66.06, 78.73, 79.03, 78.4, 78.36, 75.61, 76.68, 73.04, 74.61, 79.11, 66.28, 60.7, 58.5, 73.24, 75.84, 68.97, 55.59, 69.34, 70, 68.95];</t>
  </si>
  <si>
    <t>PowerPlantToElectricity = [24.95, 25.29, 25.69, 25.93, 25.43, 22.02, 26.24, 26.34, 26.13, 26.12, 25.2, 25.56, 24.34, 24.87, 26.37, 22.1, 20.24, 19.5, 24.41, 25.28, 22.99, 18.53, 23.11, 23.33, 22.98];</t>
  </si>
  <si>
    <t>PowerPlantToLoss = [49.9, 50.59, 51.38, 51.86, 50.86, 44.04, 52.49, 52.69, 52.26, 52.24, 50.41, 51.12, 48.69, 49.74, 52.74, 44.19, 40.47, 39, 48.83, 50.56, 45.98, 37.06, 46.23, 46.67, 45.97];</t>
  </si>
  <si>
    <t>WindToElectricity = [0, 0, 0, 0, 0.01, 0.01, 0.02, 0.02, 0.02, 0.02, 0.04, 0.07, 0.09, 0.09, 0.1, 0.11, 0.11, 0.13, 0.12, 0.15, 0.14, 0.14, 0.15, 0.17, 0.17];</t>
  </si>
  <si>
    <t>SolarToElectricity = [0.01, 0.01, 0.02, 0.02, 0.02, 0.02, 0.02, 0.03, 0.04, 0.05, 0.09, 0.17, 0.3, 0.5, 0.84, 1.12, 1.33, 1.68, 1.94, 2.18, 2.69, 2.96, 4.07, 4.91, 5.96];</t>
  </si>
  <si>
    <t>ImportToElectricity = [24.33, 24.1, 27.8, 30.08, 27.06, 38.35, 33.8, 34.82, 31.6, 31.37, 33.4, 34.82, 31.55, 29.87, 28.53, 34.03, 34.1, 36.5, 31.02, 29.5, 26.99, 31.53, 33.12, 27.46, 25.96];</t>
  </si>
  <si>
    <t>GasolineToMobility = [47.04, 45.74, 44.83, 44.61, 43.82, 42.49, 41.18, 40.79, 39.89, 38.81, 37.42, 35.98, 34.71, 33.13, 31.8, 29.46, 28.54, 27.67, 27.23, 27, 23.92, 24.44, 23.72, 24.53, 24.26];</t>
  </si>
  <si>
    <t>DieselToMobility = [15.55, 15.83, 16.39, 17.39, 18.68, 20.4, 22.07, 23.7, 26.01, 26.4, 27.42, 28.16, 29.88, 31.22, 32.01, 31.57, 31.92, 31.82, 32.22, 32.24, 30.55, 30.9, 30.84, 30.19, 29.32];</t>
  </si>
  <si>
    <t>JetToMobility = [18.91, 17.84, 16.5, 14.85, 14.01, 14.2, 14.88, 15.88, 16.99, 16.3, 17.12, 18.25, 18.7, 18.91, 19.04, 19.67, 20.6, 21.1, 22.3, 22.52, 8.51, 9.44, 16.63, 19.79, 21.59];</t>
  </si>
  <si>
    <t>MobilityToRoad = [62.82, 61.8, 61.45, 62.23, 62.72, 63.11, 63.48, 64.71, 66.13, 65.44, 65.07, 64.36, 64.82, 64.6, 64.06, 61.3, 60.74, 59.79, 59.78, 59.6, 54.85, 55.83, 55.24, 55.58, 54.69];</t>
  </si>
  <si>
    <t>MobilityToRail = [2.64, 2.7, 2.8, 2.98, 2.94, 2.98, 3.09, 3.08, 3.14, 3.06, 3.16, 3.06, 3.09, 3.14, 3.07, 3.14, 3.2, 3.15, 3.09, 3.04, 2.82, 2.97, 3.03, 3.02, 3.08];</t>
  </si>
  <si>
    <t>MobilityToAviation = [18.91, 17.84, 16.5, 14.85, 14.01, 14.2, 14.88, 15.88, 16.99, 16.3, 17.12, 18.25, 18.7, 18.91, 19.04, 19.67, 20.6, 21.1, 22.3, 22.52, 8.51, 9.44, 16.63, 19.79, 21.59];</t>
  </si>
  <si>
    <t>BoilersToHeat = [94.18, 100.94, 94.92, 100.01, 100.14, 101.42, 98.49, 90, 95.44, 92.98, 99.93, 83.63, 90.8, 95.82, 77.79, 82.13, 85.45, 83.54, 77.61, 78.08, 73.91, 81.9, 68.32, 66.03, 65.54];</t>
  </si>
  <si>
    <t>CHPToHeat = [0.78, 0.82, 0.84, 0.86, 0.88, 0.9, 0.9, 0.89, 0.86, 0.84, 0.81, 0.78, 0.79, 0.78, 0.76, 0.74, 0.74, 0.7, 0.69, 0.69, 0.72, 0.71, 0.69, 0.68, 0.66];</t>
  </si>
  <si>
    <t>HPToHeat = [1.82, 1.97, 2, 2.19, 2.29, 2.53, 2.61, 2.8, 3.34, 3.65, 4.44, 4.21, 4.93, 5.52, 5.05, 5.77, 6.39, 6.66, 6.5, 7.17, 7.4, 8.74, 8.25, 9.02, 9.6];</t>
  </si>
  <si>
    <t>CHPToElectricity = [1.59, 1.57, 1.63, 1.67, 1.66, 1.62, 1.64, 1.6, 1.62, 1.69, 1.98, 1.96, 1.97, 1.85, 1.64, 1.57, 1.84, 1.83, 1.69, 1.95, 1.92, 2.2, 1.79, 1.87, 2.15];</t>
  </si>
  <si>
    <t>HeatToSpace = [72.97, 79.57, 73.09, 79.65, 78.03, 80.61, 78.01, 68.19, 75.7, 74.29, 83.8, 64.57, 73.25, 80.93, 60.13, 66.97, 71.75, 69.1, 62.81, 63.89, 59.4, 70.44, 55.83, 57.51, 58.76];</t>
  </si>
  <si>
    <t>HeatToWater = [13.8, 13.71, 13.74, 13.74, 13.7, 13.65, 13.68, 13.69, 13.67, 13.69, 13.63, 13.56, 13.46, 13.41, 13.32, 13.24, 13.14, 13.01, 12.95, 12.94, 13.28, 12.94, 12.82, 12.55, 11.85];</t>
  </si>
  <si>
    <t>HeatToIndustry = [29.93, 29.5, 28.06, 28.11, 28.38, 28.82, 28.8, 29.25, 28.91, 25.92, 27.21, 27.15, 27.38, 27.13, 26.53, 25.81, 26.02, 25.94, 26.28, 26.11, 25, 26, 26.03, 24.69, 24.9];</t>
  </si>
  <si>
    <t>ElectricityToHouseholds = [8.79, 9.13, 9.31, 9.58, 9.76, 10, 10.17, 10.28, 10.54, 10.66, 10.93, 10.7, 10.78, 10.84, 10.57, 10.71, 10.62, 10.5, 10.31, 10.04, 9.97, 9.76, 9.49, 9.47, 9.31];</t>
  </si>
  <si>
    <t>ElectricityToIndustry = [15.6, 15.44, 14.97, 15.03, 15.22, 15.28, 14.98, 15.32, 15.47, 14.47, 15.08, 15.21, 14.96, 14.68, 14.54, 14.21, 14.1, 14.03, 14.11, 14, 13.44, 14, 14.01, 13.41, 13.16];</t>
  </si>
  <si>
    <t>ElectricityToServices = [13.51, 13.85, 13.96, 14.35, 14.39, 14.63, 14.88, 14.99, 15.39, 15.53, 15.92, 15.74, 15.76, 15.77, 15.46, 15.68, 15.44, 15.3, 15.21, 15.15, 14.45, 14.52, 14.37, 14.24, 14.74];</t>
  </si>
  <si>
    <t>ElectricityToLoss = [5.91, 5.98, 6.48, 7.03, 6.65, 6.94, 7.06, 6.42, 7.1, 6.84, 6.99, 6.87, 6.85, 6.59, 6.68, 6.68, 7.3, 8.55, 8.32, 8.44, 8.68, 8.57, 9.93, 9.64, 9.14];</t>
  </si>
  <si>
    <t>ElectricityToHP = [0.63, 0.68, 0.68, 0.74, 0.77, 0.85, 0.86, 0.91, 1.08, 1.17, 1.43, 1.32, 1.55, 1.74, 1.55, 1.78, 1.97, 2.04, 1.97, 2.17, 2.22, 2.64, 2.44, 2.65, 2.8];</t>
  </si>
  <si>
    <t>ElectricityToHeat = [13.19, 13.47, 13.09, 13.37, 13.46, 13.74, 13.81, 13.67, 14.16, 13.7, 14.49, 13.78, 14.18, 14.49, 13.62, 13.73, 14.02, 13.87, 13.85, 13.93, 13.55, 14.1, 13.64, 13.46, 10.07];</t>
  </si>
  <si>
    <t>ElectricityToMobility = [2.87, 2.93, 3.03, 3.21, 3.17, 3.21, 3.32, 3.3, 3.37, 3.29, 3.39, 3.29, 3.33, 3.38, 3.32, 3.4, 3.48, 3.45, 3.41, 3.4, 3.2, 3.46, 3.7, 3.88, 4.19];</t>
  </si>
  <si>
    <t>ElectricityToExport = [31.4, 34.54, 32.31, 33.2, 27.76, 32, 31.1, 36.88, 32.74, 33.52, 32.88, 32.24, 33.75, 32.27, 34.02, 35.07, 30.17, 30.95, 32.61, 35.76, 32.55, 29.12, 29.73, 33.86, 40.35];</t>
  </si>
  <si>
    <t>berechnet</t>
  </si>
  <si>
    <t>not applicable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</si>
</sst>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gt;0.1]0.0;[&gt;0]\&lt;0.\1;\-"/>
  </numFmts>
  <fonts count="27">
    <font>
      <sz val="11"/>
      <color theme="1"/>
      <name val="Aptos Narrow"/>
      <family val="2"/>
      <scheme val="minor"/>
    </font>
    <font>
      <b/>
      <sz val="11"/>
      <color theme="1"/>
      <name val="Aptos Narrow"/>
      <family val="2"/>
      <scheme val="minor"/>
    </font>
    <font>
      <b/>
      <sz val="11"/>
      <color rgb="FFFF0000"/>
      <name val="Aptos Narrow"/>
      <family val="2"/>
      <scheme val="minor"/>
    </font>
    <font>
      <sz val="10"/>
      <color theme="1"/>
      <name val="Arial"/>
      <family val="2"/>
    </font>
    <font>
      <i/>
      <sz val="10"/>
      <name val="Arial"/>
      <family val="2"/>
    </font>
    <font>
      <sz val="8"/>
      <name val="Arial"/>
      <family val="2"/>
    </font>
    <font>
      <vertAlign val="superscript"/>
      <sz val="8"/>
      <name val="Arial"/>
      <family val="2"/>
    </font>
    <font>
      <b/>
      <sz val="10"/>
      <color theme="1"/>
      <name val="Arial"/>
      <family val="2"/>
    </font>
    <font>
      <b/>
      <sz val="10"/>
      <name val="Arial"/>
      <family val="2"/>
    </font>
    <font>
      <sz val="10"/>
      <color theme="4" tint="-0.249977111117893"/>
      <name val="Arial"/>
      <family val="2"/>
    </font>
    <font>
      <sz val="9"/>
      <color rgb="FFFF0000"/>
      <name val="Arial"/>
      <family val="2"/>
    </font>
    <font>
      <i/>
      <sz val="10"/>
      <color rgb="FFFF0000"/>
      <name val="Arial"/>
      <family val="2"/>
    </font>
    <font>
      <sz val="10"/>
      <name val="Arial"/>
      <family val="2"/>
    </font>
    <font>
      <sz val="8"/>
      <color indexed="48"/>
      <name val="Arial"/>
      <family val="2"/>
    </font>
    <font>
      <i/>
      <vertAlign val="superscript"/>
      <sz val="10"/>
      <name val="Arial"/>
      <family val="2"/>
    </font>
    <font>
      <strike/>
      <vertAlign val="superscript"/>
      <sz val="10"/>
      <name val="Arial"/>
      <family val="2"/>
    </font>
    <font>
      <vertAlign val="superscript"/>
      <sz val="10"/>
      <name val="Arial"/>
      <family val="2"/>
    </font>
    <font>
      <b/>
      <vertAlign val="superscript"/>
      <sz val="8"/>
      <name val="Arial"/>
      <family val="2"/>
    </font>
    <font>
      <u/>
      <sz val="11"/>
      <color theme="10"/>
      <name val="Aptos Narrow"/>
      <family val="2"/>
      <scheme val="minor"/>
    </font>
    <font>
      <sz val="11"/>
      <color rgb="FF000000"/>
      <name val="Aptos Narrow"/>
      <family val="2"/>
    </font>
    <font>
      <sz val="11"/>
      <color rgb="FFFF0000"/>
      <name val="Aptos Narrow"/>
      <family val="2"/>
      <scheme val="minor"/>
    </font>
    <font>
      <b/>
      <sz val="12"/>
      <color rgb="FF3C464A"/>
      <name val="Times New Roman"/>
      <family val="1"/>
    </font>
    <font>
      <sz val="11"/>
      <color rgb="FF3C464A"/>
      <name val="Frankling Gothic Book"/>
    </font>
    <font>
      <sz val="11"/>
      <color rgb="FF000000"/>
      <name val="Franklin Gothic Demi"/>
      <family val="2"/>
    </font>
    <font>
      <sz val="11"/>
      <color rgb="FF000000"/>
      <name val="Franklin Gothic Book"/>
      <family val="2"/>
    </font>
    <font>
      <sz val="8"/>
      <color rgb="FF000000"/>
      <name val="Franklin Gothic Book"/>
      <family val="2"/>
    </font>
    <font>
      <vertAlign val="superscript"/>
      <sz val="11"/>
      <color rgb="FF000000"/>
      <name val="Franklin Gothic Book"/>
      <family val="2"/>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2F2F2"/>
      </patternFill>
    </fill>
    <fill>
      <patternFill patternType="solid">
        <fgColor rgb="FFFFFFCC"/>
        <bgColor indexed="64"/>
      </patternFill>
    </fill>
  </fills>
  <borders count="76">
    <border>
      <left/>
      <right/>
      <top/>
      <bottom/>
      <diagonal/>
    </border>
    <border>
      <left style="thin">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thin">
        <color indexed="64"/>
      </right>
      <top style="thin">
        <color indexed="64"/>
      </top>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thin">
        <color indexed="64"/>
      </left>
      <right style="thin">
        <color indexed="64"/>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style="thin">
        <color indexed="64"/>
      </left>
      <right style="thin">
        <color indexed="64"/>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hair">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top style="thin">
        <color indexed="64"/>
      </top>
      <bottom/>
      <diagonal/>
    </border>
    <border>
      <left style="thin">
        <color indexed="64"/>
      </left>
      <right/>
      <top/>
      <bottom style="hair">
        <color indexed="64"/>
      </bottom>
      <diagonal/>
    </border>
    <border>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style="thin">
        <color indexed="64"/>
      </top>
      <bottom/>
      <diagonal/>
    </border>
    <border>
      <left/>
      <right/>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thin">
        <color indexed="64"/>
      </left>
      <right style="hair">
        <color indexed="64"/>
      </right>
      <top style="hair">
        <color indexed="64"/>
      </top>
      <bottom/>
      <diagonal/>
    </border>
    <border>
      <left style="hair">
        <color indexed="64"/>
      </left>
      <right style="thin">
        <color indexed="64"/>
      </right>
      <top style="hair">
        <color indexed="64"/>
      </top>
      <bottom/>
      <diagonal/>
    </border>
    <border>
      <left/>
      <right/>
      <top style="thin">
        <color rgb="FF3C464A"/>
      </top>
      <bottom/>
      <diagonal/>
    </border>
    <border>
      <left/>
      <right/>
      <top/>
      <bottom style="thin">
        <color rgb="FF3C464A"/>
      </bottom>
      <diagonal/>
    </border>
    <border>
      <left/>
      <right/>
      <top/>
      <bottom style="medium">
        <color rgb="FFE40019"/>
      </bottom>
      <diagonal/>
    </border>
    <border>
      <left/>
      <right style="medium">
        <color rgb="FFE40019"/>
      </right>
      <top/>
      <bottom/>
      <diagonal/>
    </border>
    <border>
      <left/>
      <right style="medium">
        <color rgb="FF3C464A"/>
      </right>
      <top/>
      <bottom/>
      <diagonal/>
    </border>
    <border>
      <left/>
      <right style="medium">
        <color rgb="FFE40019"/>
      </right>
      <top/>
      <bottom style="medium">
        <color rgb="FF3C464A"/>
      </bottom>
      <diagonal/>
    </border>
    <border>
      <left/>
      <right style="medium">
        <color rgb="FF3C464A"/>
      </right>
      <top/>
      <bottom style="medium">
        <color rgb="FF3C464A"/>
      </bottom>
      <diagonal/>
    </border>
    <border>
      <left/>
      <right/>
      <top/>
      <bottom style="medium">
        <color rgb="FF3C464A"/>
      </bottom>
      <diagonal/>
    </border>
  </borders>
  <cellStyleXfs count="3">
    <xf numFmtId="0" fontId="0" fillId="0" borderId="0"/>
    <xf numFmtId="0" fontId="3" fillId="0" borderId="0"/>
    <xf numFmtId="0" fontId="18" fillId="0" borderId="0" applyNumberFormat="0" applyFill="0" applyBorder="0" applyAlignment="0" applyProtection="0"/>
  </cellStyleXfs>
  <cellXfs count="327">
    <xf numFmtId="0" fontId="0" fillId="0" borderId="0" xfId="0"/>
    <xf numFmtId="0" fontId="1" fillId="0" borderId="0" xfId="0" applyFont="1"/>
    <xf numFmtId="0" fontId="2" fillId="2" borderId="0" xfId="0" applyFont="1" applyFill="1"/>
    <xf numFmtId="0" fontId="4" fillId="0" borderId="0" xfId="1" applyFont="1"/>
    <xf numFmtId="0" fontId="3" fillId="0" borderId="0" xfId="1"/>
    <xf numFmtId="0" fontId="5" fillId="0" borderId="0" xfId="1" applyFont="1" applyAlignment="1">
      <alignment horizontal="right" vertical="top"/>
    </xf>
    <xf numFmtId="49" fontId="5" fillId="0" borderId="1" xfId="1" applyNumberFormat="1" applyFont="1" applyBorder="1" applyAlignment="1">
      <alignment vertical="top" wrapText="1"/>
    </xf>
    <xf numFmtId="49" fontId="5" fillId="0" borderId="2" xfId="1" applyNumberFormat="1" applyFont="1" applyBorder="1" applyAlignment="1">
      <alignment vertical="top" wrapText="1"/>
    </xf>
    <xf numFmtId="49" fontId="5" fillId="0" borderId="3" xfId="1" applyNumberFormat="1" applyFont="1" applyBorder="1" applyAlignment="1">
      <alignment vertical="top" wrapText="1"/>
    </xf>
    <xf numFmtId="49" fontId="5" fillId="0" borderId="4" xfId="1" applyNumberFormat="1" applyFont="1" applyBorder="1" applyAlignment="1">
      <alignment vertical="top" wrapText="1"/>
    </xf>
    <xf numFmtId="49" fontId="5" fillId="0" borderId="5" xfId="1" applyNumberFormat="1" applyFont="1" applyBorder="1" applyAlignment="1">
      <alignment vertical="top" wrapText="1"/>
    </xf>
    <xf numFmtId="49" fontId="5" fillId="0" borderId="6" xfId="1" applyNumberFormat="1" applyFont="1" applyBorder="1" applyAlignment="1">
      <alignment vertical="top" wrapText="1"/>
    </xf>
    <xf numFmtId="49" fontId="5" fillId="0" borderId="7" xfId="1" applyNumberFormat="1" applyFont="1" applyBorder="1" applyAlignment="1">
      <alignment vertical="top" wrapText="1"/>
    </xf>
    <xf numFmtId="49" fontId="5" fillId="0" borderId="8" xfId="1" applyNumberFormat="1" applyFont="1" applyBorder="1" applyAlignment="1">
      <alignment vertical="top" wrapText="1"/>
    </xf>
    <xf numFmtId="1" fontId="3" fillId="0" borderId="9" xfId="1" applyNumberFormat="1" applyBorder="1" applyAlignment="1">
      <alignment horizontal="right" indent="1"/>
    </xf>
    <xf numFmtId="3" fontId="3" fillId="0" borderId="10" xfId="1" applyNumberFormat="1" applyBorder="1" applyAlignment="1">
      <alignment horizontal="right" indent="1"/>
    </xf>
    <xf numFmtId="3" fontId="3" fillId="0" borderId="11" xfId="1" applyNumberFormat="1" applyBorder="1" applyAlignment="1">
      <alignment horizontal="right" indent="1"/>
    </xf>
    <xf numFmtId="3" fontId="3" fillId="0" borderId="12" xfId="1" applyNumberFormat="1" applyBorder="1" applyAlignment="1">
      <alignment horizontal="right" indent="1"/>
    </xf>
    <xf numFmtId="3" fontId="3" fillId="0" borderId="9" xfId="1" applyNumberFormat="1" applyBorder="1" applyAlignment="1">
      <alignment horizontal="right" indent="1"/>
    </xf>
    <xf numFmtId="1" fontId="3" fillId="0" borderId="13" xfId="1" applyNumberFormat="1" applyBorder="1" applyAlignment="1">
      <alignment horizontal="right" indent="1"/>
    </xf>
    <xf numFmtId="3" fontId="3" fillId="0" borderId="14" xfId="1" applyNumberFormat="1" applyBorder="1" applyAlignment="1">
      <alignment horizontal="right" indent="1"/>
    </xf>
    <xf numFmtId="3" fontId="3" fillId="0" borderId="15" xfId="1" applyNumberFormat="1" applyBorder="1" applyAlignment="1">
      <alignment horizontal="right" indent="1"/>
    </xf>
    <xf numFmtId="3" fontId="3" fillId="0" borderId="16" xfId="1" applyNumberFormat="1" applyBorder="1" applyAlignment="1">
      <alignment horizontal="right" indent="1"/>
    </xf>
    <xf numFmtId="3" fontId="3" fillId="0" borderId="13" xfId="1" applyNumberFormat="1" applyBorder="1" applyAlignment="1">
      <alignment horizontal="right" indent="1"/>
    </xf>
    <xf numFmtId="3" fontId="3" fillId="0" borderId="0" xfId="1" applyNumberFormat="1"/>
    <xf numFmtId="1" fontId="7" fillId="0" borderId="17" xfId="1" applyNumberFormat="1" applyFont="1" applyBorder="1" applyAlignment="1">
      <alignment horizontal="right" indent="1"/>
    </xf>
    <xf numFmtId="3" fontId="7" fillId="0" borderId="18" xfId="1" applyNumberFormat="1" applyFont="1" applyBorder="1" applyAlignment="1">
      <alignment horizontal="right" indent="1"/>
    </xf>
    <xf numFmtId="3" fontId="7" fillId="0" borderId="19" xfId="1" applyNumberFormat="1" applyFont="1" applyBorder="1" applyAlignment="1">
      <alignment horizontal="right" indent="1"/>
    </xf>
    <xf numFmtId="3" fontId="7" fillId="0" borderId="20" xfId="1" applyNumberFormat="1" applyFont="1" applyBorder="1" applyAlignment="1">
      <alignment horizontal="right" indent="1"/>
    </xf>
    <xf numFmtId="3" fontId="7" fillId="0" borderId="17" xfId="1" applyNumberFormat="1" applyFont="1" applyBorder="1" applyAlignment="1">
      <alignment horizontal="right" indent="1"/>
    </xf>
    <xf numFmtId="0" fontId="7" fillId="0" borderId="0" xfId="1" applyFont="1"/>
    <xf numFmtId="1" fontId="8" fillId="0" borderId="0" xfId="1" applyNumberFormat="1" applyFont="1" applyAlignment="1">
      <alignment horizontal="right" indent="1"/>
    </xf>
    <xf numFmtId="3" fontId="8" fillId="0" borderId="0" xfId="1" applyNumberFormat="1" applyFont="1" applyAlignment="1">
      <alignment horizontal="right" indent="1"/>
    </xf>
    <xf numFmtId="0" fontId="5" fillId="0" borderId="0" xfId="1" applyFont="1" applyAlignment="1">
      <alignment vertical="top" wrapText="1"/>
    </xf>
    <xf numFmtId="0" fontId="9" fillId="0" borderId="0" xfId="1" applyFont="1"/>
    <xf numFmtId="0" fontId="5" fillId="0" borderId="0" xfId="1" applyFont="1"/>
    <xf numFmtId="0" fontId="10" fillId="0" borderId="0" xfId="1" quotePrefix="1" applyFont="1"/>
    <xf numFmtId="0" fontId="11" fillId="0" borderId="0" xfId="1" applyFont="1"/>
    <xf numFmtId="49" fontId="5" fillId="0" borderId="21" xfId="1" applyNumberFormat="1" applyFont="1" applyBorder="1" applyAlignment="1">
      <alignment horizontal="left" vertical="top" wrapText="1"/>
    </xf>
    <xf numFmtId="49" fontId="5" fillId="0" borderId="22" xfId="1" applyNumberFormat="1" applyFont="1" applyBorder="1" applyAlignment="1">
      <alignment vertical="top" wrapText="1"/>
    </xf>
    <xf numFmtId="49" fontId="5" fillId="0" borderId="24" xfId="1" applyNumberFormat="1" applyFont="1" applyBorder="1" applyAlignment="1">
      <alignment vertical="top" wrapText="1"/>
    </xf>
    <xf numFmtId="49" fontId="5" fillId="0" borderId="26" xfId="1" applyNumberFormat="1" applyFont="1" applyBorder="1" applyAlignment="1">
      <alignment horizontal="left" vertical="top" wrapText="1"/>
    </xf>
    <xf numFmtId="49" fontId="5" fillId="0" borderId="27" xfId="1" applyNumberFormat="1" applyFont="1" applyBorder="1" applyAlignment="1">
      <alignment vertical="top" wrapText="1"/>
    </xf>
    <xf numFmtId="49" fontId="5" fillId="0" borderId="6" xfId="1" applyNumberFormat="1" applyFont="1" applyBorder="1" applyAlignment="1">
      <alignment horizontal="right" vertical="top" wrapText="1" indent="1"/>
    </xf>
    <xf numFmtId="49" fontId="5" fillId="0" borderId="7" xfId="1" applyNumberFormat="1" applyFont="1" applyBorder="1" applyAlignment="1">
      <alignment horizontal="right" vertical="top" wrapText="1" indent="1"/>
    </xf>
    <xf numFmtId="49" fontId="5" fillId="0" borderId="28" xfId="1" applyNumberFormat="1" applyFont="1" applyBorder="1" applyAlignment="1">
      <alignment horizontal="right" vertical="top" wrapText="1" indent="1"/>
    </xf>
    <xf numFmtId="3" fontId="3" fillId="0" borderId="29" xfId="1" applyNumberFormat="1" applyBorder="1" applyAlignment="1">
      <alignment horizontal="right" indent="1"/>
    </xf>
    <xf numFmtId="3" fontId="3" fillId="0" borderId="30" xfId="1" applyNumberFormat="1" applyBorder="1" applyAlignment="1">
      <alignment horizontal="right" indent="1"/>
    </xf>
    <xf numFmtId="1" fontId="8" fillId="0" borderId="17" xfId="1" applyNumberFormat="1" applyFont="1" applyBorder="1" applyAlignment="1">
      <alignment horizontal="right" indent="1"/>
    </xf>
    <xf numFmtId="3" fontId="8" fillId="0" borderId="18" xfId="1" applyNumberFormat="1" applyFont="1" applyBorder="1" applyAlignment="1">
      <alignment horizontal="right" indent="1"/>
    </xf>
    <xf numFmtId="3" fontId="8" fillId="0" borderId="19" xfId="1" applyNumberFormat="1" applyFont="1" applyBorder="1" applyAlignment="1">
      <alignment horizontal="right" indent="1"/>
    </xf>
    <xf numFmtId="3" fontId="8" fillId="0" borderId="31" xfId="1" applyNumberFormat="1" applyFont="1" applyBorder="1" applyAlignment="1">
      <alignment horizontal="right" indent="1"/>
    </xf>
    <xf numFmtId="3" fontId="7" fillId="0" borderId="0" xfId="1" applyNumberFormat="1" applyFont="1" applyAlignment="1">
      <alignment horizontal="right" indent="1"/>
    </xf>
    <xf numFmtId="0" fontId="12" fillId="0" borderId="0" xfId="1" applyFont="1"/>
    <xf numFmtId="49" fontId="5" fillId="0" borderId="32" xfId="1" applyNumberFormat="1" applyFont="1" applyBorder="1" applyAlignment="1">
      <alignment vertical="top" wrapText="1"/>
    </xf>
    <xf numFmtId="49" fontId="5" fillId="0" borderId="23" xfId="1" applyNumberFormat="1" applyFont="1" applyBorder="1" applyAlignment="1">
      <alignment vertical="top" wrapText="1"/>
    </xf>
    <xf numFmtId="49" fontId="5" fillId="0" borderId="37" xfId="1" applyNumberFormat="1" applyFont="1" applyBorder="1" applyAlignment="1">
      <alignment horizontal="right" vertical="top" wrapText="1" indent="1"/>
    </xf>
    <xf numFmtId="49" fontId="5" fillId="0" borderId="5" xfId="1" applyNumberFormat="1" applyFont="1" applyBorder="1" applyAlignment="1">
      <alignment horizontal="right" vertical="top" wrapText="1" indent="1"/>
    </xf>
    <xf numFmtId="164" fontId="12" fillId="0" borderId="30" xfId="1" applyNumberFormat="1" applyFont="1" applyBorder="1" applyAlignment="1">
      <alignment horizontal="right" indent="1"/>
    </xf>
    <xf numFmtId="3" fontId="12" fillId="0" borderId="38" xfId="1" applyNumberFormat="1" applyFont="1" applyBorder="1" applyAlignment="1">
      <alignment horizontal="right" indent="1"/>
    </xf>
    <xf numFmtId="164" fontId="12" fillId="0" borderId="39" xfId="1" applyNumberFormat="1" applyFont="1" applyBorder="1" applyAlignment="1">
      <alignment horizontal="right" indent="1"/>
    </xf>
    <xf numFmtId="164" fontId="12" fillId="0" borderId="40" xfId="1" applyNumberFormat="1" applyFont="1" applyBorder="1" applyAlignment="1">
      <alignment horizontal="right" indent="1"/>
    </xf>
    <xf numFmtId="164" fontId="12" fillId="0" borderId="0" xfId="1" applyNumberFormat="1" applyFont="1" applyAlignment="1">
      <alignment horizontal="right" indent="1"/>
    </xf>
    <xf numFmtId="3" fontId="12" fillId="0" borderId="13" xfId="1" applyNumberFormat="1" applyFont="1" applyBorder="1" applyAlignment="1">
      <alignment horizontal="right" indent="1"/>
    </xf>
    <xf numFmtId="164" fontId="12" fillId="0" borderId="41" xfId="1" applyNumberFormat="1" applyFont="1" applyBorder="1" applyAlignment="1">
      <alignment horizontal="right" indent="1"/>
    </xf>
    <xf numFmtId="164" fontId="12" fillId="0" borderId="42" xfId="1" applyNumberFormat="1" applyFont="1" applyBorder="1" applyAlignment="1">
      <alignment horizontal="right" indent="1"/>
    </xf>
    <xf numFmtId="3" fontId="12" fillId="0" borderId="0" xfId="1" applyNumberFormat="1" applyFont="1" applyAlignment="1">
      <alignment horizontal="right" indent="1"/>
    </xf>
    <xf numFmtId="164" fontId="12" fillId="0" borderId="38" xfId="1" applyNumberFormat="1" applyFont="1" applyBorder="1" applyAlignment="1">
      <alignment horizontal="right" indent="1"/>
    </xf>
    <xf numFmtId="3" fontId="12" fillId="0" borderId="41" xfId="1" applyNumberFormat="1" applyFont="1" applyBorder="1" applyAlignment="1">
      <alignment horizontal="right" indent="1"/>
    </xf>
    <xf numFmtId="3" fontId="8" fillId="0" borderId="43" xfId="1" applyNumberFormat="1" applyFont="1" applyBorder="1" applyAlignment="1">
      <alignment horizontal="right" indent="1"/>
    </xf>
    <xf numFmtId="164" fontId="8" fillId="0" borderId="31" xfId="1" applyNumberFormat="1" applyFont="1" applyBorder="1" applyAlignment="1">
      <alignment horizontal="right" indent="1"/>
    </xf>
    <xf numFmtId="3" fontId="8" fillId="0" borderId="17" xfId="1" applyNumberFormat="1" applyFont="1" applyBorder="1" applyAlignment="1">
      <alignment horizontal="right" indent="1"/>
    </xf>
    <xf numFmtId="164" fontId="8" fillId="0" borderId="44" xfId="1" applyNumberFormat="1" applyFont="1" applyBorder="1" applyAlignment="1">
      <alignment horizontal="right" indent="1"/>
    </xf>
    <xf numFmtId="3" fontId="12" fillId="0" borderId="43" xfId="1" applyNumberFormat="1" applyFont="1" applyBorder="1" applyAlignment="1">
      <alignment horizontal="right" indent="1"/>
    </xf>
    <xf numFmtId="164" fontId="12" fillId="0" borderId="44" xfId="1" applyNumberFormat="1" applyFont="1" applyBorder="1" applyAlignment="1">
      <alignment horizontal="right" indent="1"/>
    </xf>
    <xf numFmtId="3" fontId="12" fillId="0" borderId="45" xfId="1" applyNumberFormat="1" applyFont="1" applyBorder="1" applyAlignment="1">
      <alignment horizontal="right" indent="1"/>
    </xf>
    <xf numFmtId="164" fontId="8" fillId="0" borderId="0" xfId="1" applyNumberFormat="1" applyFont="1" applyAlignment="1">
      <alignment horizontal="right" indent="1"/>
    </xf>
    <xf numFmtId="0" fontId="6" fillId="0" borderId="0" xfId="1" applyFont="1" applyAlignment="1">
      <alignment vertical="top"/>
    </xf>
    <xf numFmtId="0" fontId="5" fillId="0" borderId="0" xfId="1" applyFont="1" applyAlignment="1">
      <alignment vertical="top"/>
    </xf>
    <xf numFmtId="49" fontId="5" fillId="0" borderId="21" xfId="1" applyNumberFormat="1" applyFont="1" applyBorder="1" applyAlignment="1">
      <alignment vertical="top" wrapText="1"/>
    </xf>
    <xf numFmtId="49" fontId="5" fillId="0" borderId="46" xfId="1" applyNumberFormat="1" applyFont="1" applyBorder="1" applyAlignment="1">
      <alignment vertical="top" wrapText="1"/>
    </xf>
    <xf numFmtId="3" fontId="12" fillId="0" borderId="11" xfId="1" applyNumberFormat="1" applyFont="1" applyBorder="1" applyAlignment="1">
      <alignment horizontal="right" indent="1"/>
    </xf>
    <xf numFmtId="3" fontId="12" fillId="0" borderId="9" xfId="1" applyNumberFormat="1" applyFont="1" applyBorder="1" applyAlignment="1">
      <alignment horizontal="right" indent="1"/>
    </xf>
    <xf numFmtId="3" fontId="12" fillId="0" borderId="15" xfId="1" applyNumberFormat="1" applyFont="1" applyBorder="1" applyAlignment="1">
      <alignment horizontal="right" indent="1"/>
    </xf>
    <xf numFmtId="3" fontId="12" fillId="0" borderId="16" xfId="1" applyNumberFormat="1" applyFont="1" applyBorder="1" applyAlignment="1">
      <alignment horizontal="right" indent="1"/>
    </xf>
    <xf numFmtId="3" fontId="12" fillId="0" borderId="19" xfId="1" applyNumberFormat="1" applyFont="1" applyBorder="1" applyAlignment="1">
      <alignment horizontal="right" indent="1"/>
    </xf>
    <xf numFmtId="3" fontId="8" fillId="0" borderId="20" xfId="1" applyNumberFormat="1" applyFont="1" applyBorder="1" applyAlignment="1">
      <alignment horizontal="right" indent="1"/>
    </xf>
    <xf numFmtId="49" fontId="5" fillId="0" borderId="47" xfId="1" applyNumberFormat="1" applyFont="1" applyBorder="1" applyAlignment="1">
      <alignment vertical="top" wrapText="1"/>
    </xf>
    <xf numFmtId="49" fontId="5" fillId="0" borderId="33" xfId="1" applyNumberFormat="1" applyFont="1" applyBorder="1" applyAlignment="1">
      <alignment vertical="top" wrapText="1"/>
    </xf>
    <xf numFmtId="49" fontId="5" fillId="0" borderId="37" xfId="1" applyNumberFormat="1" applyFont="1" applyBorder="1" applyAlignment="1">
      <alignment vertical="top" wrapText="1"/>
    </xf>
    <xf numFmtId="49" fontId="5" fillId="0" borderId="48" xfId="1" applyNumberFormat="1" applyFont="1" applyBorder="1" applyAlignment="1">
      <alignment vertical="top" wrapText="1"/>
    </xf>
    <xf numFmtId="3" fontId="12" fillId="0" borderId="29" xfId="1" applyNumberFormat="1" applyFont="1" applyBorder="1" applyAlignment="1">
      <alignment horizontal="right" indent="1"/>
    </xf>
    <xf numFmtId="3" fontId="12" fillId="0" borderId="30" xfId="1" applyNumberFormat="1" applyFont="1" applyBorder="1" applyAlignment="1">
      <alignment horizontal="right" indent="1"/>
    </xf>
    <xf numFmtId="0" fontId="6" fillId="0" borderId="0" xfId="1" applyFont="1"/>
    <xf numFmtId="0" fontId="8" fillId="0" borderId="0" xfId="1" applyFont="1"/>
    <xf numFmtId="0" fontId="3" fillId="0" borderId="0" xfId="1" applyAlignment="1">
      <alignment vertical="top"/>
    </xf>
    <xf numFmtId="49" fontId="5" fillId="0" borderId="49" xfId="1" applyNumberFormat="1" applyFont="1" applyBorder="1" applyAlignment="1">
      <alignment vertical="top" wrapText="1"/>
    </xf>
    <xf numFmtId="49" fontId="5" fillId="0" borderId="50" xfId="1" applyNumberFormat="1" applyFont="1" applyBorder="1" applyAlignment="1">
      <alignment vertical="top" wrapText="1"/>
    </xf>
    <xf numFmtId="49" fontId="5" fillId="0" borderId="49" xfId="1" applyNumberFormat="1" applyFont="1" applyBorder="1" applyAlignment="1">
      <alignment horizontal="left" vertical="top" wrapText="1"/>
    </xf>
    <xf numFmtId="49" fontId="5" fillId="0" borderId="50" xfId="1" applyNumberFormat="1" applyFont="1" applyBorder="1" applyAlignment="1">
      <alignment horizontal="left" vertical="top" wrapText="1"/>
    </xf>
    <xf numFmtId="49" fontId="5" fillId="0" borderId="28" xfId="1" applyNumberFormat="1" applyFont="1" applyBorder="1" applyAlignment="1">
      <alignment vertical="top" wrapText="1"/>
    </xf>
    <xf numFmtId="49" fontId="5" fillId="0" borderId="37" xfId="1" applyNumberFormat="1" applyFont="1" applyBorder="1" applyAlignment="1">
      <alignment horizontal="left" vertical="top" wrapText="1"/>
    </xf>
    <xf numFmtId="49" fontId="5" fillId="0" borderId="7" xfId="1" applyNumberFormat="1" applyFont="1" applyBorder="1" applyAlignment="1">
      <alignment horizontal="left" vertical="top" wrapText="1"/>
    </xf>
    <xf numFmtId="3" fontId="3" fillId="0" borderId="42" xfId="1" applyNumberFormat="1" applyBorder="1" applyAlignment="1">
      <alignment horizontal="right" indent="1"/>
    </xf>
    <xf numFmtId="3" fontId="12" fillId="0" borderId="42" xfId="1" applyNumberFormat="1" applyFont="1" applyBorder="1" applyAlignment="1">
      <alignment horizontal="right" indent="1"/>
    </xf>
    <xf numFmtId="3" fontId="8" fillId="0" borderId="44" xfId="1" applyNumberFormat="1" applyFont="1" applyBorder="1" applyAlignment="1">
      <alignment horizontal="right" indent="1"/>
    </xf>
    <xf numFmtId="165" fontId="3" fillId="0" borderId="0" xfId="1" applyNumberFormat="1"/>
    <xf numFmtId="3" fontId="9" fillId="0" borderId="0" xfId="1" applyNumberFormat="1" applyFont="1"/>
    <xf numFmtId="49" fontId="5" fillId="0" borderId="41" xfId="1" applyNumberFormat="1" applyFont="1" applyBorder="1" applyAlignment="1">
      <alignment vertical="top" wrapText="1"/>
    </xf>
    <xf numFmtId="49" fontId="13" fillId="0" borderId="0" xfId="1" applyNumberFormat="1" applyFont="1" applyAlignment="1">
      <alignment vertical="top" wrapText="1"/>
    </xf>
    <xf numFmtId="164" fontId="12" fillId="0" borderId="29" xfId="1" applyNumberFormat="1" applyFont="1" applyBorder="1" applyAlignment="1">
      <alignment horizontal="right" indent="1"/>
    </xf>
    <xf numFmtId="0" fontId="12" fillId="0" borderId="38" xfId="1" applyFont="1" applyBorder="1" applyAlignment="1">
      <alignment horizontal="right" indent="1"/>
    </xf>
    <xf numFmtId="0" fontId="6" fillId="0" borderId="0" xfId="1" applyFont="1" applyAlignment="1">
      <alignment vertical="top" wrapText="1"/>
    </xf>
    <xf numFmtId="0" fontId="6" fillId="0" borderId="0" xfId="1" applyFont="1" applyAlignment="1">
      <alignment horizontal="left" vertical="top"/>
    </xf>
    <xf numFmtId="49" fontId="5" fillId="0" borderId="0" xfId="1" applyNumberFormat="1" applyFont="1" applyAlignment="1">
      <alignment horizontal="right" vertical="top"/>
    </xf>
    <xf numFmtId="1" fontId="3" fillId="0" borderId="38" xfId="1" applyNumberFormat="1" applyBorder="1" applyAlignment="1">
      <alignment horizontal="right" indent="1"/>
    </xf>
    <xf numFmtId="1" fontId="7" fillId="0" borderId="43" xfId="1" applyNumberFormat="1" applyFont="1" applyBorder="1" applyAlignment="1">
      <alignment horizontal="right" indent="1"/>
    </xf>
    <xf numFmtId="3" fontId="7" fillId="0" borderId="31" xfId="1" applyNumberFormat="1" applyFont="1" applyBorder="1" applyAlignment="1">
      <alignment horizontal="right" indent="1"/>
    </xf>
    <xf numFmtId="4" fontId="5" fillId="0" borderId="0" xfId="1" applyNumberFormat="1" applyFont="1"/>
    <xf numFmtId="49" fontId="5" fillId="0" borderId="0" xfId="1" applyNumberFormat="1" applyFont="1" applyAlignment="1">
      <alignment horizontal="left" vertical="top" wrapText="1"/>
    </xf>
    <xf numFmtId="49" fontId="5" fillId="0" borderId="46" xfId="1" applyNumberFormat="1" applyFont="1" applyBorder="1" applyAlignment="1">
      <alignment horizontal="right" vertical="top" wrapText="1" indent="1"/>
    </xf>
    <xf numFmtId="49" fontId="5" fillId="0" borderId="48" xfId="1" applyNumberFormat="1" applyFont="1" applyBorder="1" applyAlignment="1">
      <alignment horizontal="right" vertical="top" wrapText="1" indent="1"/>
    </xf>
    <xf numFmtId="49" fontId="5" fillId="0" borderId="0" xfId="1" applyNumberFormat="1" applyFont="1" applyAlignment="1">
      <alignment horizontal="right" vertical="top" wrapText="1" indent="1"/>
    </xf>
    <xf numFmtId="0" fontId="3" fillId="0" borderId="13" xfId="1" applyBorder="1" applyAlignment="1">
      <alignment horizontal="left" indent="1"/>
    </xf>
    <xf numFmtId="164" fontId="3" fillId="0" borderId="30" xfId="1" applyNumberFormat="1" applyBorder="1" applyAlignment="1">
      <alignment horizontal="right" indent="1"/>
    </xf>
    <xf numFmtId="3" fontId="3" fillId="0" borderId="38" xfId="1" applyNumberFormat="1" applyBorder="1" applyAlignment="1">
      <alignment horizontal="right" indent="1"/>
    </xf>
    <xf numFmtId="164" fontId="12" fillId="0" borderId="15" xfId="1" applyNumberFormat="1" applyFont="1" applyBorder="1" applyAlignment="1">
      <alignment horizontal="right" indent="1"/>
    </xf>
    <xf numFmtId="3" fontId="3" fillId="0" borderId="0" xfId="1" applyNumberFormat="1" applyAlignment="1">
      <alignment horizontal="right" indent="1"/>
    </xf>
    <xf numFmtId="164" fontId="3" fillId="0" borderId="0" xfId="1" applyNumberFormat="1" applyAlignment="1">
      <alignment horizontal="right" indent="1"/>
    </xf>
    <xf numFmtId="0" fontId="8" fillId="0" borderId="17" xfId="1" applyFont="1" applyBorder="1" applyAlignment="1">
      <alignment horizontal="left" indent="1"/>
    </xf>
    <xf numFmtId="164" fontId="8" fillId="0" borderId="60" xfId="1" applyNumberFormat="1" applyFont="1" applyBorder="1" applyAlignment="1">
      <alignment horizontal="right" indent="1"/>
    </xf>
    <xf numFmtId="164" fontId="8" fillId="3" borderId="19" xfId="1" applyNumberFormat="1" applyFont="1" applyFill="1" applyBorder="1" applyAlignment="1">
      <alignment horizontal="right" indent="1"/>
    </xf>
    <xf numFmtId="3" fontId="8" fillId="3" borderId="19" xfId="1" applyNumberFormat="1" applyFont="1" applyFill="1" applyBorder="1" applyAlignment="1">
      <alignment horizontal="right" indent="1"/>
    </xf>
    <xf numFmtId="164" fontId="8" fillId="3" borderId="31" xfId="1" applyNumberFormat="1" applyFont="1" applyFill="1" applyBorder="1" applyAlignment="1">
      <alignment horizontal="right" indent="1"/>
    </xf>
    <xf numFmtId="3" fontId="8" fillId="3" borderId="43" xfId="1" applyNumberFormat="1" applyFont="1" applyFill="1" applyBorder="1" applyAlignment="1">
      <alignment horizontal="right" indent="1"/>
    </xf>
    <xf numFmtId="3" fontId="8" fillId="0" borderId="60" xfId="1" applyNumberFormat="1" applyFont="1" applyBorder="1" applyAlignment="1">
      <alignment horizontal="right" indent="1"/>
    </xf>
    <xf numFmtId="0" fontId="8" fillId="0" borderId="0" xfId="1" applyFont="1" applyAlignment="1">
      <alignment horizontal="left" indent="1"/>
    </xf>
    <xf numFmtId="164" fontId="8" fillId="3" borderId="0" xfId="1" applyNumberFormat="1" applyFont="1" applyFill="1" applyAlignment="1">
      <alignment horizontal="right" indent="1"/>
    </xf>
    <xf numFmtId="3" fontId="8" fillId="3" borderId="0" xfId="1" applyNumberFormat="1" applyFont="1" applyFill="1" applyAlignment="1">
      <alignment horizontal="right" indent="1"/>
    </xf>
    <xf numFmtId="0" fontId="6" fillId="0" borderId="0" xfId="1" applyFont="1" applyAlignment="1">
      <alignment horizontal="left" vertical="top" wrapText="1"/>
    </xf>
    <xf numFmtId="3" fontId="6" fillId="0" borderId="0" xfId="1" applyNumberFormat="1" applyFont="1" applyAlignment="1">
      <alignment vertical="top"/>
    </xf>
    <xf numFmtId="0" fontId="3" fillId="0" borderId="13" xfId="1" applyBorder="1" applyAlignment="1">
      <alignment horizontal="right" indent="1"/>
    </xf>
    <xf numFmtId="0" fontId="8" fillId="0" borderId="17" xfId="1" applyFont="1" applyBorder="1" applyAlignment="1">
      <alignment horizontal="right" indent="1"/>
    </xf>
    <xf numFmtId="0" fontId="3" fillId="0" borderId="9" xfId="1" applyBorder="1" applyAlignment="1">
      <alignment horizontal="right" indent="1"/>
    </xf>
    <xf numFmtId="3" fontId="3" fillId="0" borderId="59" xfId="1" applyNumberFormat="1" applyBorder="1" applyAlignment="1">
      <alignment horizontal="right" indent="1"/>
    </xf>
    <xf numFmtId="3" fontId="3" fillId="0" borderId="40" xfId="1" applyNumberFormat="1" applyBorder="1" applyAlignment="1">
      <alignment horizontal="right" indent="1"/>
    </xf>
    <xf numFmtId="0" fontId="8" fillId="0" borderId="0" xfId="1" applyFont="1" applyAlignment="1">
      <alignment horizontal="right" indent="1"/>
    </xf>
    <xf numFmtId="3" fontId="3" fillId="0" borderId="39" xfId="1" applyNumberFormat="1" applyBorder="1" applyAlignment="1">
      <alignment horizontal="right" indent="1"/>
    </xf>
    <xf numFmtId="3" fontId="3" fillId="0" borderId="41" xfId="1" applyNumberFormat="1" applyBorder="1" applyAlignment="1">
      <alignment horizontal="right" indent="1"/>
    </xf>
    <xf numFmtId="3" fontId="8" fillId="0" borderId="45" xfId="1" applyNumberFormat="1" applyFont="1" applyBorder="1" applyAlignment="1">
      <alignment horizontal="right" indent="1"/>
    </xf>
    <xf numFmtId="14" fontId="9" fillId="0" borderId="0" xfId="1" applyNumberFormat="1" applyFont="1" applyAlignment="1">
      <alignment vertical="center"/>
    </xf>
    <xf numFmtId="49" fontId="5" fillId="0" borderId="25" xfId="1" applyNumberFormat="1" applyFont="1" applyBorder="1" applyAlignment="1">
      <alignment vertical="top" wrapText="1"/>
    </xf>
    <xf numFmtId="49" fontId="5" fillId="0" borderId="35" xfId="1" applyNumberFormat="1" applyFont="1" applyBorder="1" applyAlignment="1">
      <alignment vertical="top" wrapText="1"/>
    </xf>
    <xf numFmtId="49" fontId="5" fillId="0" borderId="37" xfId="1" applyNumberFormat="1" applyFont="1" applyBorder="1" applyAlignment="1">
      <alignment horizontal="center" vertical="top" wrapText="1"/>
    </xf>
    <xf numFmtId="49" fontId="5" fillId="0" borderId="28" xfId="1" applyNumberFormat="1" applyFont="1" applyBorder="1" applyAlignment="1">
      <alignment horizontal="center" vertical="top" wrapText="1"/>
    </xf>
    <xf numFmtId="49" fontId="5" fillId="0" borderId="8" xfId="1" applyNumberFormat="1" applyFont="1" applyBorder="1" applyAlignment="1">
      <alignment horizontal="center" vertical="top" wrapText="1"/>
    </xf>
    <xf numFmtId="49" fontId="5" fillId="0" borderId="48" xfId="1" applyNumberFormat="1" applyFont="1" applyBorder="1" applyAlignment="1">
      <alignment horizontal="center" vertical="top" wrapText="1"/>
    </xf>
    <xf numFmtId="1" fontId="3" fillId="0" borderId="41" xfId="1" applyNumberFormat="1" applyBorder="1" applyAlignment="1">
      <alignment horizontal="right" indent="1"/>
    </xf>
    <xf numFmtId="164" fontId="3" fillId="0" borderId="16" xfId="1" applyNumberFormat="1" applyBorder="1" applyAlignment="1">
      <alignment horizontal="right" indent="1"/>
    </xf>
    <xf numFmtId="1" fontId="8" fillId="0" borderId="45" xfId="1" applyNumberFormat="1" applyFont="1" applyBorder="1" applyAlignment="1">
      <alignment horizontal="right" indent="1"/>
    </xf>
    <xf numFmtId="164" fontId="8" fillId="0" borderId="20" xfId="1" applyNumberFormat="1" applyFont="1" applyBorder="1" applyAlignment="1">
      <alignment horizontal="right" indent="1"/>
    </xf>
    <xf numFmtId="1" fontId="3" fillId="0" borderId="0" xfId="1" applyNumberFormat="1"/>
    <xf numFmtId="49" fontId="5" fillId="0" borderId="36" xfId="1" applyNumberFormat="1" applyFont="1" applyBorder="1" applyAlignment="1">
      <alignment vertical="top" wrapText="1"/>
    </xf>
    <xf numFmtId="3" fontId="3" fillId="0" borderId="51" xfId="1" applyNumberFormat="1" applyBorder="1" applyAlignment="1">
      <alignment horizontal="right" indent="1"/>
    </xf>
    <xf numFmtId="164" fontId="3" fillId="0" borderId="59" xfId="1" applyNumberFormat="1" applyBorder="1" applyAlignment="1">
      <alignment horizontal="right" indent="1"/>
    </xf>
    <xf numFmtId="164" fontId="3" fillId="0" borderId="9" xfId="1" applyNumberFormat="1" applyBorder="1" applyAlignment="1">
      <alignment horizontal="right" indent="1"/>
    </xf>
    <xf numFmtId="164" fontId="3" fillId="0" borderId="38" xfId="1" applyNumberFormat="1" applyBorder="1" applyAlignment="1">
      <alignment horizontal="right" indent="1"/>
    </xf>
    <xf numFmtId="164" fontId="3" fillId="0" borderId="13" xfId="1" applyNumberFormat="1" applyBorder="1" applyAlignment="1">
      <alignment horizontal="right" indent="1"/>
    </xf>
    <xf numFmtId="3" fontId="15" fillId="0" borderId="42" xfId="1" applyNumberFormat="1" applyFont="1" applyBorder="1" applyAlignment="1">
      <alignment horizontal="right" indent="1"/>
    </xf>
    <xf numFmtId="164" fontId="8" fillId="0" borderId="43" xfId="1" applyNumberFormat="1" applyFont="1" applyBorder="1" applyAlignment="1">
      <alignment horizontal="right" indent="1"/>
    </xf>
    <xf numFmtId="164" fontId="8" fillId="0" borderId="17" xfId="1" applyNumberFormat="1" applyFont="1" applyBorder="1" applyAlignment="1">
      <alignment horizontal="right" indent="1"/>
    </xf>
    <xf numFmtId="0" fontId="5" fillId="0" borderId="0" xfId="1" applyFont="1" applyAlignment="1">
      <alignment horizontal="left" vertical="top" wrapText="1"/>
    </xf>
    <xf numFmtId="49" fontId="5" fillId="0" borderId="64" xfId="1" applyNumberFormat="1" applyFont="1" applyBorder="1" applyAlignment="1">
      <alignment vertical="top" wrapText="1"/>
    </xf>
    <xf numFmtId="49" fontId="5" fillId="0" borderId="65" xfId="1" applyNumberFormat="1" applyFont="1" applyBorder="1" applyAlignment="1">
      <alignment vertical="top" wrapText="1"/>
    </xf>
    <xf numFmtId="49" fontId="5" fillId="0" borderId="66" xfId="1" applyNumberFormat="1" applyFont="1" applyBorder="1" applyAlignment="1">
      <alignment vertical="top" wrapText="1"/>
    </xf>
    <xf numFmtId="49" fontId="5" fillId="0" borderId="67" xfId="1" applyNumberFormat="1" applyFont="1" applyBorder="1" applyAlignment="1">
      <alignment vertical="top" wrapText="1"/>
    </xf>
    <xf numFmtId="3" fontId="3" fillId="0" borderId="39" xfId="1" applyNumberFormat="1" applyBorder="1" applyAlignment="1">
      <alignment horizontal="right"/>
    </xf>
    <xf numFmtId="3" fontId="16" fillId="0" borderId="10" xfId="1" applyNumberFormat="1" applyFont="1" applyBorder="1" applyAlignment="1">
      <alignment horizontal="left" indent="1"/>
    </xf>
    <xf numFmtId="164" fontId="3" fillId="0" borderId="11" xfId="1" applyNumberFormat="1" applyBorder="1" applyAlignment="1">
      <alignment horizontal="right" indent="1"/>
    </xf>
    <xf numFmtId="164" fontId="3" fillId="0" borderId="29" xfId="1" applyNumberFormat="1" applyBorder="1" applyAlignment="1">
      <alignment horizontal="right" indent="1"/>
    </xf>
    <xf numFmtId="164" fontId="3" fillId="0" borderId="0" xfId="1" applyNumberFormat="1"/>
    <xf numFmtId="3" fontId="3" fillId="0" borderId="41" xfId="1" applyNumberFormat="1" applyBorder="1" applyAlignment="1">
      <alignment horizontal="right"/>
    </xf>
    <xf numFmtId="3" fontId="16" fillId="0" borderId="14" xfId="1" applyNumberFormat="1" applyFont="1" applyBorder="1" applyAlignment="1">
      <alignment horizontal="left" indent="1"/>
    </xf>
    <xf numFmtId="164" fontId="3" fillId="0" borderId="15" xfId="1" applyNumberFormat="1" applyBorder="1" applyAlignment="1">
      <alignment horizontal="right" indent="1"/>
    </xf>
    <xf numFmtId="3" fontId="17" fillId="0" borderId="14" xfId="1" applyNumberFormat="1" applyFont="1" applyBorder="1" applyAlignment="1">
      <alignment horizontal="left"/>
    </xf>
    <xf numFmtId="3" fontId="8" fillId="0" borderId="45" xfId="1" applyNumberFormat="1" applyFont="1" applyBorder="1" applyAlignment="1">
      <alignment horizontal="right"/>
    </xf>
    <xf numFmtId="3" fontId="17" fillId="0" borderId="18" xfId="1" applyNumberFormat="1" applyFont="1" applyBorder="1" applyAlignment="1">
      <alignment horizontal="left"/>
    </xf>
    <xf numFmtId="3" fontId="3" fillId="0" borderId="19" xfId="1" applyNumberFormat="1" applyBorder="1" applyAlignment="1">
      <alignment horizontal="right" indent="1"/>
    </xf>
    <xf numFmtId="3" fontId="3" fillId="0" borderId="20" xfId="1" applyNumberFormat="1" applyBorder="1" applyAlignment="1">
      <alignment horizontal="right" indent="1"/>
    </xf>
    <xf numFmtId="164" fontId="8" fillId="0" borderId="19" xfId="1" applyNumberFormat="1" applyFont="1" applyBorder="1" applyAlignment="1">
      <alignment horizontal="right" indent="1"/>
    </xf>
    <xf numFmtId="3" fontId="8" fillId="0" borderId="0" xfId="1" applyNumberFormat="1" applyFont="1" applyAlignment="1">
      <alignment horizontal="right"/>
    </xf>
    <xf numFmtId="3" fontId="17" fillId="0" borderId="0" xfId="1" applyNumberFormat="1" applyFont="1" applyAlignment="1">
      <alignment horizontal="left"/>
    </xf>
    <xf numFmtId="1" fontId="3" fillId="0" borderId="39" xfId="1" applyNumberFormat="1" applyBorder="1" applyAlignment="1">
      <alignment horizontal="right" indent="1"/>
    </xf>
    <xf numFmtId="3" fontId="7" fillId="0" borderId="43" xfId="1" applyNumberFormat="1" applyFont="1" applyBorder="1" applyAlignment="1">
      <alignment horizontal="right" indent="1"/>
    </xf>
    <xf numFmtId="0" fontId="18" fillId="0" borderId="0" xfId="2"/>
    <xf numFmtId="3" fontId="0" fillId="0" borderId="0" xfId="0" applyNumberFormat="1"/>
    <xf numFmtId="2" fontId="0" fillId="0" borderId="0" xfId="0" applyNumberFormat="1"/>
    <xf numFmtId="1" fontId="0" fillId="0" borderId="0" xfId="0" applyNumberFormat="1"/>
    <xf numFmtId="0" fontId="21" fillId="0" borderId="68" xfId="0" applyFont="1" applyBorder="1"/>
    <xf numFmtId="0" fontId="0" fillId="0" borderId="68" xfId="0" applyBorder="1"/>
    <xf numFmtId="0" fontId="22" fillId="0" borderId="69" xfId="0" applyFont="1" applyBorder="1"/>
    <xf numFmtId="0" fontId="0" fillId="0" borderId="69" xfId="0" applyBorder="1"/>
    <xf numFmtId="0" fontId="2" fillId="5" borderId="0" xfId="0" applyFont="1" applyFill="1" applyAlignment="1">
      <alignment horizontal="center"/>
    </xf>
    <xf numFmtId="0" fontId="23" fillId="0" borderId="70" xfId="0" applyFont="1" applyBorder="1"/>
    <xf numFmtId="0" fontId="23" fillId="0" borderId="70" xfId="0" applyFont="1" applyBorder="1" applyAlignment="1">
      <alignment horizontal="right"/>
    </xf>
    <xf numFmtId="0" fontId="23" fillId="5" borderId="70" xfId="0" applyFont="1" applyFill="1" applyBorder="1" applyAlignment="1">
      <alignment horizontal="right"/>
    </xf>
    <xf numFmtId="0" fontId="24" fillId="0" borderId="71" xfId="0" applyFont="1" applyBorder="1" applyAlignment="1">
      <alignment horizontal="left"/>
    </xf>
    <xf numFmtId="165" fontId="24" fillId="0" borderId="72" xfId="0" applyNumberFormat="1" applyFont="1" applyBorder="1"/>
    <xf numFmtId="165" fontId="24" fillId="0" borderId="0" xfId="0" applyNumberFormat="1" applyFont="1"/>
    <xf numFmtId="166" fontId="24" fillId="4" borderId="0" xfId="0" applyNumberFormat="1" applyFont="1" applyFill="1"/>
    <xf numFmtId="165" fontId="24" fillId="5" borderId="0" xfId="0" applyNumberFormat="1" applyFont="1" applyFill="1"/>
    <xf numFmtId="0" fontId="24" fillId="0" borderId="73" xfId="0" applyFont="1" applyBorder="1" applyAlignment="1">
      <alignment horizontal="left"/>
    </xf>
    <xf numFmtId="165" fontId="24" fillId="0" borderId="74" xfId="0" applyNumberFormat="1" applyFont="1" applyBorder="1"/>
    <xf numFmtId="165" fontId="24" fillId="0" borderId="75" xfId="0" applyNumberFormat="1" applyFont="1" applyBorder="1"/>
    <xf numFmtId="166" fontId="24" fillId="4" borderId="75" xfId="0" applyNumberFormat="1" applyFont="1" applyFill="1" applyBorder="1"/>
    <xf numFmtId="165" fontId="24" fillId="5" borderId="75" xfId="0" applyNumberFormat="1" applyFont="1" applyFill="1" applyBorder="1"/>
    <xf numFmtId="0" fontId="23" fillId="0" borderId="73" xfId="0" applyFont="1" applyBorder="1" applyAlignment="1">
      <alignment horizontal="left"/>
    </xf>
    <xf numFmtId="165" fontId="23" fillId="0" borderId="74" xfId="0" applyNumberFormat="1" applyFont="1" applyBorder="1"/>
    <xf numFmtId="165" fontId="23" fillId="0" borderId="75" xfId="0" applyNumberFormat="1" applyFont="1" applyBorder="1"/>
    <xf numFmtId="166" fontId="23" fillId="4" borderId="75" xfId="0" applyNumberFormat="1" applyFont="1" applyFill="1" applyBorder="1"/>
    <xf numFmtId="165" fontId="23" fillId="5" borderId="75" xfId="0" applyNumberFormat="1" applyFont="1" applyFill="1" applyBorder="1"/>
    <xf numFmtId="0" fontId="23" fillId="4" borderId="73" xfId="0" applyFont="1" applyFill="1" applyBorder="1" applyAlignment="1">
      <alignment horizontal="left"/>
    </xf>
    <xf numFmtId="165" fontId="23" fillId="4" borderId="74" xfId="0" applyNumberFormat="1" applyFont="1" applyFill="1" applyBorder="1"/>
    <xf numFmtId="165" fontId="23" fillId="4" borderId="75" xfId="0" applyNumberFormat="1" applyFont="1" applyFill="1" applyBorder="1"/>
    <xf numFmtId="0" fontId="25" fillId="0" borderId="0" xfId="0" applyFont="1"/>
    <xf numFmtId="165" fontId="0" fillId="0" borderId="0" xfId="0" applyNumberFormat="1"/>
    <xf numFmtId="0" fontId="20" fillId="5" borderId="0" xfId="0" applyFont="1" applyFill="1"/>
    <xf numFmtId="165" fontId="20" fillId="5" borderId="0" xfId="0" applyNumberFormat="1" applyFont="1" applyFill="1"/>
    <xf numFmtId="0" fontId="23" fillId="4" borderId="71" xfId="0" applyFont="1" applyFill="1" applyBorder="1" applyAlignment="1">
      <alignment horizontal="left"/>
    </xf>
    <xf numFmtId="165" fontId="23" fillId="4" borderId="72" xfId="0" applyNumberFormat="1" applyFont="1" applyFill="1" applyBorder="1"/>
    <xf numFmtId="165" fontId="23" fillId="4" borderId="0" xfId="0" applyNumberFormat="1" applyFont="1" applyFill="1"/>
    <xf numFmtId="165" fontId="23" fillId="5" borderId="0" xfId="0" applyNumberFormat="1" applyFont="1" applyFill="1"/>
    <xf numFmtId="167" fontId="23" fillId="0" borderId="71" xfId="0" applyNumberFormat="1" applyFont="1" applyBorder="1" applyAlignment="1">
      <alignment horizontal="left"/>
    </xf>
    <xf numFmtId="167" fontId="23" fillId="0" borderId="0" xfId="0" applyNumberFormat="1" applyFont="1"/>
    <xf numFmtId="167" fontId="23" fillId="4" borderId="0" xfId="0" applyNumberFormat="1" applyFont="1" applyFill="1"/>
    <xf numFmtId="167" fontId="0" fillId="0" borderId="71" xfId="0" applyNumberFormat="1" applyBorder="1" applyAlignment="1">
      <alignment horizontal="left"/>
    </xf>
    <xf numFmtId="167" fontId="0" fillId="0" borderId="0" xfId="0" applyNumberFormat="1"/>
    <xf numFmtId="167" fontId="0" fillId="4" borderId="0" xfId="0" applyNumberFormat="1" applyFill="1"/>
    <xf numFmtId="167" fontId="0" fillId="0" borderId="73" xfId="0" applyNumberFormat="1" applyBorder="1" applyAlignment="1">
      <alignment horizontal="left"/>
    </xf>
    <xf numFmtId="167" fontId="0" fillId="0" borderId="75" xfId="0" applyNumberFormat="1" applyBorder="1"/>
    <xf numFmtId="167" fontId="0" fillId="4" borderId="75" xfId="0" applyNumberFormat="1" applyFill="1" applyBorder="1"/>
    <xf numFmtId="167" fontId="23" fillId="0" borderId="73" xfId="0" applyNumberFormat="1" applyFont="1" applyBorder="1" applyAlignment="1">
      <alignment horizontal="left"/>
    </xf>
    <xf numFmtId="167" fontId="23" fillId="0" borderId="75" xfId="0" applyNumberFormat="1" applyFont="1" applyBorder="1"/>
    <xf numFmtId="167" fontId="23" fillId="4" borderId="75" xfId="0" applyNumberFormat="1" applyFont="1" applyFill="1" applyBorder="1"/>
    <xf numFmtId="0" fontId="0" fillId="2" borderId="0" xfId="0" applyFill="1"/>
    <xf numFmtId="167" fontId="0" fillId="2" borderId="0" xfId="0" applyNumberFormat="1" applyFill="1"/>
    <xf numFmtId="0" fontId="23" fillId="0" borderId="0" xfId="0" applyFont="1"/>
    <xf numFmtId="2" fontId="0" fillId="5" borderId="0" xfId="0" applyNumberFormat="1" applyFill="1"/>
    <xf numFmtId="0" fontId="20" fillId="5" borderId="0" xfId="0" applyFont="1" applyFill="1" applyAlignment="1">
      <alignment horizontal="center"/>
    </xf>
    <xf numFmtId="165" fontId="20" fillId="5" borderId="0" xfId="0" applyNumberFormat="1" applyFont="1" applyFill="1" applyAlignment="1">
      <alignment horizontal="center"/>
    </xf>
    <xf numFmtId="165" fontId="0" fillId="2" borderId="0" xfId="0" applyNumberFormat="1" applyFill="1"/>
    <xf numFmtId="0" fontId="20" fillId="2" borderId="0" xfId="0" applyFont="1" applyFill="1"/>
    <xf numFmtId="0" fontId="20" fillId="0" borderId="0" xfId="0" applyFont="1"/>
    <xf numFmtId="49" fontId="5" fillId="0" borderId="23" xfId="1" applyNumberFormat="1" applyFont="1" applyBorder="1" applyAlignment="1">
      <alignment horizontal="left" vertical="top" wrapText="1"/>
    </xf>
    <xf numFmtId="49" fontId="5" fillId="0" borderId="5" xfId="1" applyNumberFormat="1" applyFont="1" applyBorder="1" applyAlignment="1">
      <alignment horizontal="left" vertical="top" wrapText="1"/>
    </xf>
    <xf numFmtId="49" fontId="5" fillId="0" borderId="49" xfId="1" applyNumberFormat="1" applyFont="1" applyBorder="1" applyAlignment="1">
      <alignment horizontal="center" vertical="top" wrapText="1"/>
    </xf>
    <xf numFmtId="49" fontId="5" fillId="0" borderId="50" xfId="1" applyNumberFormat="1" applyFont="1" applyBorder="1" applyAlignment="1">
      <alignment horizontal="center" vertical="top" wrapText="1"/>
    </xf>
    <xf numFmtId="49" fontId="5" fillId="0" borderId="27" xfId="1" applyNumberFormat="1" applyFont="1" applyBorder="1" applyAlignment="1">
      <alignment horizontal="center" vertical="top" wrapText="1"/>
    </xf>
    <xf numFmtId="49" fontId="5" fillId="0" borderId="1" xfId="1" applyNumberFormat="1" applyFont="1" applyBorder="1" applyAlignment="1">
      <alignment horizontal="left" vertical="top" wrapText="1"/>
    </xf>
    <xf numFmtId="49" fontId="5" fillId="0" borderId="32" xfId="1" applyNumberFormat="1" applyFont="1" applyBorder="1" applyAlignment="1">
      <alignment horizontal="center" vertical="top" wrapText="1"/>
    </xf>
    <xf numFmtId="49" fontId="5" fillId="0" borderId="21" xfId="1" applyNumberFormat="1" applyFont="1" applyBorder="1" applyAlignment="1">
      <alignment horizontal="center" vertical="top" wrapText="1"/>
    </xf>
    <xf numFmtId="49" fontId="5" fillId="0" borderId="33" xfId="1" applyNumberFormat="1" applyFont="1" applyBorder="1" applyAlignment="1">
      <alignment horizontal="center" vertical="top" wrapText="1"/>
    </xf>
    <xf numFmtId="0" fontId="5" fillId="0" borderId="0" xfId="1" applyFont="1" applyAlignment="1">
      <alignment horizontal="left" vertical="top" wrapText="1"/>
    </xf>
    <xf numFmtId="49" fontId="5" fillId="0" borderId="54" xfId="1" applyNumberFormat="1" applyFont="1" applyBorder="1" applyAlignment="1">
      <alignment horizontal="left" vertical="top" wrapText="1"/>
    </xf>
    <xf numFmtId="49" fontId="5" fillId="0" borderId="45" xfId="1" applyNumberFormat="1" applyFont="1" applyBorder="1" applyAlignment="1">
      <alignment horizontal="left" vertical="top" wrapText="1"/>
    </xf>
    <xf numFmtId="49" fontId="5" fillId="0" borderId="34" xfId="1" applyNumberFormat="1" applyFont="1" applyBorder="1" applyAlignment="1">
      <alignment horizontal="center" vertical="top" wrapText="1"/>
    </xf>
    <xf numFmtId="49" fontId="5" fillId="0" borderId="35" xfId="1" applyNumberFormat="1" applyFont="1" applyBorder="1" applyAlignment="1">
      <alignment horizontal="center" vertical="top" wrapText="1"/>
    </xf>
    <xf numFmtId="49" fontId="5" fillId="0" borderId="26" xfId="1" applyNumberFormat="1" applyFont="1" applyBorder="1" applyAlignment="1">
      <alignment horizontal="center" vertical="top" wrapText="1"/>
    </xf>
    <xf numFmtId="49" fontId="5" fillId="0" borderId="56" xfId="1" applyNumberFormat="1" applyFont="1" applyBorder="1" applyAlignment="1">
      <alignment horizontal="left" vertical="top" wrapText="1"/>
    </xf>
    <xf numFmtId="49" fontId="5" fillId="0" borderId="44" xfId="1" applyNumberFormat="1" applyFont="1" applyBorder="1" applyAlignment="1">
      <alignment horizontal="left" vertical="top" wrapText="1"/>
    </xf>
    <xf numFmtId="49" fontId="5" fillId="0" borderId="39" xfId="1" applyNumberFormat="1" applyFont="1" applyBorder="1" applyAlignment="1">
      <alignment horizontal="left" vertical="top" wrapText="1"/>
    </xf>
    <xf numFmtId="49" fontId="5" fillId="0" borderId="52" xfId="1" applyNumberFormat="1" applyFont="1" applyBorder="1" applyAlignment="1">
      <alignment horizontal="left" vertical="top" wrapText="1"/>
    </xf>
    <xf numFmtId="49" fontId="5" fillId="0" borderId="40" xfId="1" applyNumberFormat="1" applyFont="1" applyBorder="1" applyAlignment="1">
      <alignment horizontal="left" vertical="top" wrapText="1"/>
    </xf>
    <xf numFmtId="49" fontId="5" fillId="0" borderId="53" xfId="1" applyNumberFormat="1" applyFont="1" applyBorder="1" applyAlignment="1">
      <alignment horizontal="left" vertical="top" wrapText="1"/>
    </xf>
    <xf numFmtId="0" fontId="6" fillId="0" borderId="0" xfId="1" applyFont="1" applyAlignment="1">
      <alignment horizontal="left" vertical="top" wrapText="1"/>
    </xf>
    <xf numFmtId="49" fontId="5" fillId="0" borderId="4" xfId="1" applyNumberFormat="1" applyFont="1" applyBorder="1" applyAlignment="1">
      <alignment horizontal="left" vertical="top" wrapText="1"/>
    </xf>
    <xf numFmtId="49" fontId="5" fillId="0" borderId="2" xfId="1" applyNumberFormat="1" applyFont="1" applyBorder="1" applyAlignment="1">
      <alignment horizontal="left" vertical="top" wrapText="1"/>
    </xf>
    <xf numFmtId="49" fontId="5" fillId="0" borderId="25" xfId="1" applyNumberFormat="1" applyFont="1" applyBorder="1" applyAlignment="1">
      <alignment horizontal="left" vertical="top" wrapText="1"/>
    </xf>
    <xf numFmtId="49" fontId="5" fillId="0" borderId="24" xfId="1" applyNumberFormat="1" applyFont="1" applyBorder="1" applyAlignment="1">
      <alignment horizontal="left" vertical="top" wrapText="1"/>
    </xf>
    <xf numFmtId="49" fontId="5" fillId="0" borderId="25" xfId="1" applyNumberFormat="1" applyFont="1" applyBorder="1" applyAlignment="1">
      <alignment horizontal="left" wrapText="1"/>
    </xf>
    <xf numFmtId="49" fontId="5" fillId="0" borderId="24" xfId="1" applyNumberFormat="1" applyFont="1" applyBorder="1" applyAlignment="1">
      <alignment horizontal="left" wrapText="1"/>
    </xf>
    <xf numFmtId="49" fontId="5" fillId="0" borderId="4" xfId="1" applyNumberFormat="1" applyFont="1" applyBorder="1" applyAlignment="1">
      <alignment horizontal="left" wrapText="1"/>
    </xf>
    <xf numFmtId="49" fontId="5" fillId="0" borderId="2" xfId="1" applyNumberFormat="1" applyFont="1" applyBorder="1" applyAlignment="1">
      <alignment horizontal="left" wrapText="1"/>
    </xf>
    <xf numFmtId="49" fontId="5" fillId="0" borderId="47" xfId="1" applyNumberFormat="1" applyFont="1" applyBorder="1" applyAlignment="1">
      <alignment horizontal="left" vertical="top" wrapText="1"/>
    </xf>
    <xf numFmtId="49" fontId="5" fillId="0" borderId="22" xfId="1" applyNumberFormat="1" applyFont="1" applyBorder="1" applyAlignment="1">
      <alignment horizontal="left" vertical="top" wrapText="1"/>
    </xf>
    <xf numFmtId="49" fontId="5" fillId="0" borderId="34" xfId="1" applyNumberFormat="1" applyFont="1" applyBorder="1" applyAlignment="1">
      <alignment horizontal="left" vertical="top" wrapText="1"/>
    </xf>
    <xf numFmtId="49" fontId="5" fillId="0" borderId="36" xfId="1" applyNumberFormat="1" applyFont="1" applyBorder="1" applyAlignment="1">
      <alignment horizontal="left" vertical="top" wrapText="1"/>
    </xf>
    <xf numFmtId="49" fontId="5" fillId="0" borderId="49" xfId="1" applyNumberFormat="1" applyFont="1" applyBorder="1" applyAlignment="1">
      <alignment horizontal="left" vertical="top" wrapText="1"/>
    </xf>
    <xf numFmtId="49" fontId="5" fillId="0" borderId="27" xfId="1" applyNumberFormat="1" applyFont="1" applyBorder="1" applyAlignment="1">
      <alignment horizontal="left" vertical="top" wrapText="1"/>
    </xf>
    <xf numFmtId="49" fontId="5" fillId="0" borderId="32" xfId="1" applyNumberFormat="1" applyFont="1" applyBorder="1" applyAlignment="1">
      <alignment horizontal="left" vertical="top" wrapText="1"/>
    </xf>
    <xf numFmtId="49" fontId="5" fillId="0" borderId="9" xfId="1" applyNumberFormat="1" applyFont="1" applyBorder="1" applyAlignment="1">
      <alignment horizontal="left" vertical="top" wrapText="1"/>
    </xf>
    <xf numFmtId="49" fontId="5" fillId="0" borderId="57" xfId="1" applyNumberFormat="1" applyFont="1" applyBorder="1" applyAlignment="1">
      <alignment horizontal="left" vertical="top" wrapText="1"/>
    </xf>
    <xf numFmtId="49" fontId="5" fillId="0" borderId="58" xfId="1" applyNumberFormat="1" applyFont="1" applyBorder="1" applyAlignment="1">
      <alignment horizontal="left" vertical="top" wrapText="1"/>
    </xf>
    <xf numFmtId="49" fontId="5" fillId="0" borderId="17" xfId="1" applyNumberFormat="1" applyFont="1" applyBorder="1" applyAlignment="1">
      <alignment horizontal="left" vertical="top" wrapText="1"/>
    </xf>
    <xf numFmtId="0" fontId="5" fillId="0" borderId="0" xfId="1" applyFont="1" applyAlignment="1">
      <alignment horizontal="center" vertical="top" wrapText="1"/>
    </xf>
    <xf numFmtId="49" fontId="5" fillId="0" borderId="21" xfId="1" applyNumberFormat="1" applyFont="1" applyBorder="1" applyAlignment="1">
      <alignment horizontal="left" vertical="top" wrapText="1"/>
    </xf>
    <xf numFmtId="49" fontId="5" fillId="0" borderId="33" xfId="1" applyNumberFormat="1" applyFont="1" applyBorder="1" applyAlignment="1">
      <alignment horizontal="left" vertical="top" wrapText="1"/>
    </xf>
    <xf numFmtId="49" fontId="5" fillId="0" borderId="41" xfId="1" applyNumberFormat="1" applyFont="1" applyBorder="1" applyAlignment="1">
      <alignment horizontal="left" vertical="top" wrapText="1"/>
    </xf>
    <xf numFmtId="49" fontId="5" fillId="0" borderId="26" xfId="1" applyNumberFormat="1" applyFont="1" applyBorder="1" applyAlignment="1">
      <alignment horizontal="left" vertical="top" wrapText="1"/>
    </xf>
    <xf numFmtId="49" fontId="5" fillId="0" borderId="35" xfId="1" applyNumberFormat="1" applyFont="1" applyBorder="1" applyAlignment="1">
      <alignment horizontal="left" vertical="top" wrapText="1"/>
    </xf>
    <xf numFmtId="49" fontId="5" fillId="0" borderId="13" xfId="1" applyNumberFormat="1" applyFont="1" applyBorder="1" applyAlignment="1">
      <alignment horizontal="left" vertical="top" wrapText="1"/>
    </xf>
    <xf numFmtId="49" fontId="5" fillId="0" borderId="61" xfId="1" applyNumberFormat="1" applyFont="1" applyBorder="1" applyAlignment="1">
      <alignment horizontal="center" vertical="top" wrapText="1"/>
    </xf>
    <xf numFmtId="49" fontId="5" fillId="0" borderId="62" xfId="1" applyNumberFormat="1" applyFont="1" applyBorder="1" applyAlignment="1">
      <alignment horizontal="center" vertical="top" wrapText="1"/>
    </xf>
    <xf numFmtId="49" fontId="5" fillId="0" borderId="63" xfId="1" applyNumberFormat="1" applyFont="1" applyBorder="1" applyAlignment="1">
      <alignment horizontal="center" vertical="top" wrapText="1"/>
    </xf>
    <xf numFmtId="0" fontId="6" fillId="0" borderId="0" xfId="1" applyFont="1" applyAlignment="1">
      <alignment horizontal="left" vertical="top"/>
    </xf>
    <xf numFmtId="49" fontId="5" fillId="0" borderId="50" xfId="1" applyNumberFormat="1" applyFont="1" applyBorder="1" applyAlignment="1">
      <alignment horizontal="left" vertical="top" wrapText="1"/>
    </xf>
    <xf numFmtId="49" fontId="5" fillId="0" borderId="59" xfId="1" applyNumberFormat="1" applyFont="1" applyBorder="1" applyAlignment="1">
      <alignment horizontal="center" vertical="top" wrapText="1"/>
    </xf>
    <xf numFmtId="49" fontId="5" fillId="0" borderId="11" xfId="1" applyNumberFormat="1" applyFont="1" applyBorder="1" applyAlignment="1">
      <alignment horizontal="center" vertical="top" wrapText="1"/>
    </xf>
    <xf numFmtId="49" fontId="5" fillId="0" borderId="29" xfId="1" applyNumberFormat="1" applyFont="1" applyBorder="1" applyAlignment="1">
      <alignment horizontal="center" vertical="top" wrapText="1"/>
    </xf>
    <xf numFmtId="49" fontId="5" fillId="0" borderId="3" xfId="1" applyNumberFormat="1" applyFont="1" applyBorder="1" applyAlignment="1">
      <alignment horizontal="left" vertical="top" wrapText="1"/>
    </xf>
    <xf numFmtId="49" fontId="5" fillId="0" borderId="39" xfId="1" applyNumberFormat="1" applyFont="1" applyBorder="1" applyAlignment="1">
      <alignment horizontal="center" vertical="top" wrapText="1"/>
    </xf>
    <xf numFmtId="49" fontId="5" fillId="0" borderId="51" xfId="1" applyNumberFormat="1" applyFont="1" applyBorder="1" applyAlignment="1">
      <alignment horizontal="center" vertical="top" wrapText="1"/>
    </xf>
    <xf numFmtId="49" fontId="5" fillId="0" borderId="40" xfId="1" applyNumberFormat="1" applyFont="1" applyBorder="1" applyAlignment="1">
      <alignment horizontal="center" vertical="top" wrapText="1"/>
    </xf>
    <xf numFmtId="49" fontId="5" fillId="0" borderId="55" xfId="1" applyNumberFormat="1" applyFont="1" applyBorder="1" applyAlignment="1">
      <alignment horizontal="left" vertical="top" wrapText="1"/>
    </xf>
    <xf numFmtId="49" fontId="5" fillId="0" borderId="51" xfId="1" applyNumberFormat="1" applyFont="1" applyBorder="1" applyAlignment="1">
      <alignment horizontal="left" vertical="top" wrapText="1"/>
    </xf>
    <xf numFmtId="49" fontId="5" fillId="0" borderId="52" xfId="1" applyNumberFormat="1" applyFont="1" applyBorder="1" applyAlignment="1">
      <alignment horizontal="left" wrapText="1"/>
    </xf>
    <xf numFmtId="49" fontId="5" fillId="0" borderId="53" xfId="1" applyNumberFormat="1" applyFont="1" applyBorder="1" applyAlignment="1">
      <alignment horizontal="left" wrapText="1"/>
    </xf>
    <xf numFmtId="49" fontId="5" fillId="0" borderId="34" xfId="1" applyNumberFormat="1" applyFont="1" applyBorder="1" applyAlignment="1">
      <alignment horizontal="left" wrapText="1"/>
    </xf>
    <xf numFmtId="49" fontId="5" fillId="0" borderId="35" xfId="1" applyNumberFormat="1" applyFont="1" applyBorder="1" applyAlignment="1">
      <alignment horizontal="left" wrapText="1"/>
    </xf>
    <xf numFmtId="49" fontId="5" fillId="0" borderId="32" xfId="1" applyNumberFormat="1" applyFont="1" applyBorder="1" applyAlignment="1">
      <alignment horizontal="left" wrapText="1"/>
    </xf>
    <xf numFmtId="49" fontId="5" fillId="0" borderId="33" xfId="1" applyNumberFormat="1" applyFont="1" applyBorder="1" applyAlignment="1">
      <alignment horizontal="left" wrapText="1"/>
    </xf>
    <xf numFmtId="49" fontId="5" fillId="0" borderId="6" xfId="1" applyNumberFormat="1" applyFont="1" applyBorder="1" applyAlignment="1">
      <alignment horizontal="left" vertical="top" wrapText="1"/>
    </xf>
    <xf numFmtId="49" fontId="5" fillId="0" borderId="7" xfId="1" applyNumberFormat="1" applyFont="1" applyBorder="1" applyAlignment="1">
      <alignment horizontal="left" vertical="top" wrapText="1"/>
    </xf>
    <xf numFmtId="49" fontId="5" fillId="0" borderId="28" xfId="1" applyNumberFormat="1" applyFont="1" applyBorder="1" applyAlignment="1">
      <alignment horizontal="left" vertical="top" wrapText="1"/>
    </xf>
    <xf numFmtId="49" fontId="5" fillId="0" borderId="37" xfId="1" applyNumberFormat="1" applyFont="1" applyBorder="1" applyAlignment="1">
      <alignment horizontal="left" vertical="top" wrapText="1"/>
    </xf>
    <xf numFmtId="49" fontId="5" fillId="0" borderId="46" xfId="1" applyNumberFormat="1" applyFont="1" applyBorder="1" applyAlignment="1">
      <alignment horizontal="left" vertical="top" wrapText="1"/>
    </xf>
    <xf numFmtId="49" fontId="5" fillId="0" borderId="48" xfId="1" applyNumberFormat="1" applyFont="1" applyBorder="1" applyAlignment="1">
      <alignment horizontal="left" vertical="top" wrapText="1"/>
    </xf>
  </cellXfs>
  <cellStyles count="3">
    <cellStyle name="Hyperlink" xfId="2" builtinId="8"/>
    <cellStyle name="Normal" xfId="0" builtinId="0"/>
    <cellStyle name="Normal 2" xfId="1" xr:uid="{AC81C00D-FD83-41C6-B000-529ABA4C7CB9}"/>
  </cellStyles>
  <dxfs count="56">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88900</xdr:rowOff>
        </xdr:from>
        <xdr:to>
          <xdr:col>1</xdr:col>
          <xdr:colOff>482600</xdr:colOff>
          <xdr:row>2</xdr:row>
          <xdr:rowOff>44450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Aptos Narrow"/>
                </a:rPr>
                <a:t>WriteCode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tch-my.sharepoint.com/personal/michel_haller_ost_ch/Documents/MyActiveProjects/AA_Projects/A_Lehre/EnSp-Energiespeicher/Energiestatistik-Schweiz-fuer-Sankey.xlsm" TargetMode="External"/><Relationship Id="rId1" Type="http://schemas.openxmlformats.org/officeDocument/2006/relationships/externalLinkPath" Target="https://ostch-my.sharepoint.com/personal/michel_haller_ost_ch/Documents/MyActiveProjects/AA_Projects/A_Lehre/EnSp-Energiespeicher/Energiestatistik-Schweiz-fuer-Sanke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trix"/>
      <sheetName val="EnVnachVerwendung"/>
      <sheetName val="Electricity"/>
      <sheetName val="ogd115_gest_bilanz"/>
    </sheetNames>
    <sheetDataSet>
      <sheetData sheetId="0">
        <row r="1">
          <cell r="C1" t="str">
            <v>TWh</v>
          </cell>
        </row>
        <row r="2">
          <cell r="C2">
            <v>2023</v>
          </cell>
        </row>
      </sheetData>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23869-61B8-4658-9877-CB7C5F386F1A}">
  <sheetPr codeName="Sheet1">
    <tabColor theme="3" tint="0.499984740745262"/>
  </sheetPr>
  <dimension ref="A4:A69"/>
  <sheetViews>
    <sheetView tabSelected="1" zoomScale="107" workbookViewId="0">
      <selection activeCell="A69" sqref="A4:A69"/>
    </sheetView>
  </sheetViews>
  <sheetFormatPr defaultRowHeight="14.5"/>
  <cols>
    <col min="2" max="2" width="20.81640625" customWidth="1"/>
  </cols>
  <sheetData>
    <row r="4" spans="1:1">
      <c r="A4" t="s">
        <v>0</v>
      </c>
    </row>
    <row r="5" spans="1:1">
      <c r="A5" t="s">
        <v>878</v>
      </c>
    </row>
    <row r="7" spans="1:1">
      <c r="A7" t="s">
        <v>1</v>
      </c>
    </row>
    <row r="8" spans="1:1">
      <c r="A8" t="s">
        <v>879</v>
      </c>
    </row>
    <row r="9" spans="1:1">
      <c r="A9" t="s">
        <v>880</v>
      </c>
    </row>
    <row r="10" spans="1:1">
      <c r="A10" t="s">
        <v>881</v>
      </c>
    </row>
    <row r="11" spans="1:1">
      <c r="A11" t="s">
        <v>882</v>
      </c>
    </row>
    <row r="13" spans="1:1">
      <c r="A13" t="s">
        <v>2</v>
      </c>
    </row>
    <row r="14" spans="1:1">
      <c r="A14" t="s">
        <v>883</v>
      </c>
    </row>
    <row r="16" spans="1:1">
      <c r="A16" t="s">
        <v>3</v>
      </c>
    </row>
    <row r="17" spans="1:1">
      <c r="A17" t="s">
        <v>884</v>
      </c>
    </row>
    <row r="18" spans="1:1">
      <c r="A18" t="s">
        <v>885</v>
      </c>
    </row>
    <row r="20" spans="1:1">
      <c r="A20" t="s">
        <v>845</v>
      </c>
    </row>
    <row r="21" spans="1:1">
      <c r="A21" t="s">
        <v>886</v>
      </c>
    </row>
    <row r="22" spans="1:1">
      <c r="A22" t="s">
        <v>887</v>
      </c>
    </row>
    <row r="23" spans="1:1">
      <c r="A23" t="s">
        <v>888</v>
      </c>
    </row>
    <row r="24" spans="1:1">
      <c r="A24" t="s">
        <v>889</v>
      </c>
    </row>
    <row r="25" spans="1:1">
      <c r="A25" t="s">
        <v>890</v>
      </c>
    </row>
    <row r="26" spans="1:1">
      <c r="A26" t="s">
        <v>891</v>
      </c>
    </row>
    <row r="27" spans="1:1">
      <c r="A27" t="s">
        <v>892</v>
      </c>
    </row>
    <row r="28" spans="1:1">
      <c r="A28" t="s">
        <v>893</v>
      </c>
    </row>
    <row r="30" spans="1:1">
      <c r="A30" t="s">
        <v>4</v>
      </c>
    </row>
    <row r="31" spans="1:1">
      <c r="A31" t="s">
        <v>894</v>
      </c>
    </row>
    <row r="32" spans="1:1">
      <c r="A32" t="s">
        <v>895</v>
      </c>
    </row>
    <row r="33" spans="1:1">
      <c r="A33" t="s">
        <v>896</v>
      </c>
    </row>
    <row r="34" spans="1:1">
      <c r="A34" t="s">
        <v>897</v>
      </c>
    </row>
    <row r="35" spans="1:1">
      <c r="A35" t="s">
        <v>898</v>
      </c>
    </row>
    <row r="36" spans="1:1">
      <c r="A36" t="s">
        <v>899</v>
      </c>
    </row>
    <row r="37" spans="1:1">
      <c r="A37" t="s">
        <v>900</v>
      </c>
    </row>
    <row r="38" spans="1:1">
      <c r="A38" t="s">
        <v>901</v>
      </c>
    </row>
    <row r="40" spans="1:1">
      <c r="A40" t="s">
        <v>5</v>
      </c>
    </row>
    <row r="41" spans="1:1">
      <c r="A41" t="s">
        <v>902</v>
      </c>
    </row>
    <row r="42" spans="1:1">
      <c r="A42" t="s">
        <v>903</v>
      </c>
    </row>
    <row r="43" spans="1:1">
      <c r="A43" t="s">
        <v>904</v>
      </c>
    </row>
    <row r="45" spans="1:1">
      <c r="A45" t="s">
        <v>905</v>
      </c>
    </row>
    <row r="46" spans="1:1">
      <c r="A46" t="s">
        <v>906</v>
      </c>
    </row>
    <row r="47" spans="1:1">
      <c r="A47" t="s">
        <v>907</v>
      </c>
    </row>
    <row r="49" spans="1:1">
      <c r="A49" t="s">
        <v>6</v>
      </c>
    </row>
    <row r="50" spans="1:1">
      <c r="A50" t="s">
        <v>908</v>
      </c>
    </row>
    <row r="51" spans="1:1">
      <c r="A51" t="s">
        <v>909</v>
      </c>
    </row>
    <row r="52" spans="1:1">
      <c r="A52" t="s">
        <v>910</v>
      </c>
    </row>
    <row r="53" spans="1:1">
      <c r="A53" t="s">
        <v>911</v>
      </c>
    </row>
    <row r="55" spans="1:1">
      <c r="A55" t="s">
        <v>7</v>
      </c>
    </row>
    <row r="56" spans="1:1">
      <c r="A56" t="s">
        <v>912</v>
      </c>
    </row>
    <row r="57" spans="1:1">
      <c r="A57" t="s">
        <v>913</v>
      </c>
    </row>
    <row r="58" spans="1:1">
      <c r="A58" t="s">
        <v>914</v>
      </c>
    </row>
    <row r="61" spans="1:1">
      <c r="A61" t="s">
        <v>8</v>
      </c>
    </row>
    <row r="62" spans="1:1">
      <c r="A62" t="s">
        <v>915</v>
      </c>
    </row>
    <row r="63" spans="1:1">
      <c r="A63" t="s">
        <v>916</v>
      </c>
    </row>
    <row r="64" spans="1:1">
      <c r="A64" t="s">
        <v>917</v>
      </c>
    </row>
    <row r="65" spans="1:1">
      <c r="A65" t="s">
        <v>918</v>
      </c>
    </row>
    <row r="66" spans="1:1">
      <c r="A66" t="s">
        <v>919</v>
      </c>
    </row>
    <row r="67" spans="1:1">
      <c r="A67" t="s">
        <v>920</v>
      </c>
    </row>
    <row r="68" spans="1:1">
      <c r="A68" t="s">
        <v>921</v>
      </c>
    </row>
    <row r="69" spans="1:1">
      <c r="A69" t="s">
        <v>922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WriteCode">
                <anchor moveWithCells="1">
                  <from>
                    <xdr:col>0</xdr:col>
                    <xdr:colOff>127000</xdr:colOff>
                    <xdr:row>0</xdr:row>
                    <xdr:rowOff>88900</xdr:rowOff>
                  </from>
                  <to>
                    <xdr:col>1</xdr:col>
                    <xdr:colOff>482600</xdr:colOff>
                    <xdr:row>2</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28662-D5B0-4256-B35E-DFCB595B4C53}">
  <sheetPr codeName="Sheet2">
    <tabColor theme="5" tint="0.39997558519241921"/>
  </sheetPr>
  <dimension ref="A1:AG109"/>
  <sheetViews>
    <sheetView zoomScale="101" workbookViewId="0">
      <selection activeCell="B6" sqref="B6"/>
    </sheetView>
  </sheetViews>
  <sheetFormatPr defaultRowHeight="14.5"/>
  <cols>
    <col min="1" max="1" width="24.26953125" customWidth="1"/>
    <col min="2" max="6" width="8.81640625" bestFit="1" customWidth="1"/>
    <col min="7" max="19" width="7.36328125" bestFit="1" customWidth="1"/>
    <col min="20" max="29" width="5.36328125" customWidth="1"/>
    <col min="30" max="30" width="18.36328125" customWidth="1"/>
    <col min="31" max="32" width="5.36328125" customWidth="1"/>
    <col min="35" max="35" width="16.7265625" customWidth="1"/>
    <col min="36" max="36" width="3.54296875" bestFit="1" customWidth="1"/>
    <col min="37" max="37" width="4.1796875" bestFit="1" customWidth="1"/>
  </cols>
  <sheetData>
    <row r="1" spans="1:33">
      <c r="C1" s="252" t="s">
        <v>838</v>
      </c>
    </row>
    <row r="2" spans="1:33">
      <c r="A2" s="2" t="s">
        <v>49</v>
      </c>
      <c r="C2" s="251" t="s">
        <v>837</v>
      </c>
    </row>
    <row r="4" spans="1:33">
      <c r="A4" s="1" t="s">
        <v>0</v>
      </c>
      <c r="AD4" s="1" t="s">
        <v>631</v>
      </c>
    </row>
    <row r="5" spans="1:33">
      <c r="A5" t="s">
        <v>9</v>
      </c>
      <c r="B5">
        <v>2000</v>
      </c>
      <c r="C5">
        <v>2001</v>
      </c>
      <c r="D5">
        <v>2002</v>
      </c>
      <c r="E5">
        <v>2003</v>
      </c>
      <c r="F5">
        <v>2004</v>
      </c>
      <c r="G5">
        <v>2005</v>
      </c>
      <c r="H5">
        <v>2006</v>
      </c>
      <c r="I5">
        <v>2007</v>
      </c>
      <c r="J5">
        <v>2008</v>
      </c>
      <c r="K5">
        <v>2009</v>
      </c>
      <c r="L5">
        <v>2010</v>
      </c>
      <c r="M5">
        <v>2011</v>
      </c>
      <c r="N5">
        <v>2012</v>
      </c>
      <c r="O5">
        <v>2013</v>
      </c>
      <c r="P5">
        <v>2014</v>
      </c>
      <c r="Q5">
        <v>2015</v>
      </c>
      <c r="R5">
        <v>2016</v>
      </c>
      <c r="S5">
        <v>2017</v>
      </c>
      <c r="T5">
        <v>2018</v>
      </c>
      <c r="U5">
        <v>2019</v>
      </c>
      <c r="V5">
        <v>2020</v>
      </c>
      <c r="W5">
        <v>2021</v>
      </c>
      <c r="X5">
        <v>2022</v>
      </c>
      <c r="Y5">
        <v>2023</v>
      </c>
      <c r="Z5">
        <v>2024</v>
      </c>
      <c r="AD5" t="s">
        <v>627</v>
      </c>
      <c r="AE5" t="s">
        <v>629</v>
      </c>
      <c r="AF5" t="s">
        <v>630</v>
      </c>
      <c r="AG5" t="s">
        <v>635</v>
      </c>
    </row>
    <row r="7" spans="1:33">
      <c r="A7" s="1" t="s">
        <v>1</v>
      </c>
    </row>
    <row r="8" spans="1:33">
      <c r="A8" t="s">
        <v>10</v>
      </c>
      <c r="B8" s="196" cm="1">
        <f t="array" aca="1" ref="B8" ca="1">INDIRECT($AD8&amp;"!"&amp; $AE8&amp; ($AF8+B$5-2000))/$AG8</f>
        <v>57.897222222222226</v>
      </c>
      <c r="C8" s="196" cm="1">
        <f t="array" aca="1" ref="C8" ca="1">INDIRECT($AD8&amp;"!"&amp; $AE8&amp; ($AF8+C$5-2000))/$AG8</f>
        <v>62.986111111111114</v>
      </c>
      <c r="D8" s="196" cm="1">
        <f t="array" aca="1" ref="D8" ca="1">INDIRECT($AD8&amp;"!"&amp; $AE8&amp; ($AF8+D$5-2000))/$AG8</f>
        <v>57.844444444444441</v>
      </c>
      <c r="E8" s="196" cm="1">
        <f t="array" aca="1" ref="E8" ca="1">INDIRECT($AD8&amp;"!"&amp; $AE8&amp; ($AF8+E$5-2000))/$AG8</f>
        <v>60.674999999999997</v>
      </c>
      <c r="F8" s="196" cm="1">
        <f t="array" aca="1" ref="F8" ca="1">INDIRECT($AD8&amp;"!"&amp; $AE8&amp; ($AF8+F$5-2000))/$AG8</f>
        <v>59.85</v>
      </c>
      <c r="G8" s="196" cm="1">
        <f t="array" aca="1" ref="G8" ca="1">INDIRECT($AD8&amp;"!"&amp; $AE8&amp; ($AF8+G$5-2000))/$AG8</f>
        <v>59.922222222222224</v>
      </c>
      <c r="H8" s="196" cm="1">
        <f t="array" aca="1" ref="H8" ca="1">INDIRECT($AD8&amp;"!"&amp; $AE8&amp; ($AF8+H$5-2000))/$AG8</f>
        <v>57.68888888888889</v>
      </c>
      <c r="I8" s="196" cm="1">
        <f t="array" aca="1" ref="I8" ca="1">INDIRECT($AD8&amp;"!"&amp; $AE8&amp; ($AF8+I$5-2000))/$AG8</f>
        <v>50.202777777777776</v>
      </c>
      <c r="J8" s="196" cm="1">
        <f t="array" aca="1" ref="J8" ca="1">INDIRECT($AD8&amp;"!"&amp; $AE8&amp; ($AF8+J$5-2000))/$AG8</f>
        <v>52.286111111111111</v>
      </c>
      <c r="K8" s="196" cm="1">
        <f t="array" aca="1" ref="K8" ca="1">INDIRECT($AD8&amp;"!"&amp; $AE8&amp; ($AF8+K$5-2000))/$AG8</f>
        <v>50.577777777777776</v>
      </c>
      <c r="L8" s="196" cm="1">
        <f t="array" aca="1" ref="L8" ca="1">INDIRECT($AD8&amp;"!"&amp; $AE8&amp; ($AF8+L$5-2000))/$AG8</f>
        <v>52.891666666666666</v>
      </c>
      <c r="M8" s="196" cm="1">
        <f t="array" aca="1" ref="M8" ca="1">INDIRECT($AD8&amp;"!"&amp; $AE8&amp; ($AF8+M$5-2000))/$AG8</f>
        <v>41.902777777777779</v>
      </c>
      <c r="N8" s="196" cm="1">
        <f t="array" aca="1" ref="N8" ca="1">INDIRECT($AD8&amp;"!"&amp; $AE8&amp; ($AF8+N$5-2000))/$AG8</f>
        <v>44.758333333333333</v>
      </c>
      <c r="O8" s="196" cm="1">
        <f t="array" aca="1" ref="O8" ca="1">INDIRECT($AD8&amp;"!"&amp; $AE8&amp; ($AF8+O$5-2000))/$AG8</f>
        <v>46.794444444444444</v>
      </c>
      <c r="P8" s="196" cm="1">
        <f t="array" aca="1" ref="P8" ca="1">INDIRECT($AD8&amp;"!"&amp; $AE8&amp; ($AF8+P$5-2000))/$AG8</f>
        <v>35.430555555555557</v>
      </c>
      <c r="Q8" s="196" cm="1">
        <f t="array" aca="1" ref="Q8" ca="1">INDIRECT($AD8&amp;"!"&amp; $AE8&amp; ($AF8+Q$5-2000))/$AG8</f>
        <v>37.19166666666667</v>
      </c>
      <c r="R8" s="196" cm="1">
        <f t="array" aca="1" ref="R8" ca="1">INDIRECT($AD8&amp;"!"&amp; $AE8&amp; ($AF8+R$5-2000))/$AG8</f>
        <v>37.875</v>
      </c>
      <c r="S8" s="196" cm="1">
        <f t="array" aca="1" ref="S8" ca="1">INDIRECT($AD8&amp;"!"&amp; $AE8&amp; ($AF8+S$5-2000))/$AG8</f>
        <v>35.536111111111111</v>
      </c>
      <c r="T8" s="196" cm="1">
        <f t="array" aca="1" ref="T8" ca="1">INDIRECT($AD8&amp;"!"&amp; $AE8&amp; ($AF8+T$5-2000))/$AG8</f>
        <v>32.119444444444447</v>
      </c>
      <c r="U8" s="196" cm="1">
        <f t="array" aca="1" ref="U8" ca="1">INDIRECT($AD8&amp;"!"&amp; $AE8&amp; ($AF8+U$5-2000))/$AG8</f>
        <v>31.197222222222223</v>
      </c>
      <c r="V8" s="196" cm="1">
        <f t="array" aca="1" ref="V8" ca="1">INDIRECT($AD8&amp;"!"&amp; $AE8&amp; ($AF8+V$5-2000))/$AG8</f>
        <v>28.086111111111112</v>
      </c>
      <c r="W8" s="196" cm="1">
        <f t="array" aca="1" ref="W8" ca="1">INDIRECT($AD8&amp;"!"&amp; $AE8&amp; ($AF8+W$5-2000))/$AG8</f>
        <v>31.030555555555555</v>
      </c>
      <c r="X8" s="196" cm="1">
        <f t="array" aca="1" ref="X8" ca="1">INDIRECT($AD8&amp;"!"&amp; $AE8&amp; ($AF8+X$5-2000))/$AG8</f>
        <v>25.213888888888889</v>
      </c>
      <c r="Y8" s="196" cm="1">
        <f t="array" aca="1" ref="Y8" ca="1">INDIRECT($AD8&amp;"!"&amp; $AE8&amp; ($AF8+Y$5-2000))/$AG8</f>
        <v>24.533333333333335</v>
      </c>
      <c r="Z8" s="196" cm="1">
        <f t="array" aca="1" ref="Z8" ca="1">INDIRECT($AD8&amp;"!"&amp; $AE8&amp; ($AF8+Z$5-2000))/$AG8</f>
        <v>23.388888888888889</v>
      </c>
      <c r="AD8" s="194" t="s">
        <v>632</v>
      </c>
      <c r="AE8" t="s">
        <v>628</v>
      </c>
      <c r="AF8">
        <v>98</v>
      </c>
      <c r="AG8">
        <v>3600</v>
      </c>
    </row>
    <row r="9" spans="1:33">
      <c r="A9" t="s">
        <v>11</v>
      </c>
      <c r="B9" s="196" cm="1">
        <f t="array" aca="1" ref="B9" ca="1">INDIRECT($AD9&amp;"!"&amp; $AE9&amp; ($AF9+B$5-2000))/$AG9</f>
        <v>24.635000000000002</v>
      </c>
      <c r="C9" s="196" cm="1">
        <f t="array" aca="1" ref="C9" ca="1">INDIRECT($AD9&amp;"!"&amp; $AE9&amp; ($AF9+C$5-2000))/$AG9</f>
        <v>25.888999999999999</v>
      </c>
      <c r="D9" s="196" cm="1">
        <f t="array" aca="1" ref="D9" ca="1">INDIRECT($AD9&amp;"!"&amp; $AE9&amp; ($AF9+D$5-2000))/$AG9</f>
        <v>25.2165</v>
      </c>
      <c r="E9" s="196" cm="1">
        <f t="array" aca="1" ref="E9" ca="1">INDIRECT($AD9&amp;"!"&amp; $AE9&amp; ($AF9+E$5-2000))/$AG9</f>
        <v>26.763999999999999</v>
      </c>
      <c r="F9" s="196" cm="1">
        <f t="array" aca="1" ref="F9" ca="1">INDIRECT($AD9&amp;"!"&amp; $AE9&amp; ($AF9+F$5-2000))/$AG9</f>
        <v>27.755500000000001</v>
      </c>
      <c r="G9" s="196" cm="1">
        <f t="array" aca="1" ref="G9" ca="1">INDIRECT($AD9&amp;"!"&amp; $AE9&amp; ($AF9+G$5-2000))/$AG9</f>
        <v>28.706</v>
      </c>
      <c r="H9" s="196" cm="1">
        <f t="array" aca="1" ref="H9" ca="1">INDIRECT($AD9&amp;"!"&amp; $AE9&amp; ($AF9+H$5-2000))/$AG9</f>
        <v>27.773</v>
      </c>
      <c r="I9" s="196" cm="1">
        <f t="array" aca="1" ref="I9" ca="1">INDIRECT($AD9&amp;"!"&amp; $AE9&amp; ($AF9+I$5-2000))/$AG9</f>
        <v>27.088999999999999</v>
      </c>
      <c r="J9" s="196" cm="1">
        <f t="array" aca="1" ref="J9" ca="1">INDIRECT($AD9&amp;"!"&amp; $AE9&amp; ($AF9+J$5-2000))/$AG9</f>
        <v>29.063500000000001</v>
      </c>
      <c r="K9" s="196" cm="1">
        <f t="array" aca="1" ref="K9" ca="1">INDIRECT($AD9&amp;"!"&amp; $AE9&amp; ($AF9+K$5-2000))/$AG9</f>
        <v>27.574000000000002</v>
      </c>
      <c r="L9" s="196" cm="1">
        <f t="array" aca="1" ref="L9" ca="1">INDIRECT($AD9&amp;"!"&amp; $AE9&amp; ($AF9+L$5-2000))/$AG9</f>
        <v>30.525500000000001</v>
      </c>
      <c r="M9" s="196" cm="1">
        <f t="array" aca="1" ref="M9" ca="1">INDIRECT($AD9&amp;"!"&amp; $AE9&amp; ($AF9+M$5-2000))/$AG9</f>
        <v>26.6755</v>
      </c>
      <c r="N9" s="196" cm="1">
        <f t="array" aca="1" ref="N9" ca="1">INDIRECT($AD9&amp;"!"&amp; $AE9&amp; ($AF9+N$5-2000))/$AG9</f>
        <v>29.7135</v>
      </c>
      <c r="O9" s="196" cm="1">
        <f t="array" aca="1" ref="O9" ca="1">INDIRECT($AD9&amp;"!"&amp; $AE9&amp; ($AF9+O$5-2000))/$AG9</f>
        <v>31.886500000000002</v>
      </c>
      <c r="P9" s="196" cm="1">
        <f t="array" aca="1" ref="P9" ca="1">INDIRECT($AD9&amp;"!"&amp; $AE9&amp; ($AF9+P$5-2000))/$AG9</f>
        <v>27.638999999999999</v>
      </c>
      <c r="Q9" s="196" cm="1">
        <f t="array" aca="1" ref="Q9" ca="1">INDIRECT($AD9&amp;"!"&amp; $AE9&amp; ($AF9+Q$5-2000))/$AG9</f>
        <v>29.986000000000001</v>
      </c>
      <c r="R9" s="196" cm="1">
        <f t="array" aca="1" ref="R9" ca="1">INDIRECT($AD9&amp;"!"&amp; $AE9&amp; ($AF9+R$5-2000))/$AG9</f>
        <v>31.021999999999998</v>
      </c>
      <c r="S9" s="196" cm="1">
        <f t="array" aca="1" ref="S9" ca="1">INDIRECT($AD9&amp;"!"&amp; $AE9&amp; ($AF9+S$5-2000))/$AG9</f>
        <v>31.249500000000001</v>
      </c>
      <c r="T9" s="196" cm="1">
        <f t="array" aca="1" ref="T9" ca="1">INDIRECT($AD9&amp;"!"&amp; $AE9&amp; ($AF9+T$5-2000))/$AG9</f>
        <v>29.832999999999998</v>
      </c>
      <c r="U9" s="196" cm="1">
        <f t="array" aca="1" ref="U9" ca="1">INDIRECT($AD9&amp;"!"&amp; $AE9&amp; ($AF9+U$5-2000))/$AG9</f>
        <v>30.119</v>
      </c>
      <c r="V9" s="196" cm="1">
        <f t="array" aca="1" ref="V9" ca="1">INDIRECT($AD9&amp;"!"&amp; $AE9&amp; ($AF9+V$5-2000))/$AG9</f>
        <v>29.405000000000001</v>
      </c>
      <c r="W9" s="196" cm="1">
        <f t="array" aca="1" ref="W9" ca="1">INDIRECT($AD9&amp;"!"&amp; $AE9&amp; ($AF9+W$5-2000))/$AG9</f>
        <v>31.646999999999998</v>
      </c>
      <c r="X9" s="196" cm="1">
        <f t="array" aca="1" ref="X9" ca="1">INDIRECT($AD9&amp;"!"&amp; $AE9&amp; ($AF9+X$5-2000))/$AG9</f>
        <v>26.308499999999999</v>
      </c>
      <c r="Y9" s="196" cm="1">
        <f t="array" aca="1" ref="Y9" ca="1">INDIRECT($AD9&amp;"!"&amp; $AE9&amp; ($AF9+Y$5-2000))/$AG9</f>
        <v>23.933499999999999</v>
      </c>
      <c r="Z9" s="196" cm="1">
        <f t="array" aca="1" ref="Z9" ca="1">INDIRECT($AD9&amp;"!"&amp; $AE9&amp; ($AF9+Z$5-2000))/$AG9</f>
        <v>23.67</v>
      </c>
      <c r="AD9" s="194" t="s">
        <v>640</v>
      </c>
      <c r="AE9" t="s">
        <v>873</v>
      </c>
      <c r="AF9">
        <v>4</v>
      </c>
      <c r="AG9">
        <v>1000</v>
      </c>
    </row>
    <row r="10" spans="1:33">
      <c r="A10" t="s">
        <v>877</v>
      </c>
      <c r="B10" s="196" cm="1">
        <f t="array" aca="1" ref="B10" ca="1">INDIRECT($AD10&amp;"!"&amp; $AE10&amp; ($AF10+B$5-2000))/$AG10</f>
        <v>3.6640000000000001</v>
      </c>
      <c r="C10" s="196" cm="1">
        <f t="array" aca="1" ref="C10" ca="1">INDIRECT($AD10&amp;"!"&amp; $AE10&amp; ($AF10+C$5-2000))/$AG10</f>
        <v>3.5670000000000002</v>
      </c>
      <c r="D10" s="196" cm="1">
        <f t="array" aca="1" ref="D10" ca="1">INDIRECT($AD10&amp;"!"&amp; $AE10&amp; ($AF10+D$5-2000))/$AG10</f>
        <v>3.6945000000000001</v>
      </c>
      <c r="E10" s="196" cm="1">
        <f t="array" aca="1" ref="E10" ca="1">INDIRECT($AD10&amp;"!"&amp; $AE10&amp; ($AF10+E$5-2000))/$AG10</f>
        <v>3.7959999999999998</v>
      </c>
      <c r="F10" s="196" cm="1">
        <f t="array" aca="1" ref="F10" ca="1">INDIRECT($AD10&amp;"!"&amp; $AE10&amp; ($AF10+F$5-2000))/$AG10</f>
        <v>3.7705000000000002</v>
      </c>
      <c r="G10" s="196" cm="1">
        <f t="array" aca="1" ref="G10" ca="1">INDIRECT($AD10&amp;"!"&amp; $AE10&amp; ($AF10+G$5-2000))/$AG10</f>
        <v>3.6589999999999998</v>
      </c>
      <c r="H10" s="196" cm="1">
        <f t="array" aca="1" ref="H10" ca="1">INDIRECT($AD10&amp;"!"&amp; $AE10&amp; ($AF10+H$5-2000))/$AG10</f>
        <v>3.6960000000000002</v>
      </c>
      <c r="I10" s="196" cm="1">
        <f t="array" aca="1" ref="I10" ca="1">INDIRECT($AD10&amp;"!"&amp; $AE10&amp; ($AF10+I$5-2000))/$AG10</f>
        <v>3.552</v>
      </c>
      <c r="J10" s="196" cm="1">
        <f t="array" aca="1" ref="J10" ca="1">INDIRECT($AD10&amp;"!"&amp; $AE10&amp; ($AF10+J$5-2000))/$AG10</f>
        <v>3.5844999999999998</v>
      </c>
      <c r="K10" s="196" cm="1">
        <f t="array" aca="1" ref="K10" ca="1">INDIRECT($AD10&amp;"!"&amp; $AE10&amp; ($AF10+K$5-2000))/$AG10</f>
        <v>3.7610000000000001</v>
      </c>
      <c r="L10" s="196" cm="1">
        <f t="array" aca="1" ref="L10" ca="1">INDIRECT($AD10&amp;"!"&amp; $AE10&amp; ($AF10+L$5-2000))/$AG10</f>
        <v>4.4785000000000004</v>
      </c>
      <c r="M10" s="196" cm="1">
        <f t="array" aca="1" ref="M10" ca="1">INDIRECT($AD10&amp;"!"&amp; $AE10&amp; ($AF10+M$5-2000))/$AG10</f>
        <v>4.3724999999999996</v>
      </c>
      <c r="N10" s="196" cm="1">
        <f t="array" aca="1" ref="N10" ca="1">INDIRECT($AD10&amp;"!"&amp; $AE10&amp; ($AF10+N$5-2000))/$AG10</f>
        <v>4.3205</v>
      </c>
      <c r="O10" s="196" cm="1">
        <f t="array" aca="1" ref="O10" ca="1">INDIRECT($AD10&amp;"!"&amp; $AE10&amp; ($AF10+O$5-2000))/$AG10</f>
        <v>3.9544999999999999</v>
      </c>
      <c r="P10" s="196" cm="1">
        <f t="array" aca="1" ref="P10" ca="1">INDIRECT($AD10&amp;"!"&amp; $AE10&amp; ($AF10+P$5-2000))/$AG10</f>
        <v>3.4079999999999999</v>
      </c>
      <c r="Q10" s="196" cm="1">
        <f t="array" aca="1" ref="Q10" ca="1">INDIRECT($AD10&amp;"!"&amp; $AE10&amp; ($AF10+Q$5-2000))/$AG10</f>
        <v>3.1859999999999999</v>
      </c>
      <c r="R10" s="196" cm="1">
        <f t="array" aca="1" ref="R10" ca="1">INDIRECT($AD10&amp;"!"&amp; $AE10&amp; ($AF10+R$5-2000))/$AG10</f>
        <v>3.827</v>
      </c>
      <c r="S10" s="196" cm="1">
        <f t="array" aca="1" ref="S10" ca="1">INDIRECT($AD10&amp;"!"&amp; $AE10&amp; ($AF10+S$5-2000))/$AG10</f>
        <v>3.7484999999999999</v>
      </c>
      <c r="T10" s="196" cm="1">
        <f t="array" aca="1" ref="T10" ca="1">INDIRECT($AD10&amp;"!"&amp; $AE10&amp; ($AF10+T$5-2000))/$AG10</f>
        <v>3.3639999999999999</v>
      </c>
      <c r="U10" s="196" cm="1">
        <f t="array" aca="1" ref="U10" ca="1">INDIRECT($AD10&amp;"!"&amp; $AE10&amp; ($AF10+U$5-2000))/$AG10</f>
        <v>3.9409999999999998</v>
      </c>
      <c r="V10" s="196" cm="1">
        <f t="array" aca="1" ref="V10" ca="1">INDIRECT($AD10&amp;"!"&amp; $AE10&amp; ($AF10+V$5-2000))/$AG10</f>
        <v>3.758</v>
      </c>
      <c r="W10" s="196" cm="1">
        <f t="array" aca="1" ref="W10" ca="1">INDIRECT($AD10&amp;"!"&amp; $AE10&amp; ($AF10+W$5-2000))/$AG10</f>
        <v>4.4219999999999997</v>
      </c>
      <c r="X10" s="196" cm="1">
        <f t="array" aca="1" ref="X10" ca="1">INDIRECT($AD10&amp;"!"&amp; $AE10&amp; ($AF10+X$5-2000))/$AG10</f>
        <v>3.3765000000000001</v>
      </c>
      <c r="Y10" s="196" cm="1">
        <f t="array" aca="1" ref="Y10" ca="1">INDIRECT($AD10&amp;"!"&amp; $AE10&amp; ($AF10+Y$5-2000))/$AG10</f>
        <v>3.5495000000000001</v>
      </c>
      <c r="Z10" s="196" cm="1">
        <f t="array" aca="1" ref="Z10" ca="1">INDIRECT($AD10&amp;"!"&amp; $AE10&amp; ($AF10+Z$5-2000))/$AG10</f>
        <v>4.2409999999999997</v>
      </c>
      <c r="AD10" s="194" t="s">
        <v>640</v>
      </c>
      <c r="AE10" t="s">
        <v>661</v>
      </c>
      <c r="AF10">
        <v>4</v>
      </c>
      <c r="AG10">
        <v>1000</v>
      </c>
    </row>
    <row r="11" spans="1:33">
      <c r="A11" t="s">
        <v>12</v>
      </c>
      <c r="B11" s="196" cm="1">
        <f t="array" aca="1" ref="B11" ca="1">INDIRECT($AD11&amp;"!"&amp; $AE11&amp; ($AF11+B$5-2000))/$AG11</f>
        <v>7.9805555555555552</v>
      </c>
      <c r="C11" s="196" cm="1">
        <f t="array" aca="1" ref="C11" ca="1">INDIRECT($AD11&amp;"!"&amp; $AE11&amp; ($AF11+C$5-2000))/$AG11</f>
        <v>8.4944444444444436</v>
      </c>
      <c r="D11" s="196" cm="1">
        <f t="array" aca="1" ref="D11" ca="1">INDIRECT($AD11&amp;"!"&amp; $AE11&amp; ($AF11+D$5-2000))/$AG11</f>
        <v>8.1638888888888896</v>
      </c>
      <c r="E11" s="196" cm="1">
        <f t="array" aca="1" ref="E11" ca="1">INDIRECT($AD11&amp;"!"&amp; $AE11&amp; ($AF11+E$5-2000))/$AG11</f>
        <v>8.7722222222222221</v>
      </c>
      <c r="F11" s="196" cm="1">
        <f t="array" aca="1" ref="F11" ca="1">INDIRECT($AD11&amp;"!"&amp; $AE11&amp; ($AF11+F$5-2000))/$AG11</f>
        <v>8.7638888888888893</v>
      </c>
      <c r="G11" s="196" cm="1">
        <f t="array" aca="1" ref="G11" ca="1">INDIRECT($AD11&amp;"!"&amp; $AE11&amp; ($AF11+G$5-2000))/$AG11</f>
        <v>9.1305555555555564</v>
      </c>
      <c r="H11" s="196" cm="1">
        <f t="array" aca="1" ref="H11" ca="1">INDIRECT($AD11&amp;"!"&amp; $AE11&amp; ($AF11+H$5-2000))/$AG11</f>
        <v>9.3333333333333339</v>
      </c>
      <c r="I11" s="196" cm="1">
        <f t="array" aca="1" ref="I11" ca="1">INDIRECT($AD11&amp;"!"&amp; $AE11&amp; ($AF11+I$5-2000))/$AG11</f>
        <v>9.1611111111111114</v>
      </c>
      <c r="J11" s="196" cm="1">
        <f t="array" aca="1" ref="J11" ca="1">INDIRECT($AD11&amp;"!"&amp; $AE11&amp; ($AF11+J$5-2000))/$AG11</f>
        <v>10.505555555555556</v>
      </c>
      <c r="K11" s="196" cm="1">
        <f t="array" aca="1" ref="K11" ca="1">INDIRECT($AD11&amp;"!"&amp; $AE11&amp; ($AF11+K$5-2000))/$AG11</f>
        <v>11.066666666666666</v>
      </c>
      <c r="L11" s="196" cm="1">
        <f t="array" aca="1" ref="L11" ca="1">INDIRECT($AD11&amp;"!"&amp; $AE11&amp; ($AF11+L$5-2000))/$AG11</f>
        <v>12.036111111111111</v>
      </c>
      <c r="M11" s="196" cm="1">
        <f t="array" aca="1" ref="M11" ca="1">INDIRECT($AD11&amp;"!"&amp; $AE11&amp; ($AF11+M$5-2000))/$AG11</f>
        <v>10.675000000000001</v>
      </c>
      <c r="N11" s="196" cm="1">
        <f t="array" aca="1" ref="N11" ca="1">INDIRECT($AD11&amp;"!"&amp; $AE11&amp; ($AF11+N$5-2000))/$AG11</f>
        <v>12.005555555555556</v>
      </c>
      <c r="O11" s="196" cm="1">
        <f t="array" aca="1" ref="O11" ca="1">INDIRECT($AD11&amp;"!"&amp; $AE11&amp; ($AF11+O$5-2000))/$AG11</f>
        <v>13.188888888888888</v>
      </c>
      <c r="P11" s="196" cm="1">
        <f t="array" aca="1" ref="P11" ca="1">INDIRECT($AD11&amp;"!"&amp; $AE11&amp; ($AF11+P$5-2000))/$AG11</f>
        <v>11.316666666666666</v>
      </c>
      <c r="Q11" s="196" cm="1">
        <f t="array" aca="1" ref="Q11" ca="1">INDIRECT($AD11&amp;"!"&amp; $AE11&amp; ($AF11+Q$5-2000))/$AG11</f>
        <v>11.766666666666667</v>
      </c>
      <c r="R11" s="196" cm="1">
        <f t="array" aca="1" ref="R11" ca="1">INDIRECT($AD11&amp;"!"&amp; $AE11&amp; ($AF11+R$5-2000))/$AG11</f>
        <v>12.725</v>
      </c>
      <c r="S11" s="196" cm="1">
        <f t="array" aca="1" ref="S11" ca="1">INDIRECT($AD11&amp;"!"&amp; $AE11&amp; ($AF11+S$5-2000))/$AG11</f>
        <v>13.002777777777778</v>
      </c>
      <c r="T11" s="196" cm="1">
        <f t="array" aca="1" ref="T11" ca="1">INDIRECT($AD11&amp;"!"&amp; $AE11&amp; ($AF11+T$5-2000))/$AG11</f>
        <v>12.294444444444444</v>
      </c>
      <c r="U11" s="196" cm="1">
        <f t="array" aca="1" ref="U11" ca="1">INDIRECT($AD11&amp;"!"&amp; $AE11&amp; ($AF11+U$5-2000))/$AG11</f>
        <v>12.827777777777778</v>
      </c>
      <c r="V11" s="196" cm="1">
        <f t="array" aca="1" ref="V11" ca="1">INDIRECT($AD11&amp;"!"&amp; $AE11&amp; ($AF11+V$5-2000))/$AG11</f>
        <v>12.661111111111111</v>
      </c>
      <c r="W11" s="196" cm="1">
        <f t="array" aca="1" ref="W11" ca="1">INDIRECT($AD11&amp;"!"&amp; $AE11&amp; ($AF11+W$5-2000))/$AG11</f>
        <v>14.797222222222222</v>
      </c>
      <c r="X11" s="196" cm="1">
        <f t="array" aca="1" ref="X11" ca="1">INDIRECT($AD11&amp;"!"&amp; $AE11&amp; ($AF11+X$5-2000))/$AG11</f>
        <v>13.425000000000001</v>
      </c>
      <c r="Y11" s="196" cm="1">
        <f t="array" aca="1" ref="Y11" ca="1">INDIRECT($AD11&amp;"!"&amp; $AE11&amp; ($AF11+Y$5-2000))/$AG11</f>
        <v>14.011111111111111</v>
      </c>
      <c r="Z11" s="196" cm="1">
        <f t="array" aca="1" ref="Z11" ca="1">INDIRECT($AD11&amp;"!"&amp; $AE11&amp; ($AF11+Z$5-2000))/$AG11</f>
        <v>14.238888888888889</v>
      </c>
      <c r="AD11" s="194" t="s">
        <v>640</v>
      </c>
      <c r="AE11" t="s">
        <v>641</v>
      </c>
      <c r="AF11">
        <v>4</v>
      </c>
      <c r="AG11">
        <v>3600</v>
      </c>
    </row>
    <row r="13" spans="1:33">
      <c r="A13" s="1" t="s">
        <v>2</v>
      </c>
    </row>
    <row r="14" spans="1:33">
      <c r="A14" t="s">
        <v>13</v>
      </c>
      <c r="B14" s="196" cm="1">
        <f t="array" aca="1" ref="B14" ca="1">INDIRECT($AD14&amp;"!"&amp; $AE14&amp; ($AF14+B$5-2000))/$AG14</f>
        <v>9.4440000000000008</v>
      </c>
      <c r="C14" s="196" cm="1">
        <f t="array" aca="1" ref="C14" ca="1">INDIRECT($AD14&amp;"!"&amp; $AE14&amp; ($AF14+C$5-2000))/$AG14</f>
        <v>9.9870000000000001</v>
      </c>
      <c r="D14" s="196" cm="1">
        <f t="array" aca="1" ref="D14" ca="1">INDIRECT($AD14&amp;"!"&amp; $AE14&amp; ($AF14+D$5-2000))/$AG14</f>
        <v>10.266</v>
      </c>
      <c r="E14" s="196" cm="1">
        <f t="array" aca="1" ref="E14" ca="1">INDIRECT($AD14&amp;"!"&amp; $AE14&amp; ($AF14+E$5-2000))/$AG14</f>
        <v>10.14</v>
      </c>
      <c r="F14" s="196" cm="1">
        <f t="array" aca="1" ref="F14" ca="1">INDIRECT($AD14&amp;"!"&amp; $AE14&amp; ($AF14+F$5-2000))/$AG14</f>
        <v>10.304</v>
      </c>
      <c r="G14" s="196" cm="1">
        <f t="array" aca="1" ref="G14" ca="1">INDIRECT($AD14&amp;"!"&amp; $AE14&amp; ($AF14+G$5-2000))/$AG14</f>
        <v>10.8</v>
      </c>
      <c r="H14" s="196" cm="1">
        <f t="array" aca="1" ref="H14" ca="1">INDIRECT($AD14&amp;"!"&amp; $AE14&amp; ($AF14+H$5-2000))/$AG14</f>
        <v>11.91</v>
      </c>
      <c r="I14" s="196" cm="1">
        <f t="array" aca="1" ref="I14" ca="1">INDIRECT($AD14&amp;"!"&amp; $AE14&amp; ($AF14+I$5-2000))/$AG14</f>
        <v>11.91</v>
      </c>
      <c r="J14" s="196" cm="1">
        <f t="array" aca="1" ref="J14" ca="1">INDIRECT($AD14&amp;"!"&amp; $AE14&amp; ($AF14+J$5-2000))/$AG14</f>
        <v>11.792</v>
      </c>
      <c r="K14" s="196" cm="1">
        <f t="array" aca="1" ref="K14" ca="1">INDIRECT($AD14&amp;"!"&amp; $AE14&amp; ($AF14+K$5-2000))/$AG14</f>
        <v>11.699</v>
      </c>
      <c r="L14" s="196" cm="1">
        <f t="array" aca="1" ref="L14" ca="1">INDIRECT($AD14&amp;"!"&amp; $AE14&amp; ($AF14+L$5-2000))/$AG14</f>
        <v>12.111000000000001</v>
      </c>
      <c r="M14" s="196" cm="1">
        <f t="array" aca="1" ref="M14" ca="1">INDIRECT($AD14&amp;"!"&amp; $AE14&amp; ($AF14+M$5-2000))/$AG14</f>
        <v>12.285</v>
      </c>
      <c r="N14" s="196" cm="1">
        <f t="array" aca="1" ref="N14" ca="1">INDIRECT($AD14&amp;"!"&amp; $AE14&amp; ($AF14+N$5-2000))/$AG14</f>
        <v>12.595000000000001</v>
      </c>
      <c r="O14" s="196" cm="1">
        <f t="array" aca="1" ref="O14" ca="1">INDIRECT($AD14&amp;"!"&amp; $AE14&amp; ($AF14+O$5-2000))/$AG14</f>
        <v>12.164</v>
      </c>
      <c r="P14" s="196" cm="1">
        <f t="array" aca="1" ref="P14" ca="1">INDIRECT($AD14&amp;"!"&amp; $AE14&amp; ($AF14+P$5-2000))/$AG14</f>
        <v>12.388999999999999</v>
      </c>
      <c r="Q14" s="196" cm="1">
        <f t="array" aca="1" ref="Q14" ca="1">INDIRECT($AD14&amp;"!"&amp; $AE14&amp; ($AF14+Q$5-2000))/$AG14</f>
        <v>12.795999999999999</v>
      </c>
      <c r="R14" s="196" cm="1">
        <f t="array" aca="1" ref="R14" ca="1">INDIRECT($AD14&amp;"!"&amp; $AE14&amp; ($AF14+R$5-2000))/$AG14</f>
        <v>13.263</v>
      </c>
      <c r="S14" s="196" cm="1">
        <f t="array" aca="1" ref="S14" ca="1">INDIRECT($AD14&amp;"!"&amp; $AE14&amp; ($AF14+S$5-2000))/$AG14</f>
        <v>13.333</v>
      </c>
      <c r="T14" s="196" cm="1">
        <f t="array" aca="1" ref="T14" ca="1">INDIRECT($AD14&amp;"!"&amp; $AE14&amp; ($AF14+T$5-2000))/$AG14</f>
        <v>13.445</v>
      </c>
      <c r="U14" s="196" cm="1">
        <f t="array" aca="1" ref="U14" ca="1">INDIRECT($AD14&amp;"!"&amp; $AE14&amp; ($AF14+U$5-2000))/$AG14</f>
        <v>13.535</v>
      </c>
      <c r="V14" s="196" cm="1">
        <f t="array" aca="1" ref="V14" ca="1">INDIRECT($AD14&amp;"!"&amp; $AE14&amp; ($AF14+V$5-2000))/$AG14</f>
        <v>13.574</v>
      </c>
      <c r="W14" s="196" cm="1">
        <f t="array" aca="1" ref="W14" ca="1">INDIRECT($AD14&amp;"!"&amp; $AE14&amp; ($AF14+W$5-2000))/$AG14</f>
        <v>13.305</v>
      </c>
      <c r="X14" s="196" cm="1">
        <f t="array" aca="1" ref="X14" ca="1">INDIRECT($AD14&amp;"!"&amp; $AE14&amp; ($AF14+X$5-2000))/$AG14</f>
        <v>12.773999999999999</v>
      </c>
      <c r="Y14" s="196" cm="1">
        <f t="array" aca="1" ref="Y14" ca="1">INDIRECT($AD14&amp;"!"&amp; $AE14&amp; ($AF14+Y$5-2000))/$AG14</f>
        <v>12.859</v>
      </c>
      <c r="Z14" s="196" cm="1">
        <f t="array" aca="1" ref="Z14" ca="1">INDIRECT($AD14&amp;"!"&amp; $AE14&amp; ($AF14+Z$5-2000))/$AG14</f>
        <v>13.204000000000001</v>
      </c>
      <c r="AD14" s="194" t="s">
        <v>642</v>
      </c>
      <c r="AE14" t="s">
        <v>641</v>
      </c>
      <c r="AF14">
        <v>18</v>
      </c>
      <c r="AG14">
        <v>1000</v>
      </c>
    </row>
    <row r="16" spans="1:33">
      <c r="A16" s="1" t="s">
        <v>3</v>
      </c>
    </row>
    <row r="17" spans="1:33">
      <c r="A17" t="s">
        <v>14</v>
      </c>
      <c r="B17" s="196" cm="1">
        <f t="array" aca="1" ref="B17" ca="1">INDIRECT($AD17&amp;"!"&amp; $AE17&amp; ($AF17+B$5-2000))/$AG17</f>
        <v>1.194</v>
      </c>
      <c r="C17" s="196" cm="1">
        <f t="array" aca="1" ref="C17" ca="1">INDIRECT($AD17&amp;"!"&amp; $AE17&amp; ($AF17+C$5-2000))/$AG17</f>
        <v>1.296</v>
      </c>
      <c r="D17" s="196" cm="1">
        <f t="array" aca="1" ref="D17" ca="1">INDIRECT($AD17&amp;"!"&amp; $AE17&amp; ($AF17+D$5-2000))/$AG17</f>
        <v>1.325</v>
      </c>
      <c r="E17" s="196" cm="1">
        <f t="array" aca="1" ref="E17" ca="1">INDIRECT($AD17&amp;"!"&amp; $AE17&amp; ($AF17+E$5-2000))/$AG17</f>
        <v>1.454</v>
      </c>
      <c r="F17" s="196" cm="1">
        <f t="array" aca="1" ref="F17" ca="1">INDIRECT($AD17&amp;"!"&amp; $AE17&amp; ($AF17+F$5-2000))/$AG17</f>
        <v>1.526</v>
      </c>
      <c r="G17" s="196" cm="1">
        <f t="array" aca="1" ref="G17" ca="1">INDIRECT($AD17&amp;"!"&amp; $AE17&amp; ($AF17+G$5-2000))/$AG17</f>
        <v>1.6890000000000001</v>
      </c>
      <c r="H17" s="196" cm="1">
        <f t="array" aca="1" ref="H17" ca="1">INDIRECT($AD17&amp;"!"&amp; $AE17&amp; ($AF17+H$5-2000))/$AG17</f>
        <v>1.754</v>
      </c>
      <c r="I17" s="196" cm="1">
        <f t="array" aca="1" ref="I17" ca="1">INDIRECT($AD17&amp;"!"&amp; $AE17&amp; ($AF17+I$5-2000))/$AG17</f>
        <v>1.897</v>
      </c>
      <c r="J17" s="196" cm="1">
        <f t="array" aca="1" ref="J17" ca="1">INDIRECT($AD17&amp;"!"&amp; $AE17&amp; ($AF17+J$5-2000))/$AG17</f>
        <v>2.2610000000000001</v>
      </c>
      <c r="K17" s="196" cm="1">
        <f t="array" aca="1" ref="K17" ca="1">INDIRECT($AD17&amp;"!"&amp; $AE17&amp; ($AF17+K$5-2000))/$AG17</f>
        <v>2.4860000000000002</v>
      </c>
      <c r="L17" s="196" cm="1">
        <f t="array" aca="1" ref="L17" ca="1">INDIRECT($AD17&amp;"!"&amp; $AE17&amp; ($AF17+L$5-2000))/$AG17</f>
        <v>3.012</v>
      </c>
      <c r="M17" s="196" cm="1">
        <f t="array" aca="1" ref="M17" ca="1">INDIRECT($AD17&amp;"!"&amp; $AE17&amp; ($AF17+M$5-2000))/$AG17</f>
        <v>2.8940000000000001</v>
      </c>
      <c r="N17" s="196" cm="1">
        <f t="array" aca="1" ref="N17" ca="1">INDIRECT($AD17&amp;"!"&amp; $AE17&amp; ($AF17+N$5-2000))/$AG17</f>
        <v>3.3839999999999999</v>
      </c>
      <c r="O17" s="196" cm="1">
        <f t="array" aca="1" ref="O17" ca="1">INDIRECT($AD17&amp;"!"&amp; $AE17&amp; ($AF17+O$5-2000))/$AG17</f>
        <v>3.7829999999999999</v>
      </c>
      <c r="P17" s="196" cm="1">
        <f t="array" aca="1" ref="P17" ca="1">INDIRECT($AD17&amp;"!"&amp; $AE17&amp; ($AF17+P$5-2000))/$AG17</f>
        <v>3.5009999999999999</v>
      </c>
      <c r="Q17" s="196" cm="1">
        <f t="array" aca="1" ref="Q17" ca="1">INDIRECT($AD17&amp;"!"&amp; $AE17&amp; ($AF17+Q$5-2000))/$AG17</f>
        <v>3.9950000000000001</v>
      </c>
      <c r="R17" s="196" cm="1">
        <f t="array" aca="1" ref="R17" ca="1">INDIRECT($AD17&amp;"!"&amp; $AE17&amp; ($AF17+R$5-2000))/$AG17</f>
        <v>4.42</v>
      </c>
      <c r="S17" s="196" cm="1">
        <f t="array" aca="1" ref="S17" ca="1">INDIRECT($AD17&amp;"!"&amp; $AE17&amp; ($AF17+S$5-2000))/$AG17</f>
        <v>4.62</v>
      </c>
      <c r="T17" s="196" cm="1">
        <f t="array" aca="1" ref="T17" ca="1">INDIRECT($AD17&amp;"!"&amp; $AE17&amp; ($AF17+T$5-2000))/$AG17</f>
        <v>4.5369999999999999</v>
      </c>
      <c r="U17" s="196" cm="1">
        <f t="array" aca="1" ref="U17" ca="1">INDIRECT($AD17&amp;"!"&amp; $AE17&amp; ($AF17+U$5-2000))/$AG17</f>
        <v>5</v>
      </c>
      <c r="V17" s="196" cm="1">
        <f t="array" aca="1" ref="V17" ca="1">INDIRECT($AD17&amp;"!"&amp; $AE17&amp; ($AF17+V$5-2000))/$AG17</f>
        <v>5.1820000000000004</v>
      </c>
      <c r="W17" s="196" cm="1">
        <f t="array" aca="1" ref="W17" ca="1">INDIRECT($AD17&amp;"!"&amp; $AE17&amp; ($AF17+W$5-2000))/$AG17</f>
        <v>6.101</v>
      </c>
      <c r="X17" s="196" cm="1">
        <f t="array" aca="1" ref="X17" ca="1">INDIRECT($AD17&amp;"!"&amp; $AE17&amp; ($AF17+X$5-2000))/$AG17</f>
        <v>5.8159999999999998</v>
      </c>
      <c r="Y17" s="196" cm="1">
        <f t="array" aca="1" ref="Y17" ca="1">INDIRECT($AD17&amp;"!"&amp; $AE17&amp; ($AF17+Y$5-2000))/$AG17</f>
        <v>6.3739999999999997</v>
      </c>
      <c r="Z17" s="196" cm="1">
        <f t="array" aca="1" ref="Z17" ca="1">INDIRECT($AD17&amp;"!"&amp; $AE17&amp; ($AF17+Z$5-2000))/$AG17</f>
        <v>6.7949999999999999</v>
      </c>
      <c r="AD17" s="194" t="s">
        <v>646</v>
      </c>
      <c r="AE17" t="s">
        <v>647</v>
      </c>
      <c r="AF17">
        <v>18</v>
      </c>
      <c r="AG17">
        <v>1000</v>
      </c>
    </row>
    <row r="18" spans="1:33">
      <c r="A18" t="s">
        <v>15</v>
      </c>
      <c r="B18" s="196" cm="1">
        <f t="array" aca="1" ref="B18" ca="1">INDIRECT($AD18&amp;"!"&amp; $AE18&amp; ($AF18+B$5-2000))/$AG18</f>
        <v>0.154</v>
      </c>
      <c r="C18" s="196" cm="1">
        <f t="array" aca="1" ref="C18" ca="1">INDIRECT($AD18&amp;"!"&amp; $AE18&amp; ($AF18+C$5-2000))/$AG18</f>
        <v>0.16700000000000001</v>
      </c>
      <c r="D18" s="196" cm="1">
        <f t="array" aca="1" ref="D18" ca="1">INDIRECT($AD18&amp;"!"&amp; $AE18&amp; ($AF18+D$5-2000))/$AG18</f>
        <v>0.17899999999999999</v>
      </c>
      <c r="E18" s="196" cm="1">
        <f t="array" aca="1" ref="E18" ca="1">INDIRECT($AD18&amp;"!"&amp; $AE18&amp; ($AF18+E$5-2000))/$AG18</f>
        <v>0.189</v>
      </c>
      <c r="F18" s="196" cm="1">
        <f t="array" aca="1" ref="F18" ca="1">INDIRECT($AD18&amp;"!"&amp; $AE18&amp; ($AF18+F$5-2000))/$AG18</f>
        <v>0.20100000000000001</v>
      </c>
      <c r="G18" s="196" cm="1">
        <f t="array" aca="1" ref="G18" ca="1">INDIRECT($AD18&amp;"!"&amp; $AE18&amp; ($AF18+G$5-2000))/$AG18</f>
        <v>0.215</v>
      </c>
      <c r="H18" s="196" cm="1">
        <f t="array" aca="1" ref="H18" ca="1">INDIRECT($AD18&amp;"!"&amp; $AE18&amp; ($AF18+H$5-2000))/$AG18</f>
        <v>0.23300000000000001</v>
      </c>
      <c r="I18" s="196" cm="1">
        <f t="array" aca="1" ref="I18" ca="1">INDIRECT($AD18&amp;"!"&amp; $AE18&amp; ($AF18+I$5-2000))/$AG18</f>
        <v>0.25600000000000001</v>
      </c>
      <c r="J18" s="196" cm="1">
        <f t="array" aca="1" ref="J18" ca="1">INDIRECT($AD18&amp;"!"&amp; $AE18&amp; ($AF18+J$5-2000))/$AG18</f>
        <v>0.28999999999999998</v>
      </c>
      <c r="K18" s="196" cm="1">
        <f t="array" aca="1" ref="K18" ca="1">INDIRECT($AD18&amp;"!"&amp; $AE18&amp; ($AF18+K$5-2000))/$AG18</f>
        <v>0.34399999999999997</v>
      </c>
      <c r="L18" s="196" cm="1">
        <f t="array" aca="1" ref="L18" ca="1">INDIRECT($AD18&amp;"!"&amp; $AE18&amp; ($AF18+L$5-2000))/$AG18</f>
        <v>0.40300000000000002</v>
      </c>
      <c r="M18" s="196" cm="1">
        <f t="array" aca="1" ref="M18" ca="1">INDIRECT($AD18&amp;"!"&amp; $AE18&amp; ($AF18+M$5-2000))/$AG18</f>
        <v>0.46</v>
      </c>
      <c r="N18" s="196" cm="1">
        <f t="array" aca="1" ref="N18" ca="1">INDIRECT($AD18&amp;"!"&amp; $AE18&amp; ($AF18+N$5-2000))/$AG18</f>
        <v>0.51400000000000001</v>
      </c>
      <c r="O18" s="196" cm="1">
        <f t="array" aca="1" ref="O18" ca="1">INDIRECT($AD18&amp;"!"&amp; $AE18&amp; ($AF18+O$5-2000))/$AG18</f>
        <v>0.56699999999999995</v>
      </c>
      <c r="P18" s="196" cm="1">
        <f t="array" aca="1" ref="P18" ca="1">INDIRECT($AD18&amp;"!"&amp; $AE18&amp; ($AF18+P$5-2000))/$AG18</f>
        <v>0.61399999999999999</v>
      </c>
      <c r="Q18" s="196" cm="1">
        <f t="array" aca="1" ref="Q18" ca="1">INDIRECT($AD18&amp;"!"&amp; $AE18&amp; ($AF18+Q$5-2000))/$AG18</f>
        <v>0.65600000000000003</v>
      </c>
      <c r="R18" s="196" cm="1">
        <f t="array" aca="1" ref="R18" ca="1">INDIRECT($AD18&amp;"!"&amp; $AE18&amp; ($AF18+R$5-2000))/$AG18</f>
        <v>0.68300000000000005</v>
      </c>
      <c r="S18" s="196" cm="1">
        <f t="array" aca="1" ref="S18" ca="1">INDIRECT($AD18&amp;"!"&amp; $AE18&amp; ($AF18+S$5-2000))/$AG18</f>
        <v>0.70399999999999996</v>
      </c>
      <c r="T18" s="196" cm="1">
        <f t="array" aca="1" ref="T18" ca="1">INDIRECT($AD18&amp;"!"&amp; $AE18&amp; ($AF18+T$5-2000))/$AG18</f>
        <v>0.72299999999999998</v>
      </c>
      <c r="U18" s="196" cm="1">
        <f t="array" aca="1" ref="U18" ca="1">INDIRECT($AD18&amp;"!"&amp; $AE18&amp; ($AF18+U$5-2000))/$AG18</f>
        <v>0.73399999999999999</v>
      </c>
      <c r="V18" s="196" cm="1">
        <f t="array" aca="1" ref="V18" ca="1">INDIRECT($AD18&amp;"!"&amp; $AE18&amp; ($AF18+V$5-2000))/$AG18</f>
        <v>0.73899999999999999</v>
      </c>
      <c r="W18" s="196" cm="1">
        <f t="array" aca="1" ref="W18" ca="1">INDIRECT($AD18&amp;"!"&amp; $AE18&amp; ($AF18+W$5-2000))/$AG18</f>
        <v>0.73899999999999999</v>
      </c>
      <c r="X18" s="196" cm="1">
        <f t="array" aca="1" ref="X18" ca="1">INDIRECT($AD18&amp;"!"&amp; $AE18&amp; ($AF18+X$5-2000))/$AG18</f>
        <v>0.73599999999999999</v>
      </c>
      <c r="Y18" s="196" cm="1">
        <f t="array" aca="1" ref="Y18" ca="1">INDIRECT($AD18&amp;"!"&amp; $AE18&amp; ($AF18+Y$5-2000))/$AG18</f>
        <v>0.73</v>
      </c>
      <c r="Z18" s="196" cm="1">
        <f t="array" aca="1" ref="Z18" ca="1">INDIRECT($AD18&amp;"!"&amp; $AE18&amp; ($AF18+Z$5-2000))/$AG18</f>
        <v>0.72099999999999997</v>
      </c>
      <c r="AD18" s="194" t="s">
        <v>650</v>
      </c>
      <c r="AE18" t="s">
        <v>649</v>
      </c>
      <c r="AF18">
        <v>18</v>
      </c>
      <c r="AG18">
        <v>1000</v>
      </c>
    </row>
    <row r="20" spans="1:33">
      <c r="A20" s="1" t="s">
        <v>845</v>
      </c>
    </row>
    <row r="21" spans="1:33">
      <c r="A21" t="s">
        <v>16</v>
      </c>
      <c r="B21" s="196" cm="1">
        <f t="array" aca="1" ref="B21" ca="1">INDIRECT($AD21&amp;"!"&amp; $AE21&amp; ($AF21+B$5-2000))/$AG21</f>
        <v>2.1139999999999999</v>
      </c>
      <c r="C21" s="196" cm="1">
        <f t="array" aca="1" ref="C21" ca="1">INDIRECT($AD21&amp;"!"&amp; $AE21&amp; ($AF21+C$5-2000))/$AG21</f>
        <v>2.23</v>
      </c>
      <c r="D21" s="196" cm="1">
        <f t="array" aca="1" ref="D21" ca="1">INDIRECT($AD21&amp;"!"&amp; $AE21&amp; ($AF21+D$5-2000))/$AG21</f>
        <v>2.2709999999999999</v>
      </c>
      <c r="E21" s="196" cm="1">
        <f t="array" aca="1" ref="E21" ca="1">INDIRECT($AD21&amp;"!"&amp; $AE21&amp; ($AF21+E$5-2000))/$AG21</f>
        <v>2.387</v>
      </c>
      <c r="F21" s="196" cm="1">
        <f t="array" aca="1" ref="F21" ca="1">INDIRECT($AD21&amp;"!"&amp; $AE21&amp; ($AF21+F$5-2000))/$AG21</f>
        <v>2.4590000000000001</v>
      </c>
      <c r="G21" s="196" cm="1">
        <f t="array" aca="1" ref="G21" ca="1">INDIRECT($AD21&amp;"!"&amp; $AE21&amp; ($AF21+G$5-2000))/$AG21</f>
        <v>2.6</v>
      </c>
      <c r="H21" s="196" cm="1">
        <f t="array" aca="1" ref="H21" ca="1">INDIRECT($AD21&amp;"!"&amp; $AE21&amp; ($AF21+H$5-2000))/$AG21</f>
        <v>2.77</v>
      </c>
      <c r="I21" s="196" cm="1">
        <f t="array" aca="1" ref="I21" ca="1">INDIRECT($AD21&amp;"!"&amp; $AE21&amp; ($AF21+I$5-2000))/$AG21</f>
        <v>2.83</v>
      </c>
      <c r="J21" s="196" cm="1">
        <f t="array" aca="1" ref="J21" ca="1">INDIRECT($AD21&amp;"!"&amp; $AE21&amp; ($AF21+J$5-2000))/$AG21</f>
        <v>2.8940000000000001</v>
      </c>
      <c r="K21" s="196" cm="1">
        <f t="array" aca="1" ref="K21" ca="1">INDIRECT($AD21&amp;"!"&amp; $AE21&amp; ($AF21+K$5-2000))/$AG21</f>
        <v>2.8119999999999998</v>
      </c>
      <c r="L21" s="196" cm="1">
        <f t="array" aca="1" ref="L21" ca="1">INDIRECT($AD21&amp;"!"&amp; $AE21&amp; ($AF21+L$5-2000))/$AG21</f>
        <v>3.169</v>
      </c>
      <c r="M21" s="196" cm="1">
        <f t="array" aca="1" ref="M21" ca="1">INDIRECT($AD21&amp;"!"&amp; $AE21&amp; ($AF21+M$5-2000))/$AG21</f>
        <v>3.0680000000000001</v>
      </c>
      <c r="N21" s="196" cm="1">
        <f t="array" aca="1" ref="N21" ca="1">INDIRECT($AD21&amp;"!"&amp; $AE21&amp; ($AF21+N$5-2000))/$AG21</f>
        <v>3.0430000000000001</v>
      </c>
      <c r="O21" s="196" cm="1">
        <f t="array" aca="1" ref="O21" ca="1">INDIRECT($AD21&amp;"!"&amp; $AE21&amp; ($AF21+O$5-2000))/$AG21</f>
        <v>3.13</v>
      </c>
      <c r="P21" s="196" cm="1">
        <f t="array" aca="1" ref="P21" ca="1">INDIRECT($AD21&amp;"!"&amp; $AE21&amp; ($AF21+P$5-2000))/$AG21</f>
        <v>3.0550000000000002</v>
      </c>
      <c r="Q21" s="196" cm="1">
        <f t="array" aca="1" ref="Q21" ca="1">INDIRECT($AD21&amp;"!"&amp; $AE21&amp; ($AF21+Q$5-2000))/$AG21</f>
        <v>3.403</v>
      </c>
      <c r="R21" s="196" cm="1">
        <f t="array" aca="1" ref="R21" ca="1">INDIRECT($AD21&amp;"!"&amp; $AE21&amp; ($AF21+R$5-2000))/$AG21</f>
        <v>3.6179999999999999</v>
      </c>
      <c r="S21" s="196" cm="1">
        <f t="array" aca="1" ref="S21" ca="1">INDIRECT($AD21&amp;"!"&amp; $AE21&amp; ($AF21+S$5-2000))/$AG21</f>
        <v>3.714</v>
      </c>
      <c r="T21" s="196" cm="1">
        <f t="array" aca="1" ref="T21" ca="1">INDIRECT($AD21&amp;"!"&amp; $AE21&amp; ($AF21+T$5-2000))/$AG21</f>
        <v>3.7330000000000001</v>
      </c>
      <c r="U21" s="196" cm="1">
        <f t="array" aca="1" ref="U21" ca="1">INDIRECT($AD21&amp;"!"&amp; $AE21&amp; ($AF21+U$5-2000))/$AG21</f>
        <v>3.9990000000000001</v>
      </c>
      <c r="V21" s="196" cm="1">
        <f t="array" aca="1" ref="V21" ca="1">INDIRECT($AD21&amp;"!"&amp; $AE21&amp; ($AF21+V$5-2000))/$AG21</f>
        <v>3.9340000000000002</v>
      </c>
      <c r="W21" s="196" cm="1">
        <f t="array" aca="1" ref="W21" ca="1">INDIRECT($AD21&amp;"!"&amp; $AE21&amp; ($AF21+W$5-2000))/$AG21</f>
        <v>4.2450000000000001</v>
      </c>
      <c r="X21" s="196" cm="1">
        <f t="array" aca="1" ref="X21" ca="1">INDIRECT($AD21&amp;"!"&amp; $AE21&amp; ($AF21+X$5-2000))/$AG21</f>
        <v>3.9319999999999999</v>
      </c>
      <c r="Y21" s="196" cm="1">
        <f t="array" aca="1" ref="Y21" ca="1">INDIRECT($AD21&amp;"!"&amp; $AE21&amp; ($AF21+Y$5-2000))/$AG21</f>
        <v>4.0679999999999996</v>
      </c>
      <c r="Z21" s="196" cm="1">
        <f t="array" aca="1" ref="Z21" ca="1">INDIRECT($AD21&amp;"!"&amp; $AE21&amp; ($AF21+Z$5-2000))/$AG21</f>
        <v>4.4740000000000002</v>
      </c>
      <c r="AD21" s="194" t="s">
        <v>642</v>
      </c>
      <c r="AE21" t="s">
        <v>651</v>
      </c>
      <c r="AF21">
        <v>18</v>
      </c>
      <c r="AG21">
        <v>1000</v>
      </c>
    </row>
    <row r="22" spans="1:33">
      <c r="A22" t="s">
        <v>17</v>
      </c>
      <c r="B22" s="196" cm="1">
        <f t="array" aca="1" ref="B22" ca="1">INDIRECT($AD22&amp;"!"&amp; $AE22&amp; ($AF22+B$5-2000))/$AG22</f>
        <v>0.88900000000000001</v>
      </c>
      <c r="C22" s="196" cm="1">
        <f t="array" aca="1" ref="C22" ca="1">INDIRECT($AD22&amp;"!"&amp; $AE22&amp; ($AF22+C$5-2000))/$AG22</f>
        <v>0.96899999999999997</v>
      </c>
      <c r="D22" s="196" cm="1">
        <f t="array" aca="1" ref="D22" ca="1">INDIRECT($AD22&amp;"!"&amp; $AE22&amp; ($AF22+D$5-2000))/$AG22</f>
        <v>1.01</v>
      </c>
      <c r="E22" s="196" cm="1">
        <f t="array" aca="1" ref="E22" ca="1">INDIRECT($AD22&amp;"!"&amp; $AE22&amp; ($AF22+E$5-2000))/$AG22</f>
        <v>1.0449999999999999</v>
      </c>
      <c r="F22" s="196" cm="1">
        <f t="array" aca="1" ref="F22" ca="1">INDIRECT($AD22&amp;"!"&amp; $AE22&amp; ($AF22+F$5-2000))/$AG22</f>
        <v>1.1120000000000001</v>
      </c>
      <c r="G22" s="196" cm="1">
        <f t="array" aca="1" ref="G22" ca="1">INDIRECT($AD22&amp;"!"&amp; $AE22&amp; ($AF22+G$5-2000))/$AG22</f>
        <v>1.19</v>
      </c>
      <c r="H22" s="196" cm="1">
        <f t="array" aca="1" ref="H22" ca="1">INDIRECT($AD22&amp;"!"&amp; $AE22&amp; ($AF22+H$5-2000))/$AG22</f>
        <v>1.3540000000000001</v>
      </c>
      <c r="I22" s="196" cm="1">
        <f t="array" aca="1" ref="I22" ca="1">INDIRECT($AD22&amp;"!"&amp; $AE22&amp; ($AF22+I$5-2000))/$AG22</f>
        <v>1.325</v>
      </c>
      <c r="J22" s="196" cm="1">
        <f t="array" aca="1" ref="J22" ca="1">INDIRECT($AD22&amp;"!"&amp; $AE22&amp; ($AF22+J$5-2000))/$AG22</f>
        <v>1.369</v>
      </c>
      <c r="K22" s="196" cm="1">
        <f t="array" aca="1" ref="K22" ca="1">INDIRECT($AD22&amp;"!"&amp; $AE22&amp; ($AF22+K$5-2000))/$AG22</f>
        <v>1.3080000000000001</v>
      </c>
      <c r="L22" s="196" cm="1">
        <f t="array" aca="1" ref="L22" ca="1">INDIRECT($AD22&amp;"!"&amp; $AE22&amp; ($AF22+L$5-2000))/$AG22</f>
        <v>1.3859999999999999</v>
      </c>
      <c r="M22" s="196" cm="1">
        <f t="array" aca="1" ref="M22" ca="1">INDIRECT($AD22&amp;"!"&amp; $AE22&amp; ($AF22+M$5-2000))/$AG22</f>
        <v>1.45</v>
      </c>
      <c r="N22" s="196" cm="1">
        <f t="array" aca="1" ref="N22" ca="1">INDIRECT($AD22&amp;"!"&amp; $AE22&amp; ($AF22+N$5-2000))/$AG22</f>
        <v>1.542</v>
      </c>
      <c r="O22" s="196" cm="1">
        <f t="array" aca="1" ref="O22" ca="1">INDIRECT($AD22&amp;"!"&amp; $AE22&amp; ($AF22+O$5-2000))/$AG22</f>
        <v>1.609</v>
      </c>
      <c r="P22" s="196" cm="1">
        <f t="array" aca="1" ref="P22" ca="1">INDIRECT($AD22&amp;"!"&amp; $AE22&amp; ($AF22+P$5-2000))/$AG22</f>
        <v>1.7170000000000001</v>
      </c>
      <c r="Q22" s="196" cm="1">
        <f t="array" aca="1" ref="Q22" ca="1">INDIRECT($AD22&amp;"!"&amp; $AE22&amp; ($AF22+Q$5-2000))/$AG22</f>
        <v>1.73</v>
      </c>
      <c r="R22" s="196" cm="1">
        <f t="array" aca="1" ref="R22" ca="1">INDIRECT($AD22&amp;"!"&amp; $AE22&amp; ($AF22+R$5-2000))/$AG22</f>
        <v>1.861</v>
      </c>
      <c r="S22" s="196" cm="1">
        <f t="array" aca="1" ref="S22" ca="1">INDIRECT($AD22&amp;"!"&amp; $AE22&amp; ($AF22+S$5-2000))/$AG22</f>
        <v>1.867</v>
      </c>
      <c r="T22" s="196" cm="1">
        <f t="array" aca="1" ref="T22" ca="1">INDIRECT($AD22&amp;"!"&amp; $AE22&amp; ($AF22+T$5-2000))/$AG22</f>
        <v>1.8440000000000001</v>
      </c>
      <c r="U22" s="196" cm="1">
        <f t="array" aca="1" ref="U22" ca="1">INDIRECT($AD22&amp;"!"&amp; $AE22&amp; ($AF22+U$5-2000))/$AG22</f>
        <v>1.8680000000000001</v>
      </c>
      <c r="V22" s="196" cm="1">
        <f t="array" aca="1" ref="V22" ca="1">INDIRECT($AD22&amp;"!"&amp; $AE22&amp; ($AF22+V$5-2000))/$AG22</f>
        <v>1.869</v>
      </c>
      <c r="W22" s="196" cm="1">
        <f t="array" aca="1" ref="W22" ca="1">INDIRECT($AD22&amp;"!"&amp; $AE22&amp; ($AF22+W$5-2000))/$AG22</f>
        <v>1.764</v>
      </c>
      <c r="X22" s="196" cm="1">
        <f t="array" aca="1" ref="X22" ca="1">INDIRECT($AD22&amp;"!"&amp; $AE22&amp; ($AF22+X$5-2000))/$AG22</f>
        <v>1.7350000000000001</v>
      </c>
      <c r="Y22" s="196" cm="1">
        <f t="array" aca="1" ref="Y22" ca="1">INDIRECT($AD22&amp;"!"&amp; $AE22&amp; ($AF22+Y$5-2000))/$AG22</f>
        <v>1.669</v>
      </c>
      <c r="Z22" s="196" cm="1">
        <f t="array" aca="1" ref="Z22" ca="1">INDIRECT($AD22&amp;"!"&amp; $AE22&amp; ($AF22+Z$5-2000))/$AG22</f>
        <v>1.7330000000000001</v>
      </c>
      <c r="AD22" s="194" t="s">
        <v>642</v>
      </c>
      <c r="AE22" t="s">
        <v>652</v>
      </c>
      <c r="AF22">
        <v>18</v>
      </c>
      <c r="AG22">
        <v>1000</v>
      </c>
    </row>
    <row r="23" spans="1:33">
      <c r="A23" t="s">
        <v>18</v>
      </c>
      <c r="B23" s="196">
        <f t="shared" ref="B23:Z23" ca="1" si="0">B14-SUM(B21:B22)</f>
        <v>6.4410000000000007</v>
      </c>
      <c r="C23" s="196">
        <f t="shared" ca="1" si="0"/>
        <v>6.7880000000000003</v>
      </c>
      <c r="D23" s="196">
        <f t="shared" ca="1" si="0"/>
        <v>6.9850000000000003</v>
      </c>
      <c r="E23" s="196">
        <f t="shared" ca="1" si="0"/>
        <v>6.7080000000000002</v>
      </c>
      <c r="F23" s="196">
        <f t="shared" ca="1" si="0"/>
        <v>6.7330000000000005</v>
      </c>
      <c r="G23" s="196">
        <f t="shared" ca="1" si="0"/>
        <v>7.0100000000000007</v>
      </c>
      <c r="H23" s="196">
        <f t="shared" ca="1" si="0"/>
        <v>7.7859999999999996</v>
      </c>
      <c r="I23" s="196">
        <f t="shared" ca="1" si="0"/>
        <v>7.7549999999999999</v>
      </c>
      <c r="J23" s="196">
        <f t="shared" ca="1" si="0"/>
        <v>7.5289999999999999</v>
      </c>
      <c r="K23" s="196">
        <f t="shared" ca="1" si="0"/>
        <v>7.5789999999999997</v>
      </c>
      <c r="L23" s="196">
        <f t="shared" ca="1" si="0"/>
        <v>7.5560000000000009</v>
      </c>
      <c r="M23" s="196">
        <f t="shared" ca="1" si="0"/>
        <v>7.7670000000000003</v>
      </c>
      <c r="N23" s="196">
        <f t="shared" ca="1" si="0"/>
        <v>8.0100000000000016</v>
      </c>
      <c r="O23" s="196">
        <f t="shared" ca="1" si="0"/>
        <v>7.4249999999999998</v>
      </c>
      <c r="P23" s="196">
        <f t="shared" ca="1" si="0"/>
        <v>7.6169999999999991</v>
      </c>
      <c r="Q23" s="196">
        <f t="shared" ca="1" si="0"/>
        <v>7.6629999999999994</v>
      </c>
      <c r="R23" s="196">
        <f t="shared" ca="1" si="0"/>
        <v>7.7839999999999998</v>
      </c>
      <c r="S23" s="196">
        <f t="shared" ca="1" si="0"/>
        <v>7.7520000000000007</v>
      </c>
      <c r="T23" s="196">
        <f t="shared" ca="1" si="0"/>
        <v>7.8680000000000003</v>
      </c>
      <c r="U23" s="196">
        <f t="shared" ca="1" si="0"/>
        <v>7.6680000000000001</v>
      </c>
      <c r="V23" s="196">
        <f t="shared" ca="1" si="0"/>
        <v>7.7709999999999999</v>
      </c>
      <c r="W23" s="196">
        <f t="shared" ca="1" si="0"/>
        <v>7.2959999999999994</v>
      </c>
      <c r="X23" s="196">
        <f t="shared" ca="1" si="0"/>
        <v>7.1069999999999993</v>
      </c>
      <c r="Y23" s="196">
        <f t="shared" ca="1" si="0"/>
        <v>7.1219999999999999</v>
      </c>
      <c r="Z23" s="196">
        <f t="shared" ca="1" si="0"/>
        <v>6.9969999999999999</v>
      </c>
      <c r="AD23" t="s">
        <v>923</v>
      </c>
    </row>
    <row r="24" spans="1:33">
      <c r="A24" t="s">
        <v>19</v>
      </c>
      <c r="B24" s="196" cm="1">
        <f t="array" aca="1" ref="B24" ca="1">INDIRECT($AD24&amp;"!"&amp; $AE24&amp; ($AF24+B$5-2000))/$AG24</f>
        <v>5.2777777777777778E-2</v>
      </c>
      <c r="C24" s="196" cm="1">
        <f t="array" aca="1" ref="C24" ca="1">INDIRECT($AD24&amp;"!"&amp; $AE24&amp; ($AF24+C$5-2000))/$AG24</f>
        <v>0.05</v>
      </c>
      <c r="D24" s="196" cm="1">
        <f t="array" aca="1" ref="D24" ca="1">INDIRECT($AD24&amp;"!"&amp; $AE24&amp; ($AF24+D$5-2000))/$AG24</f>
        <v>6.3888888888888884E-2</v>
      </c>
      <c r="E24" s="196" cm="1">
        <f t="array" aca="1" ref="E24" ca="1">INDIRECT($AD24&amp;"!"&amp; $AE24&amp; ($AF24+E$5-2000))/$AG24</f>
        <v>7.7777777777777779E-2</v>
      </c>
      <c r="F24" s="196" cm="1">
        <f t="array" aca="1" ref="F24" ca="1">INDIRECT($AD24&amp;"!"&amp; $AE24&amp; ($AF24+F$5-2000))/$AG24</f>
        <v>8.8888888888888892E-2</v>
      </c>
      <c r="G24" s="196" cm="1">
        <f t="array" aca="1" ref="G24" ca="1">INDIRECT($AD24&amp;"!"&amp; $AE24&amp; ($AF24+G$5-2000))/$AG24</f>
        <v>9.7222222222222224E-2</v>
      </c>
      <c r="H24" s="196" cm="1">
        <f t="array" aca="1" ref="H24" ca="1">INDIRECT($AD24&amp;"!"&amp; $AE24&amp; ($AF24+H$5-2000))/$AG24</f>
        <v>9.4444444444444442E-2</v>
      </c>
      <c r="I24" s="196" cm="1">
        <f t="array" aca="1" ref="I24" ca="1">INDIRECT($AD24&amp;"!"&amp; $AE24&amp; ($AF24+I$5-2000))/$AG24</f>
        <v>8.611111111111111E-2</v>
      </c>
      <c r="J24" s="196" cm="1">
        <f t="array" aca="1" ref="J24" ca="1">INDIRECT($AD24&amp;"!"&amp; $AE24&amp; ($AF24+J$5-2000))/$AG24</f>
        <v>0.1111111111111111</v>
      </c>
      <c r="K24" s="196" cm="1">
        <f t="array" aca="1" ref="K24" ca="1">INDIRECT($AD24&amp;"!"&amp; $AE24&amp; ($AF24+K$5-2000))/$AG24</f>
        <v>0.20833333333333334</v>
      </c>
      <c r="L24" s="196" cm="1">
        <f t="array" aca="1" ref="L24" ca="1">INDIRECT($AD24&amp;"!"&amp; $AE24&amp; ($AF24+L$5-2000))/$AG24</f>
        <v>0.26111111111111113</v>
      </c>
      <c r="M24" s="196" cm="1">
        <f t="array" aca="1" ref="M24" ca="1">INDIRECT($AD24&amp;"!"&amp; $AE24&amp; ($AF24+M$5-2000))/$AG24</f>
        <v>0.3</v>
      </c>
      <c r="N24" s="196" cm="1">
        <f t="array" aca="1" ref="N24" ca="1">INDIRECT($AD24&amp;"!"&amp; $AE24&amp; ($AF24+N$5-2000))/$AG24</f>
        <v>0.43611111111111112</v>
      </c>
      <c r="O24" s="196" cm="1">
        <f t="array" aca="1" ref="O24" ca="1">INDIRECT($AD24&amp;"!"&amp; $AE24&amp; ($AF24+O$5-2000))/$AG24</f>
        <v>0.50277777777777777</v>
      </c>
      <c r="P24" s="196" cm="1">
        <f t="array" aca="1" ref="P24" ca="1">INDIRECT($AD24&amp;"!"&amp; $AE24&amp; ($AF24+P$5-2000))/$AG24</f>
        <v>0.51111111111111107</v>
      </c>
      <c r="Q24" s="196" cm="1">
        <f t="array" aca="1" ref="Q24" ca="1">INDIRECT($AD24&amp;"!"&amp; $AE24&amp; ($AF24+Q$5-2000))/$AG24</f>
        <v>0.57499999999999996</v>
      </c>
      <c r="R24" s="196" cm="1">
        <f t="array" aca="1" ref="R24" ca="1">INDIRECT($AD24&amp;"!"&amp; $AE24&amp; ($AF24+R$5-2000))/$AG24</f>
        <v>0.6</v>
      </c>
      <c r="S24" s="196" cm="1">
        <f t="array" aca="1" ref="S24" ca="1">INDIRECT($AD24&amp;"!"&amp; $AE24&amp; ($AF24+S$5-2000))/$AG24</f>
        <v>0.61111111111111116</v>
      </c>
      <c r="T24" s="196" cm="1">
        <f t="array" aca="1" ref="T24" ca="1">INDIRECT($AD24&amp;"!"&amp; $AE24&amp; ($AF24+T$5-2000))/$AG24</f>
        <v>0.59166666666666667</v>
      </c>
      <c r="U24" s="196" cm="1">
        <f t="array" aca="1" ref="U24" ca="1">INDIRECT($AD24&amp;"!"&amp; $AE24&amp; ($AF24+U$5-2000))/$AG24</f>
        <v>0.9194444444444444</v>
      </c>
      <c r="V24" s="196" cm="1">
        <f t="array" aca="1" ref="V24" ca="1">INDIRECT($AD24&amp;"!"&amp; $AE24&amp; ($AF24+V$5-2000))/$AG24</f>
        <v>0.90833333333333333</v>
      </c>
      <c r="W24" s="196" cm="1">
        <f t="array" aca="1" ref="W24" ca="1">INDIRECT($AD24&amp;"!"&amp; $AE24&amp; ($AF24+W$5-2000))/$AG24</f>
        <v>1.0083333333333333</v>
      </c>
      <c r="X24" s="196" cm="1">
        <f t="array" aca="1" ref="X24" ca="1">INDIRECT($AD24&amp;"!"&amp; $AE24&amp; ($AF24+X$5-2000))/$AG24</f>
        <v>1.0277777777777777</v>
      </c>
      <c r="Y24" s="196" cm="1">
        <f t="array" aca="1" ref="Y24" ca="1">INDIRECT($AD24&amp;"!"&amp; $AE24&amp; ($AF24+Y$5-2000))/$AG24</f>
        <v>1.0472222222222223</v>
      </c>
      <c r="Z24" s="196" cm="1">
        <f t="array" aca="1" ref="Z24" ca="1">INDIRECT($AD24&amp;"!"&amp; $AE24&amp; ($AF24+Z$5-2000))/$AG24</f>
        <v>1.3805555555555555</v>
      </c>
      <c r="AD24" s="194" t="s">
        <v>653</v>
      </c>
      <c r="AE24" t="s">
        <v>649</v>
      </c>
      <c r="AF24">
        <v>30</v>
      </c>
      <c r="AG24">
        <v>3600</v>
      </c>
    </row>
    <row r="25" spans="1:33">
      <c r="A25" t="s">
        <v>20</v>
      </c>
      <c r="B25" s="196" cm="1">
        <f t="array" aca="1" ref="B25" ca="1">INDIRECT($AD25&amp;"!"&amp; $AE25&amp; ($AF25+B$5-2000))/$AG25</f>
        <v>0</v>
      </c>
      <c r="C25" s="196" cm="1">
        <f t="array" aca="1" ref="C25" ca="1">INDIRECT($AD25&amp;"!"&amp; $AE25&amp; ($AF25+C$5-2000))/$AG25</f>
        <v>0</v>
      </c>
      <c r="D25" s="196" cm="1">
        <f t="array" aca="1" ref="D25" ca="1">INDIRECT($AD25&amp;"!"&amp; $AE25&amp; ($AF25+D$5-2000))/$AG25</f>
        <v>0</v>
      </c>
      <c r="E25" s="196" cm="1">
        <f t="array" aca="1" ref="E25" ca="1">INDIRECT($AD25&amp;"!"&amp; $AE25&amp; ($AF25+E$5-2000))/$AG25</f>
        <v>0</v>
      </c>
      <c r="F25" s="196" cm="1">
        <f t="array" aca="1" ref="F25" ca="1">INDIRECT($AD25&amp;"!"&amp; $AE25&amp; ($AF25+F$5-2000))/$AG25</f>
        <v>0</v>
      </c>
      <c r="G25" s="196" cm="1">
        <f t="array" aca="1" ref="G25" ca="1">INDIRECT($AD25&amp;"!"&amp; $AE25&amp; ($AF25+G$5-2000))/$AG25</f>
        <v>0</v>
      </c>
      <c r="H25" s="196" cm="1">
        <f t="array" aca="1" ref="H25" ca="1">INDIRECT($AD25&amp;"!"&amp; $AE25&amp; ($AF25+H$5-2000))/$AG25</f>
        <v>0</v>
      </c>
      <c r="I25" s="196" cm="1">
        <f t="array" aca="1" ref="I25" ca="1">INDIRECT($AD25&amp;"!"&amp; $AE25&amp; ($AF25+I$5-2000))/$AG25</f>
        <v>0</v>
      </c>
      <c r="J25" s="196" cm="1">
        <f t="array" aca="1" ref="J25" ca="1">INDIRECT($AD25&amp;"!"&amp; $AE25&amp; ($AF25+J$5-2000))/$AG25</f>
        <v>0</v>
      </c>
      <c r="K25" s="196" cm="1">
        <f t="array" aca="1" ref="K25" ca="1">INDIRECT($AD25&amp;"!"&amp; $AE25&amp; ($AF25+K$5-2000))/$AG25</f>
        <v>0</v>
      </c>
      <c r="L25" s="196" cm="1">
        <f t="array" aca="1" ref="L25" ca="1">INDIRECT($AD25&amp;"!"&amp; $AE25&amp; ($AF25+L$5-2000))/$AG25</f>
        <v>0</v>
      </c>
      <c r="M25" s="196" cm="1">
        <f t="array" aca="1" ref="M25" ca="1">INDIRECT($AD25&amp;"!"&amp; $AE25&amp; ($AF25+M$5-2000))/$AG25</f>
        <v>0</v>
      </c>
      <c r="N25" s="196" cm="1">
        <f t="array" aca="1" ref="N25" ca="1">INDIRECT($AD25&amp;"!"&amp; $AE25&amp; ($AF25+N$5-2000))/$AG25</f>
        <v>0</v>
      </c>
      <c r="O25" s="196" cm="1">
        <f t="array" aca="1" ref="O25" ca="1">INDIRECT($AD25&amp;"!"&amp; $AE25&amp; ($AF25+O$5-2000))/$AG25</f>
        <v>0</v>
      </c>
      <c r="P25" s="196" cm="1">
        <f t="array" aca="1" ref="P25" ca="1">INDIRECT($AD25&amp;"!"&amp; $AE25&amp; ($AF25+P$5-2000))/$AG25</f>
        <v>0</v>
      </c>
      <c r="Q25" s="196" cm="1">
        <f t="array" aca="1" ref="Q25" ca="1">INDIRECT($AD25&amp;"!"&amp; $AE25&amp; ($AF25+Q$5-2000))/$AG25</f>
        <v>0</v>
      </c>
      <c r="R25" s="196" cm="1">
        <f t="array" aca="1" ref="R25" ca="1">INDIRECT($AD25&amp;"!"&amp; $AE25&amp; ($AF25+R$5-2000))/$AG25</f>
        <v>0</v>
      </c>
      <c r="S25" s="196" cm="1">
        <f t="array" aca="1" ref="S25" ca="1">INDIRECT($AD25&amp;"!"&amp; $AE25&amp; ($AF25+S$5-2000))/$AG25</f>
        <v>0</v>
      </c>
      <c r="T25" s="196" cm="1">
        <f t="array" aca="1" ref="T25" ca="1">INDIRECT($AD25&amp;"!"&amp; $AE25&amp; ($AF25+T$5-2000))/$AG25</f>
        <v>0</v>
      </c>
      <c r="U25" s="196" cm="1">
        <f t="array" aca="1" ref="U25" ca="1">INDIRECT($AD25&amp;"!"&amp; $AE25&amp; ($AF25+U$5-2000))/$AG25</f>
        <v>0</v>
      </c>
      <c r="V25" s="196" cm="1">
        <f t="array" aca="1" ref="V25" ca="1">INDIRECT($AD25&amp;"!"&amp; $AE25&amp; ($AF25+V$5-2000))/$AG25</f>
        <v>0</v>
      </c>
      <c r="W25" s="196" cm="1">
        <f t="array" aca="1" ref="W25" ca="1">INDIRECT($AD25&amp;"!"&amp; $AE25&amp; ($AF25+W$5-2000))/$AG25</f>
        <v>0</v>
      </c>
      <c r="X25" s="196" cm="1">
        <f t="array" aca="1" ref="X25" ca="1">INDIRECT($AD25&amp;"!"&amp; $AE25&amp; ($AF25+X$5-2000))/$AG25</f>
        <v>0</v>
      </c>
      <c r="Y25" s="196" cm="1">
        <f t="array" aca="1" ref="Y25" ca="1">INDIRECT($AD25&amp;"!"&amp; $AE25&amp; ($AF25+Y$5-2000))/$AG25</f>
        <v>0</v>
      </c>
      <c r="Z25" s="196" cm="1">
        <f t="array" aca="1" ref="Z25" ca="1">INDIRECT($AD25&amp;"!"&amp; $AE25&amp; ($AF25+Z$5-2000))/$AG25</f>
        <v>0</v>
      </c>
      <c r="AD25" s="194" t="s">
        <v>653</v>
      </c>
      <c r="AE25" t="s">
        <v>656</v>
      </c>
      <c r="AF25">
        <v>30</v>
      </c>
      <c r="AG25">
        <v>3600</v>
      </c>
    </row>
    <row r="26" spans="1:33">
      <c r="A26" t="s">
        <v>21</v>
      </c>
      <c r="B26" s="196" cm="1">
        <f t="array" aca="1" ref="B26" ca="1">INDIRECT($AD26&amp;"!"&amp; $AE26&amp; ($AF26+B$5-2000))/$AG26</f>
        <v>1.5638888888888889</v>
      </c>
      <c r="C26" s="196" cm="1">
        <f t="array" aca="1" ref="C26" ca="1">INDIRECT($AD26&amp;"!"&amp; $AE26&amp; ($AF26+C$5-2000))/$AG26</f>
        <v>1.6888888888888889</v>
      </c>
      <c r="D26" s="196" cm="1">
        <f t="array" aca="1" ref="D26" ca="1">INDIRECT($AD26&amp;"!"&amp; $AE26&amp; ($AF26+D$5-2000))/$AG26</f>
        <v>1.6194444444444445</v>
      </c>
      <c r="E26" s="196" cm="1">
        <f t="array" aca="1" ref="E26" ca="1">INDIRECT($AD26&amp;"!"&amp; $AE26&amp; ($AF26+E$5-2000))/$AG26</f>
        <v>1.8277777777777777</v>
      </c>
      <c r="F26" s="196" cm="1">
        <f t="array" aca="1" ref="F26" ca="1">INDIRECT($AD26&amp;"!"&amp; $AE26&amp; ($AF26+F$5-2000))/$AG26</f>
        <v>1.8166666666666667</v>
      </c>
      <c r="G26" s="196" cm="1">
        <f t="array" aca="1" ref="G26" ca="1">INDIRECT($AD26&amp;"!"&amp; $AE26&amp; ($AF26+G$5-2000))/$AG26</f>
        <v>1.8305555555555555</v>
      </c>
      <c r="H26" s="196" cm="1">
        <f t="array" aca="1" ref="H26" ca="1">INDIRECT($AD26&amp;"!"&amp; $AE26&amp; ($AF26+H$5-2000))/$AG26</f>
        <v>1.5222222222222221</v>
      </c>
      <c r="I26" s="196" cm="1">
        <f t="array" aca="1" ref="I26" ca="1">INDIRECT($AD26&amp;"!"&amp; $AE26&amp; ($AF26+I$5-2000))/$AG26</f>
        <v>1.3666666666666667</v>
      </c>
      <c r="J26" s="196" cm="1">
        <f t="array" aca="1" ref="J26" ca="1">INDIRECT($AD26&amp;"!"&amp; $AE26&amp; ($AF26+J$5-2000))/$AG26</f>
        <v>1.586111111111111</v>
      </c>
      <c r="K26" s="196" cm="1">
        <f t="array" aca="1" ref="K26" ca="1">INDIRECT($AD26&amp;"!"&amp; $AE26&amp; ($AF26+K$5-2000))/$AG26</f>
        <v>1.5027777777777778</v>
      </c>
      <c r="L26" s="196" cm="1">
        <f t="array" aca="1" ref="L26" ca="1">INDIRECT($AD26&amp;"!"&amp; $AE26&amp; ($AF26+L$5-2000))/$AG26</f>
        <v>1.6944444444444444</v>
      </c>
      <c r="M26" s="196" cm="1">
        <f t="array" aca="1" ref="M26" ca="1">INDIRECT($AD26&amp;"!"&amp; $AE26&amp; ($AF26+M$5-2000))/$AG26</f>
        <v>1.2416666666666667</v>
      </c>
      <c r="N26" s="196" cm="1">
        <f t="array" aca="1" ref="N26" ca="1">INDIRECT($AD26&amp;"!"&amp; $AE26&amp; ($AF26+N$5-2000))/$AG26</f>
        <v>1.575</v>
      </c>
      <c r="O26" s="196" cm="1">
        <f t="array" aca="1" ref="O26" ca="1">INDIRECT($AD26&amp;"!"&amp; $AE26&amp; ($AF26+O$5-2000))/$AG26</f>
        <v>1.913888888888889</v>
      </c>
      <c r="P26" s="196" cm="1">
        <f t="array" aca="1" ref="P26" ca="1">INDIRECT($AD26&amp;"!"&amp; $AE26&amp; ($AF26+P$5-2000))/$AG26</f>
        <v>1.2666666666666666</v>
      </c>
      <c r="Q26" s="196" cm="1">
        <f t="array" aca="1" ref="Q26" ca="1">INDIRECT($AD26&amp;"!"&amp; $AE26&amp; ($AF26+Q$5-2000))/$AG26</f>
        <v>1.7194444444444446</v>
      </c>
      <c r="R26" s="196" cm="1">
        <f t="array" aca="1" ref="R26" ca="1">INDIRECT($AD26&amp;"!"&amp; $AE26&amp; ($AF26+R$5-2000))/$AG26</f>
        <v>2.0805555555555557</v>
      </c>
      <c r="S26" s="196" cm="1">
        <f t="array" aca="1" ref="S26" ca="1">INDIRECT($AD26&amp;"!"&amp; $AE26&amp; ($AF26+S$5-2000))/$AG26</f>
        <v>1.913888888888889</v>
      </c>
      <c r="T26" s="196" cm="1">
        <f t="array" aca="1" ref="T26" ca="1">INDIRECT($AD26&amp;"!"&amp; $AE26&amp; ($AF26+T$5-2000))/$AG26</f>
        <v>1.8194444444444444</v>
      </c>
      <c r="U26" s="196" cm="1">
        <f t="array" aca="1" ref="U26" ca="1">INDIRECT($AD26&amp;"!"&amp; $AE26&amp; ($AF26+U$5-2000))/$AG26</f>
        <v>1.9166666666666667</v>
      </c>
      <c r="V26" s="196" cm="1">
        <f t="array" aca="1" ref="V26" ca="1">INDIRECT($AD26&amp;"!"&amp; $AE26&amp; ($AF26+V$5-2000))/$AG26</f>
        <v>1.8944444444444444</v>
      </c>
      <c r="W26" s="196" cm="1">
        <f t="array" aca="1" ref="W26" ca="1">INDIRECT($AD26&amp;"!"&amp; $AE26&amp; ($AF26+W$5-2000))/$AG26</f>
        <v>2.338888888888889</v>
      </c>
      <c r="X26" s="196" cm="1">
        <f t="array" aca="1" ref="X26" ca="1">INDIRECT($AD26&amp;"!"&amp; $AE26&amp; ($AF26+X$5-2000))/$AG26</f>
        <v>1.7944444444444445</v>
      </c>
      <c r="Y26" s="196" cm="1">
        <f t="array" aca="1" ref="Y26" ca="1">INDIRECT($AD26&amp;"!"&amp; $AE26&amp; ($AF26+Y$5-2000))/$AG26</f>
        <v>1.6</v>
      </c>
      <c r="Z26" s="196" cm="1">
        <f t="array" aca="1" ref="Z26" ca="1">INDIRECT($AD26&amp;"!"&amp; $AE26&amp; ($AF26+Z$5-2000))/$AG26</f>
        <v>1.6722222222222223</v>
      </c>
      <c r="AD26" s="194" t="s">
        <v>653</v>
      </c>
      <c r="AE26" t="s">
        <v>641</v>
      </c>
      <c r="AF26">
        <v>30</v>
      </c>
      <c r="AG26">
        <v>3600</v>
      </c>
    </row>
    <row r="27" spans="1:33">
      <c r="A27" t="s">
        <v>654</v>
      </c>
      <c r="B27" s="196" cm="1">
        <f t="array" aca="1" ref="B27" ca="1">INDIRECT($AD27&amp;"!"&amp; $AE27&amp; ($AF27+B$5-2000))/$AG27</f>
        <v>0.30555555555555558</v>
      </c>
      <c r="C27" s="196" cm="1">
        <f t="array" aca="1" ref="C27" ca="1">INDIRECT($AD27&amp;"!"&amp; $AE27&amp; ($AF27+C$5-2000))/$AG27</f>
        <v>0.32777777777777778</v>
      </c>
      <c r="D27" s="196" cm="1">
        <f t="array" aca="1" ref="D27" ca="1">INDIRECT($AD27&amp;"!"&amp; $AE27&amp; ($AF27+D$5-2000))/$AG27</f>
        <v>0.29722222222222222</v>
      </c>
      <c r="E27" s="196" cm="1">
        <f t="array" aca="1" ref="E27" ca="1">INDIRECT($AD27&amp;"!"&amp; $AE27&amp; ($AF27+E$5-2000))/$AG27</f>
        <v>0.31111111111111112</v>
      </c>
      <c r="F27" s="196" cm="1">
        <f t="array" aca="1" ref="F27" ca="1">INDIRECT($AD27&amp;"!"&amp; $AE27&amp; ($AF27+F$5-2000))/$AG27</f>
        <v>0.31944444444444442</v>
      </c>
      <c r="G27" s="196" cm="1">
        <f t="array" aca="1" ref="G27" ca="1">INDIRECT($AD27&amp;"!"&amp; $AE27&amp; ($AF27+G$5-2000))/$AG27</f>
        <v>0.30555555555555558</v>
      </c>
      <c r="H27" s="196" cm="1">
        <f t="array" aca="1" ref="H27" ca="1">INDIRECT($AD27&amp;"!"&amp; $AE27&amp; ($AF27+H$5-2000))/$AG27</f>
        <v>0.35833333333333334</v>
      </c>
      <c r="I27" s="196" cm="1">
        <f t="array" aca="1" ref="I27" ca="1">INDIRECT($AD27&amp;"!"&amp; $AE27&amp; ($AF27+I$5-2000))/$AG27</f>
        <v>0.3527777777777778</v>
      </c>
      <c r="J27" s="196" cm="1">
        <f t="array" aca="1" ref="J27" ca="1">INDIRECT($AD27&amp;"!"&amp; $AE27&amp; ($AF27+J$5-2000))/$AG27</f>
        <v>0.35833333333333334</v>
      </c>
      <c r="K27" s="196" cm="1">
        <f t="array" aca="1" ref="K27" ca="1">INDIRECT($AD27&amp;"!"&amp; $AE27&amp; ($AF27+K$5-2000))/$AG27</f>
        <v>0.3611111111111111</v>
      </c>
      <c r="L27" s="196" cm="1">
        <f t="array" aca="1" ref="L27" ca="1">INDIRECT($AD27&amp;"!"&amp; $AE27&amp; ($AF27+L$5-2000))/$AG27</f>
        <v>0.3611111111111111</v>
      </c>
      <c r="M27" s="196" cm="1">
        <f t="array" aca="1" ref="M27" ca="1">INDIRECT($AD27&amp;"!"&amp; $AE27&amp; ($AF27+M$5-2000))/$AG27</f>
        <v>0.35833333333333334</v>
      </c>
      <c r="N27" s="196" cm="1">
        <f t="array" aca="1" ref="N27" ca="1">INDIRECT($AD27&amp;"!"&amp; $AE27&amp; ($AF27+N$5-2000))/$AG27</f>
        <v>0.38055555555555554</v>
      </c>
      <c r="O27" s="196" cm="1">
        <f t="array" aca="1" ref="O27" ca="1">INDIRECT($AD27&amp;"!"&amp; $AE27&amp; ($AF27+O$5-2000))/$AG27</f>
        <v>0.3527777777777778</v>
      </c>
      <c r="P27" s="196" cm="1">
        <f t="array" aca="1" ref="P27" ca="1">INDIRECT($AD27&amp;"!"&amp; $AE27&amp; ($AF27+P$5-2000))/$AG27</f>
        <v>0.33055555555555555</v>
      </c>
      <c r="Q27" s="196" cm="1">
        <f t="array" aca="1" ref="Q27" ca="1">INDIRECT($AD27&amp;"!"&amp; $AE27&amp; ($AF27+Q$5-2000))/$AG27</f>
        <v>0.30555555555555558</v>
      </c>
      <c r="R27" s="196" cm="1">
        <f t="array" aca="1" ref="R27" ca="1">INDIRECT($AD27&amp;"!"&amp; $AE27&amp; ($AF27+R$5-2000))/$AG27</f>
        <v>0.36944444444444446</v>
      </c>
      <c r="S27" s="196" cm="1">
        <f t="array" aca="1" ref="S27" ca="1">INDIRECT($AD27&amp;"!"&amp; $AE27&amp; ($AF27+S$5-2000))/$AG27</f>
        <v>0.36666666666666664</v>
      </c>
      <c r="T27" s="196" cm="1">
        <f t="array" aca="1" ref="T27" ca="1">INDIRECT($AD27&amp;"!"&amp; $AE27&amp; ($AF27+T$5-2000))/$AG27</f>
        <v>0.375</v>
      </c>
      <c r="U27" s="196" cm="1">
        <f t="array" aca="1" ref="U27" ca="1">INDIRECT($AD27&amp;"!"&amp; $AE27&amp; ($AF27+U$5-2000))/$AG27</f>
        <v>0.38333333333333336</v>
      </c>
      <c r="V27" s="196" cm="1">
        <f t="array" aca="1" ref="V27" ca="1">INDIRECT($AD27&amp;"!"&amp; $AE27&amp; ($AF27+V$5-2000))/$AG27</f>
        <v>0.39444444444444443</v>
      </c>
      <c r="W27" s="196" cm="1">
        <f t="array" aca="1" ref="W27" ca="1">INDIRECT($AD27&amp;"!"&amp; $AE27&amp; ($AF27+W$5-2000))/$AG27</f>
        <v>0.42222222222222222</v>
      </c>
      <c r="X27" s="196" cm="1">
        <f t="array" aca="1" ref="X27" ca="1">INDIRECT($AD27&amp;"!"&amp; $AE27&amp; ($AF27+X$5-2000))/$AG27</f>
        <v>0.38611111111111113</v>
      </c>
      <c r="Y27" s="196" cm="1">
        <f t="array" aca="1" ref="Y27" ca="1">INDIRECT($AD27&amp;"!"&amp; $AE27&amp; ($AF27+Y$5-2000))/$AG27</f>
        <v>0.3972222222222222</v>
      </c>
      <c r="Z27" s="196" cm="1">
        <f t="array" aca="1" ref="Z27" ca="1">INDIRECT($AD27&amp;"!"&amp; $AE27&amp; ($AF27+Z$5-2000))/$AG27</f>
        <v>0.38055555555555554</v>
      </c>
      <c r="AD27" s="194" t="s">
        <v>653</v>
      </c>
      <c r="AE27" t="s">
        <v>655</v>
      </c>
      <c r="AF27">
        <v>30</v>
      </c>
      <c r="AG27">
        <v>3600</v>
      </c>
    </row>
    <row r="28" spans="1:33">
      <c r="A28" t="s">
        <v>22</v>
      </c>
      <c r="B28" s="196" cm="1">
        <f t="array" aca="1" ref="B28" ca="1">INDIRECT($AD28&amp;"!"&amp; $AE28&amp; ($AF28+B$5-2000))/$AG28</f>
        <v>3.9694444444444446</v>
      </c>
      <c r="C28" s="196" cm="1">
        <f t="array" aca="1" ref="C28" ca="1">INDIRECT($AD28&amp;"!"&amp; $AE28&amp; ($AF28+C$5-2000))/$AG28</f>
        <v>4.2638888888888893</v>
      </c>
      <c r="D28" s="196" cm="1">
        <f t="array" aca="1" ref="D28" ca="1">INDIRECT($AD28&amp;"!"&amp; $AE28&amp; ($AF28+D$5-2000))/$AG28</f>
        <v>4.1583333333333332</v>
      </c>
      <c r="E28" s="196" cm="1">
        <f t="array" aca="1" ref="E28" ca="1">INDIRECT($AD28&amp;"!"&amp; $AE28&amp; ($AF28+E$5-2000))/$AG28</f>
        <v>4.4388888888888891</v>
      </c>
      <c r="F28" s="196" cm="1">
        <f t="array" aca="1" ref="F28" ca="1">INDIRECT($AD28&amp;"!"&amp; $AE28&amp; ($AF28+F$5-2000))/$AG28</f>
        <v>4.5888888888888886</v>
      </c>
      <c r="G28" s="196" cm="1">
        <f t="array" aca="1" ref="G28" ca="1">INDIRECT($AD28&amp;"!"&amp; $AE28&amp; ($AF28+G$5-2000))/$AG28</f>
        <v>4.6305555555555555</v>
      </c>
      <c r="H28" s="196" cm="1">
        <f t="array" aca="1" ref="H28" ca="1">INDIRECT($AD28&amp;"!"&amp; $AE28&amp; ($AF28+H$5-2000))/$AG28</f>
        <v>4.7111111111111112</v>
      </c>
      <c r="I28" s="196" cm="1">
        <f t="array" aca="1" ref="I28" ca="1">INDIRECT($AD28&amp;"!"&amp; $AE28&amp; ($AF28+I$5-2000))/$AG28</f>
        <v>4.5388888888888888</v>
      </c>
      <c r="J28" s="196" cm="1">
        <f t="array" aca="1" ref="J28" ca="1">INDIRECT($AD28&amp;"!"&amp; $AE28&amp; ($AF28+J$5-2000))/$AG28</f>
        <v>4.6861111111111109</v>
      </c>
      <c r="K28" s="196" cm="1">
        <f t="array" aca="1" ref="K28" ca="1">INDIRECT($AD28&amp;"!"&amp; $AE28&amp; ($AF28+K$5-2000))/$AG28</f>
        <v>4.6638888888888888</v>
      </c>
      <c r="L28" s="196" cm="1">
        <f t="array" aca="1" ref="L28" ca="1">INDIRECT($AD28&amp;"!"&amp; $AE28&amp; ($AF28+L$5-2000))/$AG28</f>
        <v>5.1944444444444446</v>
      </c>
      <c r="M28" s="196" cm="1">
        <f t="array" aca="1" ref="M28" ca="1">INDIRECT($AD28&amp;"!"&amp; $AE28&amp; ($AF28+M$5-2000))/$AG28</f>
        <v>4.7638888888888893</v>
      </c>
      <c r="N28" s="196" cm="1">
        <f t="array" aca="1" ref="N28" ca="1">INDIRECT($AD28&amp;"!"&amp; $AE28&amp; ($AF28+N$5-2000))/$AG28</f>
        <v>5.0388888888888888</v>
      </c>
      <c r="O28" s="196" cm="1">
        <f t="array" aca="1" ref="O28" ca="1">INDIRECT($AD28&amp;"!"&amp; $AE28&amp; ($AF28+O$5-2000))/$AG28</f>
        <v>5.3833333333333337</v>
      </c>
      <c r="P28" s="196" cm="1">
        <f t="array" aca="1" ref="P28" ca="1">INDIRECT($AD28&amp;"!"&amp; $AE28&amp; ($AF28+P$5-2000))/$AG28</f>
        <v>4.8694444444444445</v>
      </c>
      <c r="Q28" s="196" cm="1">
        <f t="array" aca="1" ref="Q28" ca="1">INDIRECT($AD28&amp;"!"&amp; $AE28&amp; ($AF28+Q$5-2000))/$AG28</f>
        <v>5.5305555555555559</v>
      </c>
      <c r="R28" s="196" cm="1">
        <f t="array" aca="1" ref="R28" ca="1">INDIRECT($AD28&amp;"!"&amp; $AE28&amp; ($AF28+R$5-2000))/$AG28</f>
        <v>5.8805555555555555</v>
      </c>
      <c r="S28" s="196" cm="1">
        <f t="array" aca="1" ref="S28" ca="1">INDIRECT($AD28&amp;"!"&amp; $AE28&amp; ($AF28+S$5-2000))/$AG28</f>
        <v>6.0111111111111111</v>
      </c>
      <c r="T28" s="196" cm="1">
        <f t="array" aca="1" ref="T28" ca="1">INDIRECT($AD28&amp;"!"&amp; $AE28&amp; ($AF28+T$5-2000))/$AG28</f>
        <v>5.9138888888888888</v>
      </c>
      <c r="U28" s="196" cm="1">
        <f t="array" aca="1" ref="U28" ca="1">INDIRECT($AD28&amp;"!"&amp; $AE28&amp; ($AF28+U$5-2000))/$AG28</f>
        <v>6.541666666666667</v>
      </c>
      <c r="V28" s="196" cm="1">
        <f t="array" aca="1" ref="V28" ca="1">INDIRECT($AD28&amp;"!"&amp; $AE28&amp; ($AF28+V$5-2000))/$AG28</f>
        <v>6.4611111111111112</v>
      </c>
      <c r="W28" s="196" cm="1">
        <f t="array" aca="1" ref="W28" ca="1">INDIRECT($AD28&amp;"!"&amp; $AE28&amp; ($AF28+W$5-2000))/$AG28</f>
        <v>7.1722222222222225</v>
      </c>
      <c r="X28" s="196" cm="1">
        <f t="array" aca="1" ref="X28" ca="1">INDIRECT($AD28&amp;"!"&amp; $AE28&amp; ($AF28+X$5-2000))/$AG28</f>
        <v>6.5861111111111112</v>
      </c>
      <c r="Y28" s="196" cm="1">
        <f t="array" aca="1" ref="Y28" ca="1">INDIRECT($AD28&amp;"!"&amp; $AE28&amp; ($AF28+Y$5-2000))/$AG28</f>
        <v>6.7416666666666663</v>
      </c>
      <c r="Z28" s="196" cm="1">
        <f t="array" aca="1" ref="Z28" ca="1">INDIRECT($AD28&amp;"!"&amp; $AE28&amp; ($AF28+Z$5-2000))/$AG28</f>
        <v>7.447222222222222</v>
      </c>
      <c r="AD28" s="194" t="s">
        <v>653</v>
      </c>
      <c r="AE28" t="s">
        <v>633</v>
      </c>
      <c r="AF28">
        <v>30</v>
      </c>
      <c r="AG28">
        <v>3600</v>
      </c>
    </row>
    <row r="30" spans="1:33">
      <c r="A30" s="1" t="s">
        <v>4</v>
      </c>
    </row>
    <row r="31" spans="1:33">
      <c r="A31" t="s">
        <v>23</v>
      </c>
      <c r="B31" s="196" cm="1">
        <f t="array" aca="1" ref="B31" ca="1">INDIRECT($AD31&amp;"!"&amp; $AE31&amp; ($AF31+B$5-2000))/$AG31</f>
        <v>17.565999999999999</v>
      </c>
      <c r="C31" s="196" cm="1">
        <f t="array" aca="1" ref="C31" ca="1">INDIRECT($AD31&amp;"!"&amp; $AE31&amp; ($AF31+C$5-2000))/$AG31</f>
        <v>17.751000000000001</v>
      </c>
      <c r="D31" s="196" cm="1">
        <f t="array" aca="1" ref="D31" ca="1">INDIRECT($AD31&amp;"!"&amp; $AE31&amp; ($AF31+D$5-2000))/$AG31</f>
        <v>17.625</v>
      </c>
      <c r="E31" s="196" cm="1">
        <f t="array" aca="1" ref="E31" ca="1">INDIRECT($AD31&amp;"!"&amp; $AE31&amp; ($AF31+E$5-2000))/$AG31</f>
        <v>15.398</v>
      </c>
      <c r="F31" s="196" cm="1">
        <f t="array" aca="1" ref="F31" ca="1">INDIRECT($AD31&amp;"!"&amp; $AE31&amp; ($AF31+F$5-2000))/$AG31</f>
        <v>16.039000000000001</v>
      </c>
      <c r="G31" s="196" cm="1">
        <f t="array" aca="1" ref="G31" ca="1">INDIRECT($AD31&amp;"!"&amp; $AE31&amp; ($AF31+G$5-2000))/$AG31</f>
        <v>14.997999999999999</v>
      </c>
      <c r="H31" s="196" cm="1">
        <f t="array" aca="1" ref="H31" ca="1">INDIRECT($AD31&amp;"!"&amp; $AE31&amp; ($AF31+H$5-2000))/$AG31</f>
        <v>15.819000000000001</v>
      </c>
      <c r="I31" s="196" cm="1">
        <f t="array" aca="1" ref="I31" ca="1">INDIRECT($AD31&amp;"!"&amp; $AE31&amp; ($AF31+I$5-2000))/$AG31</f>
        <v>16.547000000000001</v>
      </c>
      <c r="J31" s="196" cm="1">
        <f t="array" aca="1" ref="J31" ca="1">INDIRECT($AD31&amp;"!"&amp; $AE31&amp; ($AF31+J$5-2000))/$AG31</f>
        <v>16.686</v>
      </c>
      <c r="K31" s="196" cm="1">
        <f t="array" aca="1" ref="K31" ca="1">INDIRECT($AD31&amp;"!"&amp; $AE31&amp; ($AF31+K$5-2000))/$AG31</f>
        <v>16.11</v>
      </c>
      <c r="L31" s="196" cm="1">
        <f t="array" aca="1" ref="L31" ca="1">INDIRECT($AD31&amp;"!"&amp; $AE31&amp; ($AF31+L$5-2000))/$AG31</f>
        <v>16.03</v>
      </c>
      <c r="M31" s="196" cm="1">
        <f t="array" aca="1" ref="M31" ca="1">INDIRECT($AD31&amp;"!"&amp; $AE31&amp; ($AF31+M$5-2000))/$AG31</f>
        <v>14.733000000000001</v>
      </c>
      <c r="N31" s="196" cm="1">
        <f t="array" aca="1" ref="N31" ca="1">INDIRECT($AD31&amp;"!"&amp; $AE31&amp; ($AF31+N$5-2000))/$AG31</f>
        <v>17.832000000000001</v>
      </c>
      <c r="O31" s="196" cm="1">
        <f t="array" aca="1" ref="O31" ca="1">INDIRECT($AD31&amp;"!"&amp; $AE31&amp; ($AF31+O$5-2000))/$AG31</f>
        <v>17.759</v>
      </c>
      <c r="P31" s="196" cm="1">
        <f t="array" aca="1" ref="P31" ca="1">INDIRECT($AD31&amp;"!"&amp; $AE31&amp; ($AF31+P$5-2000))/$AG31</f>
        <v>17.242999999999999</v>
      </c>
      <c r="Q31" s="196" cm="1">
        <f t="array" aca="1" ref="Q31" ca="1">INDIRECT($AD31&amp;"!"&amp; $AE31&amp; ($AF31+Q$5-2000))/$AG31</f>
        <v>16.594999999999999</v>
      </c>
      <c r="R31" s="196" cm="1">
        <f t="array" aca="1" ref="R31" ca="1">INDIRECT($AD31&amp;"!"&amp; $AE31&amp; ($AF31+R$5-2000))/$AG31</f>
        <v>16.574000000000002</v>
      </c>
      <c r="S31" s="196" cm="1">
        <f t="array" aca="1" ref="S31" ca="1">INDIRECT($AD31&amp;"!"&amp; $AE31&amp; ($AF31+S$5-2000))/$AG31</f>
        <v>15.946</v>
      </c>
      <c r="T31" s="196" cm="1">
        <f t="array" aca="1" ref="T31" ca="1">INDIRECT($AD31&amp;"!"&amp; $AE31&amp; ($AF31+T$5-2000))/$AG31</f>
        <v>16.908000000000001</v>
      </c>
      <c r="U31" s="196" cm="1">
        <f t="array" aca="1" ref="U31" ca="1">INDIRECT($AD31&amp;"!"&amp; $AE31&amp; ($AF31+U$5-2000))/$AG31</f>
        <v>17.7</v>
      </c>
      <c r="V31" s="196" cm="1">
        <f t="array" aca="1" ref="V31" ca="1">INDIRECT($AD31&amp;"!"&amp; $AE31&amp; ($AF31+V$5-2000))/$AG31</f>
        <v>17.648</v>
      </c>
      <c r="W31" s="196" cm="1">
        <f t="array" aca="1" ref="W31" ca="1">INDIRECT($AD31&amp;"!"&amp; $AE31&amp; ($AF31+W$5-2000))/$AG31</f>
        <v>16.962</v>
      </c>
      <c r="X31" s="196" cm="1">
        <f t="array" aca="1" ref="X31" ca="1">INDIRECT($AD31&amp;"!"&amp; $AE31&amp; ($AF31+X$5-2000))/$AG31</f>
        <v>15.49</v>
      </c>
      <c r="Y31" s="196" cm="1">
        <f t="array" aca="1" ref="Y31" ca="1">INDIRECT($AD31&amp;"!"&amp; $AE31&amp; ($AF31+Y$5-2000))/$AG31</f>
        <v>17.491</v>
      </c>
      <c r="Z31" s="196" cm="1">
        <f t="array" aca="1" ref="Z31" ca="1">INDIRECT($AD31&amp;"!"&amp; $AE31&amp; ($AF31+Z$5-2000))/$AG31</f>
        <v>19.402999999999999</v>
      </c>
      <c r="AD31" s="194" t="s">
        <v>658</v>
      </c>
      <c r="AE31" t="s">
        <v>628</v>
      </c>
      <c r="AF31">
        <v>49</v>
      </c>
      <c r="AG31">
        <v>1000</v>
      </c>
    </row>
    <row r="32" spans="1:33">
      <c r="A32" t="s">
        <v>24</v>
      </c>
      <c r="B32" s="196" cm="1">
        <f t="array" aca="1" ref="B32" ca="1">INDIRECT($AD32&amp;"!"&amp; $AE32&amp; ($AF32+B$5-2000))/$AG32</f>
        <v>20.285</v>
      </c>
      <c r="C32" s="196" cm="1">
        <f t="array" aca="1" ref="C32" ca="1">INDIRECT($AD32&amp;"!"&amp; $AE32&amp; ($AF32+C$5-2000))/$AG32</f>
        <v>24.51</v>
      </c>
      <c r="D32" s="196" cm="1">
        <f t="array" aca="1" ref="D32" ca="1">INDIRECT($AD32&amp;"!"&amp; $AE32&amp; ($AF32+D$5-2000))/$AG32</f>
        <v>18.888000000000002</v>
      </c>
      <c r="E32" s="196" cm="1">
        <f t="array" aca="1" ref="E32" ca="1">INDIRECT($AD32&amp;"!"&amp; $AE32&amp; ($AF32+E$5-2000))/$AG32</f>
        <v>21.047000000000001</v>
      </c>
      <c r="F32" s="196" cm="1">
        <f t="array" aca="1" ref="F32" ca="1">INDIRECT($AD32&amp;"!"&amp; $AE32&amp; ($AF32+F$5-2000))/$AG32</f>
        <v>19.077999999999999</v>
      </c>
      <c r="G32" s="196" cm="1">
        <f t="array" aca="1" ref="G32" ca="1">INDIRECT($AD32&amp;"!"&amp; $AE32&amp; ($AF32+G$5-2000))/$AG32</f>
        <v>17.760999999999999</v>
      </c>
      <c r="H32" s="196" cm="1">
        <f t="array" aca="1" ref="H32" ca="1">INDIRECT($AD32&amp;"!"&amp; $AE32&amp; ($AF32+H$5-2000))/$AG32</f>
        <v>16.738</v>
      </c>
      <c r="I32" s="196" cm="1">
        <f t="array" aca="1" ref="I32" ca="1">INDIRECT($AD32&amp;"!"&amp; $AE32&amp; ($AF32+I$5-2000))/$AG32</f>
        <v>19.826000000000001</v>
      </c>
      <c r="J32" s="196" cm="1">
        <f t="array" aca="1" ref="J32" ca="1">INDIRECT($AD32&amp;"!"&amp; $AE32&amp; ($AF32+J$5-2000))/$AG32</f>
        <v>20.873000000000001</v>
      </c>
      <c r="K32" s="196" cm="1">
        <f t="array" aca="1" ref="K32" ca="1">INDIRECT($AD32&amp;"!"&amp; $AE32&amp; ($AF32+K$5-2000))/$AG32</f>
        <v>21.026</v>
      </c>
      <c r="L32" s="196" cm="1">
        <f t="array" aca="1" ref="L32" ca="1">INDIRECT($AD32&amp;"!"&amp; $AE32&amp; ($AF32+L$5-2000))/$AG32</f>
        <v>21.42</v>
      </c>
      <c r="M32" s="196" cm="1">
        <f t="array" aca="1" ref="M32" ca="1">INDIRECT($AD32&amp;"!"&amp; $AE32&amp; ($AF32+M$5-2000))/$AG32</f>
        <v>19.062000000000001</v>
      </c>
      <c r="N32" s="196" cm="1">
        <f t="array" aca="1" ref="N32" ca="1">INDIRECT($AD32&amp;"!"&amp; $AE32&amp; ($AF32+N$5-2000))/$AG32</f>
        <v>22.074000000000002</v>
      </c>
      <c r="O32" s="196" cm="1">
        <f t="array" aca="1" ref="O32" ca="1">INDIRECT($AD32&amp;"!"&amp; $AE32&amp; ($AF32+O$5-2000))/$AG32</f>
        <v>21.812999999999999</v>
      </c>
      <c r="P32" s="196" cm="1">
        <f t="array" aca="1" ref="P32" ca="1">INDIRECT($AD32&amp;"!"&amp; $AE32&amp; ($AF32+P$5-2000))/$AG32</f>
        <v>22.065000000000001</v>
      </c>
      <c r="Q32" s="196" cm="1">
        <f t="array" aca="1" ref="Q32" ca="1">INDIRECT($AD32&amp;"!"&amp; $AE32&amp; ($AF32+Q$5-2000))/$AG32</f>
        <v>22.890999999999998</v>
      </c>
      <c r="R32" s="196" cm="1">
        <f t="array" aca="1" ref="R32" ca="1">INDIRECT($AD32&amp;"!"&amp; $AE32&amp; ($AF32+R$5-2000))/$AG32</f>
        <v>19.751999999999999</v>
      </c>
      <c r="S32" s="196" cm="1">
        <f t="array" aca="1" ref="S32" ca="1">INDIRECT($AD32&amp;"!"&amp; $AE32&amp; ($AF32+S$5-2000))/$AG32</f>
        <v>20.72</v>
      </c>
      <c r="T32" s="196" cm="1">
        <f t="array" aca="1" ref="T32" ca="1">INDIRECT($AD32&amp;"!"&amp; $AE32&amp; ($AF32+T$5-2000))/$AG32</f>
        <v>20.52</v>
      </c>
      <c r="U32" s="196" cm="1">
        <f t="array" aca="1" ref="U32" ca="1">INDIRECT($AD32&amp;"!"&amp; $AE32&amp; ($AF32+U$5-2000))/$AG32</f>
        <v>22.856000000000002</v>
      </c>
      <c r="V32" s="196" cm="1">
        <f t="array" aca="1" ref="V32" ca="1">INDIRECT($AD32&amp;"!"&amp; $AE32&amp; ($AF32+V$5-2000))/$AG32</f>
        <v>22.968</v>
      </c>
      <c r="W32" s="196" cm="1">
        <f t="array" aca="1" ref="W32" ca="1">INDIRECT($AD32&amp;"!"&amp; $AE32&amp; ($AF32+W$5-2000))/$AG32</f>
        <v>22.538</v>
      </c>
      <c r="X32" s="196" cm="1">
        <f t="array" aca="1" ref="X32" ca="1">INDIRECT($AD32&amp;"!"&amp; $AE32&amp; ($AF32+X$5-2000))/$AG32</f>
        <v>18.010999999999999</v>
      </c>
      <c r="Y32" s="196" cm="1">
        <f t="array" aca="1" ref="Y32" ca="1">INDIRECT($AD32&amp;"!"&amp; $AE32&amp; ($AF32+Y$5-2000))/$AG32</f>
        <v>23.289000000000001</v>
      </c>
      <c r="Z32" s="196" cm="1">
        <f t="array" aca="1" ref="Z32" ca="1">INDIRECT($AD32&amp;"!"&amp; $AE32&amp; ($AF32+Z$5-2000))/$AG32</f>
        <v>28.934000000000001</v>
      </c>
      <c r="AD32" s="194" t="s">
        <v>658</v>
      </c>
      <c r="AE32" t="s">
        <v>657</v>
      </c>
      <c r="AF32">
        <v>49</v>
      </c>
      <c r="AG32">
        <v>1000</v>
      </c>
    </row>
    <row r="33" spans="1:33">
      <c r="A33" t="s">
        <v>25</v>
      </c>
      <c r="B33" s="196">
        <f ca="1">B34*3</f>
        <v>74.847000000000008</v>
      </c>
      <c r="C33" s="196">
        <f t="shared" ref="C33:Z33" ca="1" si="1">C34*3</f>
        <v>75.878999999999991</v>
      </c>
      <c r="D33" s="196">
        <f t="shared" ca="1" si="1"/>
        <v>77.075999999999993</v>
      </c>
      <c r="E33" s="196">
        <f t="shared" ca="1" si="1"/>
        <v>77.793000000000006</v>
      </c>
      <c r="F33" s="196">
        <f t="shared" ca="1" si="1"/>
        <v>76.295999999999992</v>
      </c>
      <c r="G33" s="196">
        <f t="shared" ca="1" si="1"/>
        <v>66.06</v>
      </c>
      <c r="H33" s="196">
        <f t="shared" ca="1" si="1"/>
        <v>78.731999999999999</v>
      </c>
      <c r="I33" s="196">
        <f t="shared" ca="1" si="1"/>
        <v>79.032000000000011</v>
      </c>
      <c r="J33" s="196">
        <f t="shared" ca="1" si="1"/>
        <v>78.396000000000001</v>
      </c>
      <c r="K33" s="196">
        <f t="shared" ca="1" si="1"/>
        <v>78.356999999999999</v>
      </c>
      <c r="L33" s="196">
        <f t="shared" ca="1" si="1"/>
        <v>75.614999999999995</v>
      </c>
      <c r="M33" s="196">
        <f t="shared" ca="1" si="1"/>
        <v>76.679999999999993</v>
      </c>
      <c r="N33" s="196">
        <f t="shared" ca="1" si="1"/>
        <v>73.034999999999997</v>
      </c>
      <c r="O33" s="196">
        <f t="shared" ca="1" si="1"/>
        <v>74.613</v>
      </c>
      <c r="P33" s="196">
        <f t="shared" ca="1" si="1"/>
        <v>79.11</v>
      </c>
      <c r="Q33" s="196">
        <f t="shared" ca="1" si="1"/>
        <v>66.284999999999997</v>
      </c>
      <c r="R33" s="196">
        <f t="shared" ca="1" si="1"/>
        <v>60.704999999999998</v>
      </c>
      <c r="S33" s="196">
        <f t="shared" ca="1" si="1"/>
        <v>58.497</v>
      </c>
      <c r="T33" s="196">
        <f t="shared" ca="1" si="1"/>
        <v>73.242000000000004</v>
      </c>
      <c r="U33" s="196">
        <f t="shared" ca="1" si="1"/>
        <v>75.84</v>
      </c>
      <c r="V33" s="196">
        <f t="shared" ca="1" si="1"/>
        <v>68.97</v>
      </c>
      <c r="W33" s="196">
        <f t="shared" ca="1" si="1"/>
        <v>55.59</v>
      </c>
      <c r="X33" s="196">
        <f t="shared" ca="1" si="1"/>
        <v>69.338999999999999</v>
      </c>
      <c r="Y33" s="196">
        <f t="shared" ca="1" si="1"/>
        <v>70.001999999999995</v>
      </c>
      <c r="Z33" s="196">
        <f t="shared" ca="1" si="1"/>
        <v>68.948999999999998</v>
      </c>
      <c r="AD33" t="s">
        <v>923</v>
      </c>
    </row>
    <row r="34" spans="1:33">
      <c r="A34" t="s">
        <v>26</v>
      </c>
      <c r="B34" s="196" cm="1">
        <f t="array" aca="1" ref="B34" ca="1">INDIRECT($AD34&amp;"!"&amp; $AE34&amp; ($AF34+B$5-2000))/$AG34</f>
        <v>24.949000000000002</v>
      </c>
      <c r="C34" s="196" cm="1">
        <f t="array" aca="1" ref="C34" ca="1">INDIRECT($AD34&amp;"!"&amp; $AE34&amp; ($AF34+C$5-2000))/$AG34</f>
        <v>25.292999999999999</v>
      </c>
      <c r="D34" s="196" cm="1">
        <f t="array" aca="1" ref="D34" ca="1">INDIRECT($AD34&amp;"!"&amp; $AE34&amp; ($AF34+D$5-2000))/$AG34</f>
        <v>25.692</v>
      </c>
      <c r="E34" s="196" cm="1">
        <f t="array" aca="1" ref="E34" ca="1">INDIRECT($AD34&amp;"!"&amp; $AE34&amp; ($AF34+E$5-2000))/$AG34</f>
        <v>25.931000000000001</v>
      </c>
      <c r="F34" s="196" cm="1">
        <f t="array" aca="1" ref="F34" ca="1">INDIRECT($AD34&amp;"!"&amp; $AE34&amp; ($AF34+F$5-2000))/$AG34</f>
        <v>25.431999999999999</v>
      </c>
      <c r="G34" s="196" cm="1">
        <f t="array" aca="1" ref="G34" ca="1">INDIRECT($AD34&amp;"!"&amp; $AE34&amp; ($AF34+G$5-2000))/$AG34</f>
        <v>22.02</v>
      </c>
      <c r="H34" s="196" cm="1">
        <f t="array" aca="1" ref="H34" ca="1">INDIRECT($AD34&amp;"!"&amp; $AE34&amp; ($AF34+H$5-2000))/$AG34</f>
        <v>26.244</v>
      </c>
      <c r="I34" s="196" cm="1">
        <f t="array" aca="1" ref="I34" ca="1">INDIRECT($AD34&amp;"!"&amp; $AE34&amp; ($AF34+I$5-2000))/$AG34</f>
        <v>26.344000000000001</v>
      </c>
      <c r="J34" s="196" cm="1">
        <f t="array" aca="1" ref="J34" ca="1">INDIRECT($AD34&amp;"!"&amp; $AE34&amp; ($AF34+J$5-2000))/$AG34</f>
        <v>26.132000000000001</v>
      </c>
      <c r="K34" s="196" cm="1">
        <f t="array" aca="1" ref="K34" ca="1">INDIRECT($AD34&amp;"!"&amp; $AE34&amp; ($AF34+K$5-2000))/$AG34</f>
        <v>26.119</v>
      </c>
      <c r="L34" s="196" cm="1">
        <f t="array" aca="1" ref="L34" ca="1">INDIRECT($AD34&amp;"!"&amp; $AE34&amp; ($AF34+L$5-2000))/$AG34</f>
        <v>25.204999999999998</v>
      </c>
      <c r="M34" s="196" cm="1">
        <f t="array" aca="1" ref="M34" ca="1">INDIRECT($AD34&amp;"!"&amp; $AE34&amp; ($AF34+M$5-2000))/$AG34</f>
        <v>25.56</v>
      </c>
      <c r="N34" s="196" cm="1">
        <f t="array" aca="1" ref="N34" ca="1">INDIRECT($AD34&amp;"!"&amp; $AE34&amp; ($AF34+N$5-2000))/$AG34</f>
        <v>24.344999999999999</v>
      </c>
      <c r="O34" s="196" cm="1">
        <f t="array" aca="1" ref="O34" ca="1">INDIRECT($AD34&amp;"!"&amp; $AE34&amp; ($AF34+O$5-2000))/$AG34</f>
        <v>24.870999999999999</v>
      </c>
      <c r="P34" s="196" cm="1">
        <f t="array" aca="1" ref="P34" ca="1">INDIRECT($AD34&amp;"!"&amp; $AE34&amp; ($AF34+P$5-2000))/$AG34</f>
        <v>26.37</v>
      </c>
      <c r="Q34" s="196" cm="1">
        <f t="array" aca="1" ref="Q34" ca="1">INDIRECT($AD34&amp;"!"&amp; $AE34&amp; ($AF34+Q$5-2000))/$AG34</f>
        <v>22.094999999999999</v>
      </c>
      <c r="R34" s="196" cm="1">
        <f t="array" aca="1" ref="R34" ca="1">INDIRECT($AD34&amp;"!"&amp; $AE34&amp; ($AF34+R$5-2000))/$AG34</f>
        <v>20.234999999999999</v>
      </c>
      <c r="S34" s="196" cm="1">
        <f t="array" aca="1" ref="S34" ca="1">INDIRECT($AD34&amp;"!"&amp; $AE34&amp; ($AF34+S$5-2000))/$AG34</f>
        <v>19.498999999999999</v>
      </c>
      <c r="T34" s="196" cm="1">
        <f t="array" aca="1" ref="T34" ca="1">INDIRECT($AD34&amp;"!"&amp; $AE34&amp; ($AF34+T$5-2000))/$AG34</f>
        <v>24.414000000000001</v>
      </c>
      <c r="U34" s="196" cm="1">
        <f t="array" aca="1" ref="U34" ca="1">INDIRECT($AD34&amp;"!"&amp; $AE34&amp; ($AF34+U$5-2000))/$AG34</f>
        <v>25.28</v>
      </c>
      <c r="V34" s="196" cm="1">
        <f t="array" aca="1" ref="V34" ca="1">INDIRECT($AD34&amp;"!"&amp; $AE34&amp; ($AF34+V$5-2000))/$AG34</f>
        <v>22.99</v>
      </c>
      <c r="W34" s="196" cm="1">
        <f t="array" aca="1" ref="W34" ca="1">INDIRECT($AD34&amp;"!"&amp; $AE34&amp; ($AF34+W$5-2000))/$AG34</f>
        <v>18.53</v>
      </c>
      <c r="X34" s="196" cm="1">
        <f t="array" aca="1" ref="X34" ca="1">INDIRECT($AD34&amp;"!"&amp; $AE34&amp; ($AF34+X$5-2000))/$AG34</f>
        <v>23.113</v>
      </c>
      <c r="Y34" s="196" cm="1">
        <f t="array" aca="1" ref="Y34" ca="1">INDIRECT($AD34&amp;"!"&amp; $AE34&amp; ($AF34+Y$5-2000))/$AG34</f>
        <v>23.334</v>
      </c>
      <c r="Z34" s="196" cm="1">
        <f t="array" aca="1" ref="Z34" ca="1">INDIRECT($AD34&amp;"!"&amp; $AE34&amp; ($AF34+Z$5-2000))/$AG34</f>
        <v>22.983000000000001</v>
      </c>
      <c r="AD34" s="194" t="s">
        <v>658</v>
      </c>
      <c r="AE34" t="s">
        <v>648</v>
      </c>
      <c r="AF34">
        <v>49</v>
      </c>
      <c r="AG34">
        <v>1000</v>
      </c>
    </row>
    <row r="35" spans="1:33">
      <c r="A35" t="s">
        <v>27</v>
      </c>
      <c r="B35" s="196">
        <f ca="1">B33-B34</f>
        <v>49.89800000000001</v>
      </c>
      <c r="C35" s="196">
        <f t="shared" ref="C35:Z35" ca="1" si="2">C33-C34</f>
        <v>50.585999999999991</v>
      </c>
      <c r="D35" s="196">
        <f t="shared" ca="1" si="2"/>
        <v>51.383999999999993</v>
      </c>
      <c r="E35" s="196">
        <f t="shared" ca="1" si="2"/>
        <v>51.862000000000009</v>
      </c>
      <c r="F35" s="196">
        <f t="shared" ca="1" si="2"/>
        <v>50.86399999999999</v>
      </c>
      <c r="G35" s="196">
        <f t="shared" ca="1" si="2"/>
        <v>44.040000000000006</v>
      </c>
      <c r="H35" s="196">
        <f t="shared" ca="1" si="2"/>
        <v>52.488</v>
      </c>
      <c r="I35" s="196">
        <f t="shared" ca="1" si="2"/>
        <v>52.688000000000009</v>
      </c>
      <c r="J35" s="196">
        <f t="shared" ca="1" si="2"/>
        <v>52.263999999999996</v>
      </c>
      <c r="K35" s="196">
        <f t="shared" ca="1" si="2"/>
        <v>52.238</v>
      </c>
      <c r="L35" s="196">
        <f t="shared" ca="1" si="2"/>
        <v>50.41</v>
      </c>
      <c r="M35" s="196">
        <f t="shared" ca="1" si="2"/>
        <v>51.11999999999999</v>
      </c>
      <c r="N35" s="196">
        <f t="shared" ca="1" si="2"/>
        <v>48.69</v>
      </c>
      <c r="O35" s="196">
        <f t="shared" ca="1" si="2"/>
        <v>49.742000000000004</v>
      </c>
      <c r="P35" s="196">
        <f t="shared" ca="1" si="2"/>
        <v>52.739999999999995</v>
      </c>
      <c r="Q35" s="196">
        <f t="shared" ca="1" si="2"/>
        <v>44.19</v>
      </c>
      <c r="R35" s="196">
        <f t="shared" ca="1" si="2"/>
        <v>40.47</v>
      </c>
      <c r="S35" s="196">
        <f t="shared" ca="1" si="2"/>
        <v>38.998000000000005</v>
      </c>
      <c r="T35" s="196">
        <f t="shared" ca="1" si="2"/>
        <v>48.828000000000003</v>
      </c>
      <c r="U35" s="196">
        <f t="shared" ca="1" si="2"/>
        <v>50.56</v>
      </c>
      <c r="V35" s="196">
        <f t="shared" ca="1" si="2"/>
        <v>45.980000000000004</v>
      </c>
      <c r="W35" s="196">
        <f t="shared" ca="1" si="2"/>
        <v>37.06</v>
      </c>
      <c r="X35" s="196">
        <f t="shared" ca="1" si="2"/>
        <v>46.225999999999999</v>
      </c>
      <c r="Y35" s="196">
        <f t="shared" ca="1" si="2"/>
        <v>46.667999999999992</v>
      </c>
      <c r="Z35" s="196">
        <f t="shared" ca="1" si="2"/>
        <v>45.965999999999994</v>
      </c>
      <c r="AD35" t="s">
        <v>923</v>
      </c>
    </row>
    <row r="36" spans="1:33">
      <c r="A36" t="s">
        <v>28</v>
      </c>
      <c r="B36" s="196" cm="1">
        <f t="array" aca="1" ref="B36" ca="1">INDIRECT($AD36&amp;"!"&amp; $AE36&amp; ($AF36+B$5-2000))/$AG36</f>
        <v>3.0000000000000001E-3</v>
      </c>
      <c r="C36" s="196" cm="1">
        <f t="array" aca="1" ref="C36" ca="1">INDIRECT($AD36&amp;"!"&amp; $AE36&amp; ($AF36+C$5-2000))/$AG36</f>
        <v>4.0000000000000001E-3</v>
      </c>
      <c r="D36" s="196" cm="1">
        <f t="array" aca="1" ref="D36" ca="1">INDIRECT($AD36&amp;"!"&amp; $AE36&amp; ($AF36+D$5-2000))/$AG36</f>
        <v>5.0000000000000001E-3</v>
      </c>
      <c r="E36" s="196" cm="1">
        <f t="array" aca="1" ref="E36" ca="1">INDIRECT($AD36&amp;"!"&amp; $AE36&amp; ($AF36+E$5-2000))/$AG36</f>
        <v>5.0000000000000001E-3</v>
      </c>
      <c r="F36" s="196" cm="1">
        <f t="array" aca="1" ref="F36" ca="1">INDIRECT($AD36&amp;"!"&amp; $AE36&amp; ($AF36+F$5-2000))/$AG36</f>
        <v>6.0000000000000001E-3</v>
      </c>
      <c r="G36" s="196" cm="1">
        <f t="array" aca="1" ref="G36" ca="1">INDIRECT($AD36&amp;"!"&amp; $AE36&amp; ($AF36+G$5-2000))/$AG36</f>
        <v>8.0000000000000002E-3</v>
      </c>
      <c r="H36" s="196" cm="1">
        <f t="array" aca="1" ref="H36" ca="1">INDIRECT($AD36&amp;"!"&amp; $AE36&amp; ($AF36+H$5-2000))/$AG36</f>
        <v>1.4999999999999999E-2</v>
      </c>
      <c r="I36" s="196" cm="1">
        <f t="array" aca="1" ref="I36" ca="1">INDIRECT($AD36&amp;"!"&amp; $AE36&amp; ($AF36+I$5-2000))/$AG36</f>
        <v>1.6E-2</v>
      </c>
      <c r="J36" s="196" cm="1">
        <f t="array" aca="1" ref="J36" ca="1">INDIRECT($AD36&amp;"!"&amp; $AE36&amp; ($AF36+J$5-2000))/$AG36</f>
        <v>1.9E-2</v>
      </c>
      <c r="K36" s="196" cm="1">
        <f t="array" aca="1" ref="K36" ca="1">INDIRECT($AD36&amp;"!"&amp; $AE36&amp; ($AF36+K$5-2000))/$AG36</f>
        <v>2.3E-2</v>
      </c>
      <c r="L36" s="196" cm="1">
        <f t="array" aca="1" ref="L36" ca="1">INDIRECT($AD36&amp;"!"&amp; $AE36&amp; ($AF36+L$5-2000))/$AG36</f>
        <v>3.6999999999999998E-2</v>
      </c>
      <c r="M36" s="196" cm="1">
        <f t="array" aca="1" ref="M36" ca="1">INDIRECT($AD36&amp;"!"&amp; $AE36&amp; ($AF36+M$5-2000))/$AG36</f>
        <v>7.0000000000000007E-2</v>
      </c>
      <c r="N36" s="196" cm="1">
        <f t="array" aca="1" ref="N36" ca="1">INDIRECT($AD36&amp;"!"&amp; $AE36&amp; ($AF36+N$5-2000))/$AG36</f>
        <v>8.7999999999999995E-2</v>
      </c>
      <c r="O36" s="196" cm="1">
        <f t="array" aca="1" ref="O36" ca="1">INDIRECT($AD36&amp;"!"&amp; $AE36&amp; ($AF36+O$5-2000))/$AG36</f>
        <v>0.09</v>
      </c>
      <c r="P36" s="196" cm="1">
        <f t="array" aca="1" ref="P36" ca="1">INDIRECT($AD36&amp;"!"&amp; $AE36&amp; ($AF36+P$5-2000))/$AG36</f>
        <v>0.10100000000000001</v>
      </c>
      <c r="Q36" s="196" cm="1">
        <f t="array" aca="1" ref="Q36" ca="1">INDIRECT($AD36&amp;"!"&amp; $AE36&amp; ($AF36+Q$5-2000))/$AG36</f>
        <v>0.11</v>
      </c>
      <c r="R36" s="196" cm="1">
        <f t="array" aca="1" ref="R36" ca="1">INDIRECT($AD36&amp;"!"&amp; $AE36&amp; ($AF36+R$5-2000))/$AG36</f>
        <v>0.109</v>
      </c>
      <c r="S36" s="196" cm="1">
        <f t="array" aca="1" ref="S36" ca="1">INDIRECT($AD36&amp;"!"&amp; $AE36&amp; ($AF36+S$5-2000))/$AG36</f>
        <v>0.13300000000000001</v>
      </c>
      <c r="T36" s="196" cm="1">
        <f t="array" aca="1" ref="T36" ca="1">INDIRECT($AD36&amp;"!"&amp; $AE36&amp; ($AF36+T$5-2000))/$AG36</f>
        <v>0.122</v>
      </c>
      <c r="U36" s="196" cm="1">
        <f t="array" aca="1" ref="U36" ca="1">INDIRECT($AD36&amp;"!"&amp; $AE36&amp; ($AF36+U$5-2000))/$AG36</f>
        <v>0.14599999999999999</v>
      </c>
      <c r="V36" s="196" cm="1">
        <f t="array" aca="1" ref="V36" ca="1">INDIRECT($AD36&amp;"!"&amp; $AE36&amp; ($AF36+V$5-2000))/$AG36</f>
        <v>0.14499999999999999</v>
      </c>
      <c r="W36" s="196" cm="1">
        <f t="array" aca="1" ref="W36" ca="1">INDIRECT($AD36&amp;"!"&amp; $AE36&amp; ($AF36+W$5-2000))/$AG36</f>
        <v>0.14499999999999999</v>
      </c>
      <c r="X36" s="196" cm="1">
        <f t="array" aca="1" ref="X36" ca="1">INDIRECT($AD36&amp;"!"&amp; $AE36&amp; ($AF36+X$5-2000))/$AG36</f>
        <v>0.15</v>
      </c>
      <c r="Y36" s="196" cm="1">
        <f t="array" aca="1" ref="Y36" ca="1">INDIRECT($AD36&amp;"!"&amp; $AE36&amp; ($AF36+Y$5-2000))/$AG36</f>
        <v>0.16900000000000001</v>
      </c>
      <c r="Z36" s="196" cm="1">
        <f t="array" aca="1" ref="Z36" ca="1">INDIRECT($AD36&amp;"!"&amp; $AE36&amp; ($AF36+Z$5-2000))/$AG36</f>
        <v>0.17100000000000001</v>
      </c>
      <c r="AD36" s="194" t="s">
        <v>658</v>
      </c>
      <c r="AE36" t="s">
        <v>656</v>
      </c>
      <c r="AF36">
        <v>49</v>
      </c>
      <c r="AG36">
        <v>1000</v>
      </c>
    </row>
    <row r="37" spans="1:33">
      <c r="A37" t="s">
        <v>29</v>
      </c>
      <c r="B37" s="196" cm="1">
        <f t="array" aca="1" ref="B37" ca="1">INDIRECT($AD37&amp;"!"&amp; $AE37&amp; ($AF37+B$5-2000))/$AG37</f>
        <v>1.0999999999999999E-2</v>
      </c>
      <c r="C37" s="196" cm="1">
        <f t="array" aca="1" ref="C37" ca="1">INDIRECT($AD37&amp;"!"&amp; $AE37&amp; ($AF37+C$5-2000))/$AG37</f>
        <v>1.2999999999999999E-2</v>
      </c>
      <c r="D37" s="196" cm="1">
        <f t="array" aca="1" ref="D37" ca="1">INDIRECT($AD37&amp;"!"&amp; $AE37&amp; ($AF37+D$5-2000))/$AG37</f>
        <v>1.4999999999999999E-2</v>
      </c>
      <c r="E37" s="196" cm="1">
        <f t="array" aca="1" ref="E37" ca="1">INDIRECT($AD37&amp;"!"&amp; $AE37&amp; ($AF37+E$5-2000))/$AG37</f>
        <v>1.7999999999999999E-2</v>
      </c>
      <c r="F37" s="196" cm="1">
        <f t="array" aca="1" ref="F37" ca="1">INDIRECT($AD37&amp;"!"&amp; $AE37&amp; ($AF37+F$5-2000))/$AG37</f>
        <v>1.7999999999999999E-2</v>
      </c>
      <c r="G37" s="196" cm="1">
        <f t="array" aca="1" ref="G37" ca="1">INDIRECT($AD37&amp;"!"&amp; $AE37&amp; ($AF37+G$5-2000))/$AG37</f>
        <v>2.1000000000000001E-2</v>
      </c>
      <c r="H37" s="196" cm="1">
        <f t="array" aca="1" ref="H37" ca="1">INDIRECT($AD37&amp;"!"&amp; $AE37&amp; ($AF37+H$5-2000))/$AG37</f>
        <v>2.4E-2</v>
      </c>
      <c r="I37" s="196" cm="1">
        <f t="array" aca="1" ref="I37" ca="1">INDIRECT($AD37&amp;"!"&amp; $AE37&amp; ($AF37+I$5-2000))/$AG37</f>
        <v>2.9000000000000001E-2</v>
      </c>
      <c r="J37" s="196" cm="1">
        <f t="array" aca="1" ref="J37" ca="1">INDIRECT($AD37&amp;"!"&amp; $AE37&amp; ($AF37+J$5-2000))/$AG37</f>
        <v>3.6999999999999998E-2</v>
      </c>
      <c r="K37" s="196" cm="1">
        <f t="array" aca="1" ref="K37" ca="1">INDIRECT($AD37&amp;"!"&amp; $AE37&amp; ($AF37+K$5-2000))/$AG37</f>
        <v>5.3999999999999999E-2</v>
      </c>
      <c r="L37" s="196" cm="1">
        <f t="array" aca="1" ref="L37" ca="1">INDIRECT($AD37&amp;"!"&amp; $AE37&amp; ($AF37+L$5-2000))/$AG37</f>
        <v>9.4E-2</v>
      </c>
      <c r="M37" s="196" cm="1">
        <f t="array" aca="1" ref="M37" ca="1">INDIRECT($AD37&amp;"!"&amp; $AE37&amp; ($AF37+M$5-2000))/$AG37</f>
        <v>0.16800000000000001</v>
      </c>
      <c r="N37" s="196" cm="1">
        <f t="array" aca="1" ref="N37" ca="1">INDIRECT($AD37&amp;"!"&amp; $AE37&amp; ($AF37+N$5-2000))/$AG37</f>
        <v>0.29899999999999999</v>
      </c>
      <c r="O37" s="196" cm="1">
        <f t="array" aca="1" ref="O37" ca="1">INDIRECT($AD37&amp;"!"&amp; $AE37&amp; ($AF37+O$5-2000))/$AG37</f>
        <v>0.5</v>
      </c>
      <c r="P37" s="196" cm="1">
        <f t="array" aca="1" ref="P37" ca="1">INDIRECT($AD37&amp;"!"&amp; $AE37&amp; ($AF37+P$5-2000))/$AG37</f>
        <v>0.84199999999999997</v>
      </c>
      <c r="Q37" s="196" cm="1">
        <f t="array" aca="1" ref="Q37" ca="1">INDIRECT($AD37&amp;"!"&amp; $AE37&amp; ($AF37+Q$5-2000))/$AG37</f>
        <v>1.119</v>
      </c>
      <c r="R37" s="196" cm="1">
        <f t="array" aca="1" ref="R37" ca="1">INDIRECT($AD37&amp;"!"&amp; $AE37&amp; ($AF37+R$5-2000))/$AG37</f>
        <v>1.3340000000000001</v>
      </c>
      <c r="S37" s="196" cm="1">
        <f t="array" aca="1" ref="S37" ca="1">INDIRECT($AD37&amp;"!"&amp; $AE37&amp; ($AF37+S$5-2000))/$AG37</f>
        <v>1.6830000000000001</v>
      </c>
      <c r="T37" s="196" cm="1">
        <f t="array" aca="1" ref="T37" ca="1">INDIRECT($AD37&amp;"!"&amp; $AE37&amp; ($AF37+T$5-2000))/$AG37</f>
        <v>1.9450000000000001</v>
      </c>
      <c r="U37" s="196" cm="1">
        <f t="array" aca="1" ref="U37" ca="1">INDIRECT($AD37&amp;"!"&amp; $AE37&amp; ($AF37+U$5-2000))/$AG37</f>
        <v>2.1779999999999999</v>
      </c>
      <c r="V37" s="196" cm="1">
        <f t="array" aca="1" ref="V37" ca="1">INDIRECT($AD37&amp;"!"&amp; $AE37&amp; ($AF37+V$5-2000))/$AG37</f>
        <v>2.6920000000000002</v>
      </c>
      <c r="W37" s="196" cm="1">
        <f t="array" aca="1" ref="W37" ca="1">INDIRECT($AD37&amp;"!"&amp; $AE37&amp; ($AF37+W$5-2000))/$AG37</f>
        <v>2.964</v>
      </c>
      <c r="X37" s="196" cm="1">
        <f t="array" aca="1" ref="X37" ca="1">INDIRECT($AD37&amp;"!"&amp; $AE37&amp; ($AF37+X$5-2000))/$AG37</f>
        <v>4.0670000000000002</v>
      </c>
      <c r="Y37" s="196" cm="1">
        <f t="array" aca="1" ref="Y37" ca="1">INDIRECT($AD37&amp;"!"&amp; $AE37&amp; ($AF37+Y$5-2000))/$AG37</f>
        <v>4.9139999999999997</v>
      </c>
      <c r="Z37" s="196" cm="1">
        <f t="array" aca="1" ref="Z37" ca="1">INDIRECT($AD37&amp;"!"&amp; $AE37&amp; ($AF37+Z$5-2000))/$AG37</f>
        <v>5.9610000000000003</v>
      </c>
      <c r="AD37" s="194" t="s">
        <v>658</v>
      </c>
      <c r="AE37" t="s">
        <v>659</v>
      </c>
      <c r="AF37">
        <v>49</v>
      </c>
      <c r="AG37">
        <v>1000</v>
      </c>
    </row>
    <row r="38" spans="1:33">
      <c r="A38" t="s">
        <v>30</v>
      </c>
      <c r="B38" s="196" cm="1">
        <f t="array" aca="1" ref="B38" ca="1">INDIRECT($AD38&amp;"!"&amp; $AE38&amp; ($AF38+B$5-2000))/$AG38</f>
        <v>24.33</v>
      </c>
      <c r="C38" s="196" cm="1">
        <f t="array" aca="1" ref="C38" ca="1">INDIRECT($AD38&amp;"!"&amp; $AE38&amp; ($AF38+C$5-2000))/$AG38</f>
        <v>24.096</v>
      </c>
      <c r="D38" s="196" cm="1">
        <f t="array" aca="1" ref="D38" ca="1">INDIRECT($AD38&amp;"!"&amp; $AE38&amp; ($AF38+D$5-2000))/$AG38</f>
        <v>27.8</v>
      </c>
      <c r="E38" s="196" cm="1">
        <f t="array" aca="1" ref="E38" ca="1">INDIRECT($AD38&amp;"!"&amp; $AE38&amp; ($AF38+E$5-2000))/$AG38</f>
        <v>30.084</v>
      </c>
      <c r="F38" s="196" cm="1">
        <f t="array" aca="1" ref="F38" ca="1">INDIRECT($AD38&amp;"!"&amp; $AE38&amp; ($AF38+F$5-2000))/$AG38</f>
        <v>27.056000000000001</v>
      </c>
      <c r="G38" s="196" cm="1">
        <f t="array" aca="1" ref="G38" ca="1">INDIRECT($AD38&amp;"!"&amp; $AE38&amp; ($AF38+G$5-2000))/$AG38</f>
        <v>38.345999999999997</v>
      </c>
      <c r="H38" s="196" cm="1">
        <f t="array" aca="1" ref="H38" ca="1">INDIRECT($AD38&amp;"!"&amp; $AE38&amp; ($AF38+H$5-2000))/$AG38</f>
        <v>33.802999999999997</v>
      </c>
      <c r="I38" s="196" cm="1">
        <f t="array" aca="1" ref="I38" ca="1">INDIRECT($AD38&amp;"!"&amp; $AE38&amp; ($AF38+I$5-2000))/$AG38</f>
        <v>34.817999999999998</v>
      </c>
      <c r="J38" s="196" cm="1">
        <f t="array" aca="1" ref="J38" ca="1">INDIRECT($AD38&amp;"!"&amp; $AE38&amp; ($AF38+J$5-2000))/$AG38</f>
        <v>31.600999999999999</v>
      </c>
      <c r="K38" s="196" cm="1">
        <f t="array" aca="1" ref="K38" ca="1">INDIRECT($AD38&amp;"!"&amp; $AE38&amp; ($AF38+K$5-2000))/$AG38</f>
        <v>31.367999999999999</v>
      </c>
      <c r="L38" s="196" cm="1">
        <f t="array" aca="1" ref="L38" ca="1">INDIRECT($AD38&amp;"!"&amp; $AE38&amp; ($AF38+L$5-2000))/$AG38</f>
        <v>33.401000000000003</v>
      </c>
      <c r="M38" s="196" cm="1">
        <f t="array" aca="1" ref="M38" ca="1">INDIRECT($AD38&amp;"!"&amp; $AE38&amp; ($AF38+M$5-2000))/$AG38</f>
        <v>34.823999999999998</v>
      </c>
      <c r="N38" s="196" cm="1">
        <f t="array" aca="1" ref="N38" ca="1">INDIRECT($AD38&amp;"!"&amp; $AE38&amp; ($AF38+N$5-2000))/$AG38</f>
        <v>31.548999999999999</v>
      </c>
      <c r="O38" s="196" cm="1">
        <f t="array" aca="1" ref="O38" ca="1">INDIRECT($AD38&amp;"!"&amp; $AE38&amp; ($AF38+O$5-2000))/$AG38</f>
        <v>29.873999999999999</v>
      </c>
      <c r="P38" s="196" cm="1">
        <f t="array" aca="1" ref="P38" ca="1">INDIRECT($AD38&amp;"!"&amp; $AE38&amp; ($AF38+P$5-2000))/$AG38</f>
        <v>28.53</v>
      </c>
      <c r="Q38" s="196" cm="1">
        <f t="array" aca="1" ref="Q38" ca="1">INDIRECT($AD38&amp;"!"&amp; $AE38&amp; ($AF38+Q$5-2000))/$AG38</f>
        <v>34.033000000000001</v>
      </c>
      <c r="R38" s="196" cm="1">
        <f t="array" aca="1" ref="R38" ca="1">INDIRECT($AD38&amp;"!"&amp; $AE38&amp; ($AF38+R$5-2000))/$AG38</f>
        <v>34.095999999999997</v>
      </c>
      <c r="S38" s="196" cm="1">
        <f t="array" aca="1" ref="S38" ca="1">INDIRECT($AD38&amp;"!"&amp; $AE38&amp; ($AF38+S$5-2000))/$AG38</f>
        <v>36.496000000000002</v>
      </c>
      <c r="T38" s="196" cm="1">
        <f t="array" aca="1" ref="T38" ca="1">INDIRECT($AD38&amp;"!"&amp; $AE38&amp; ($AF38+T$5-2000))/$AG38</f>
        <v>31.02</v>
      </c>
      <c r="U38" s="196" cm="1">
        <f t="array" aca="1" ref="U38" ca="1">INDIRECT($AD38&amp;"!"&amp; $AE38&amp; ($AF38+U$5-2000))/$AG38</f>
        <v>29.504999999999999</v>
      </c>
      <c r="V38" s="196" cm="1">
        <f t="array" aca="1" ref="V38" ca="1">INDIRECT($AD38&amp;"!"&amp; $AE38&amp; ($AF38+V$5-2000))/$AG38</f>
        <v>26.988</v>
      </c>
      <c r="W38" s="196" cm="1">
        <f t="array" aca="1" ref="W38" ca="1">INDIRECT($AD38&amp;"!"&amp; $AE38&amp; ($AF38+W$5-2000))/$AG38</f>
        <v>31.532</v>
      </c>
      <c r="X38" s="196" cm="1">
        <f t="array" aca="1" ref="X38" ca="1">INDIRECT($AD38&amp;"!"&amp; $AE38&amp; ($AF38+X$5-2000))/$AG38</f>
        <v>33.116999999999997</v>
      </c>
      <c r="Y38" s="196" cm="1">
        <f t="array" aca="1" ref="Y38" ca="1">INDIRECT($AD38&amp;"!"&amp; $AE38&amp; ($AF38+Y$5-2000))/$AG38</f>
        <v>27.462</v>
      </c>
      <c r="Z38" s="196" cm="1">
        <f t="array" aca="1" ref="Z38" ca="1">INDIRECT($AD38&amp;"!"&amp; $AE38&amp; ($AF38+Z$5-2000))/$AG38</f>
        <v>25.954999999999998</v>
      </c>
      <c r="AD38" s="194" t="s">
        <v>634</v>
      </c>
      <c r="AE38" t="s">
        <v>659</v>
      </c>
      <c r="AF38">
        <v>37</v>
      </c>
      <c r="AG38">
        <v>1000</v>
      </c>
    </row>
    <row r="40" spans="1:33">
      <c r="A40" s="1" t="s">
        <v>5</v>
      </c>
    </row>
    <row r="41" spans="1:33">
      <c r="A41" t="s">
        <v>31</v>
      </c>
      <c r="B41" s="196" cm="1">
        <f t="array" aca="1" ref="B41" ca="1">INDIRECT($AD41&amp;"!"&amp; $AE41&amp; ($AF41+B$5-2000))/$AG41</f>
        <v>47.036111111111111</v>
      </c>
      <c r="C41" s="196" cm="1">
        <f t="array" aca="1" ref="C41" ca="1">INDIRECT($AD41&amp;"!"&amp; $AE41&amp; ($AF41+C$5-2000))/$AG41</f>
        <v>45.744444444444447</v>
      </c>
      <c r="D41" s="196" cm="1">
        <f t="array" aca="1" ref="D41" ca="1">INDIRECT($AD41&amp;"!"&amp; $AE41&amp; ($AF41+D$5-2000))/$AG41</f>
        <v>44.830555555555556</v>
      </c>
      <c r="E41" s="196" cm="1">
        <f t="array" aca="1" ref="E41" ca="1">INDIRECT($AD41&amp;"!"&amp; $AE41&amp; ($AF41+E$5-2000))/$AG41</f>
        <v>44.613888888888887</v>
      </c>
      <c r="F41" s="196" cm="1">
        <f t="array" aca="1" ref="F41" ca="1">INDIRECT($AD41&amp;"!"&amp; $AE41&amp; ($AF41+F$5-2000))/$AG41</f>
        <v>43.81666666666667</v>
      </c>
      <c r="G41" s="196" cm="1">
        <f t="array" aca="1" ref="G41" ca="1">INDIRECT($AD41&amp;"!"&amp; $AE41&amp; ($AF41+G$5-2000))/$AG41</f>
        <v>42.488888888888887</v>
      </c>
      <c r="H41" s="196" cm="1">
        <f t="array" aca="1" ref="H41" ca="1">INDIRECT($AD41&amp;"!"&amp; $AE41&amp; ($AF41+H$5-2000))/$AG41</f>
        <v>41.18333333333333</v>
      </c>
      <c r="I41" s="196" cm="1">
        <f t="array" aca="1" ref="I41" ca="1">INDIRECT($AD41&amp;"!"&amp; $AE41&amp; ($AF41+I$5-2000))/$AG41</f>
        <v>40.786111111111111</v>
      </c>
      <c r="J41" s="196" cm="1">
        <f t="array" aca="1" ref="J41" ca="1">INDIRECT($AD41&amp;"!"&amp; $AE41&amp; ($AF41+J$5-2000))/$AG41</f>
        <v>39.894444444444446</v>
      </c>
      <c r="K41" s="196" cm="1">
        <f t="array" aca="1" ref="K41" ca="1">INDIRECT($AD41&amp;"!"&amp; $AE41&amp; ($AF41+K$5-2000))/$AG41</f>
        <v>38.81388888888889</v>
      </c>
      <c r="L41" s="196" cm="1">
        <f t="array" aca="1" ref="L41" ca="1">INDIRECT($AD41&amp;"!"&amp; $AE41&amp; ($AF41+L$5-2000))/$AG41</f>
        <v>37.422222222222224</v>
      </c>
      <c r="M41" s="196" cm="1">
        <f t="array" aca="1" ref="M41" ca="1">INDIRECT($AD41&amp;"!"&amp; $AE41&amp; ($AF41+M$5-2000))/$AG41</f>
        <v>35.975000000000001</v>
      </c>
      <c r="N41" s="196" cm="1">
        <f t="array" aca="1" ref="N41" ca="1">INDIRECT($AD41&amp;"!"&amp; $AE41&amp; ($AF41+N$5-2000))/$AG41</f>
        <v>34.713888888888889</v>
      </c>
      <c r="O41" s="196" cm="1">
        <f t="array" aca="1" ref="O41" ca="1">INDIRECT($AD41&amp;"!"&amp; $AE41&amp; ($AF41+O$5-2000))/$AG41</f>
        <v>33.133333333333333</v>
      </c>
      <c r="P41" s="196" cm="1">
        <f t="array" aca="1" ref="P41" ca="1">INDIRECT($AD41&amp;"!"&amp; $AE41&amp; ($AF41+P$5-2000))/$AG41</f>
        <v>31.797222222222221</v>
      </c>
      <c r="Q41" s="196" cm="1">
        <f t="array" aca="1" ref="Q41" ca="1">INDIRECT($AD41&amp;"!"&amp; $AE41&amp; ($AF41+Q$5-2000))/$AG41</f>
        <v>29.463888888888889</v>
      </c>
      <c r="R41" s="196" cm="1">
        <f t="array" aca="1" ref="R41" ca="1">INDIRECT($AD41&amp;"!"&amp; $AE41&amp; ($AF41+R$5-2000))/$AG41</f>
        <v>28.541666666666668</v>
      </c>
      <c r="S41" s="196" cm="1">
        <f t="array" aca="1" ref="S41" ca="1">INDIRECT($AD41&amp;"!"&amp; $AE41&amp; ($AF41+S$5-2000))/$AG41</f>
        <v>27.666666666666668</v>
      </c>
      <c r="T41" s="196" cm="1">
        <f t="array" aca="1" ref="T41" ca="1">INDIRECT($AD41&amp;"!"&amp; $AE41&amp; ($AF41+T$5-2000))/$AG41</f>
        <v>27.227777777777778</v>
      </c>
      <c r="U41" s="196" cm="1">
        <f t="array" aca="1" ref="U41" ca="1">INDIRECT($AD41&amp;"!"&amp; $AE41&amp; ($AF41+U$5-2000))/$AG41</f>
        <v>27.002777777777776</v>
      </c>
      <c r="V41" s="196" cm="1">
        <f t="array" aca="1" ref="V41" ca="1">INDIRECT($AD41&amp;"!"&amp; $AE41&amp; ($AF41+V$5-2000))/$AG41</f>
        <v>23.916666666666668</v>
      </c>
      <c r="W41" s="196" cm="1">
        <f t="array" aca="1" ref="W41" ca="1">INDIRECT($AD41&amp;"!"&amp; $AE41&amp; ($AF41+W$5-2000))/$AG41</f>
        <v>24.43611111111111</v>
      </c>
      <c r="X41" s="196" cm="1">
        <f t="array" aca="1" ref="X41" ca="1">INDIRECT($AD41&amp;"!"&amp; $AE41&amp; ($AF41+X$5-2000))/$AG41</f>
        <v>23.725000000000001</v>
      </c>
      <c r="Y41" s="196" cm="1">
        <f t="array" aca="1" ref="Y41" ca="1">INDIRECT($AD41&amp;"!"&amp; $AE41&amp; ($AF41+Y$5-2000))/$AG41</f>
        <v>24.530555555555555</v>
      </c>
      <c r="Z41" s="196" cm="1">
        <f t="array" aca="1" ref="Z41" ca="1">INDIRECT($AD41&amp;"!"&amp; $AE41&amp; ($AF41+Z$5-2000))/$AG41</f>
        <v>24.258333333333333</v>
      </c>
      <c r="AD41" s="194" t="s">
        <v>660</v>
      </c>
      <c r="AE41" t="s">
        <v>641</v>
      </c>
      <c r="AF41">
        <v>37</v>
      </c>
      <c r="AG41">
        <v>3600</v>
      </c>
    </row>
    <row r="42" spans="1:33">
      <c r="A42" t="s">
        <v>32</v>
      </c>
      <c r="B42" s="196" cm="1">
        <f t="array" aca="1" ref="B42" ca="1">INDIRECT($AD42&amp;"!"&amp; $AE42&amp; ($AF42+B$5-2000))/$AG42</f>
        <v>15.547222222222222</v>
      </c>
      <c r="C42" s="196" cm="1">
        <f t="array" aca="1" ref="C42" ca="1">INDIRECT($AD42&amp;"!"&amp; $AE42&amp; ($AF42+C$5-2000))/$AG42</f>
        <v>15.827777777777778</v>
      </c>
      <c r="D42" s="196" cm="1">
        <f t="array" aca="1" ref="D42" ca="1">INDIRECT($AD42&amp;"!"&amp; $AE42&amp; ($AF42+D$5-2000))/$AG42</f>
        <v>16.391666666666666</v>
      </c>
      <c r="E42" s="196" cm="1">
        <f t="array" aca="1" ref="E42" ca="1">INDIRECT($AD42&amp;"!"&amp; $AE42&amp; ($AF42+E$5-2000))/$AG42</f>
        <v>17.386111111111113</v>
      </c>
      <c r="F42" s="196" cm="1">
        <f t="array" aca="1" ref="F42" ca="1">INDIRECT($AD42&amp;"!"&amp; $AE42&amp; ($AF42+F$5-2000))/$AG42</f>
        <v>18.677777777777777</v>
      </c>
      <c r="G42" s="196" cm="1">
        <f t="array" aca="1" ref="G42" ca="1">INDIRECT($AD42&amp;"!"&amp; $AE42&amp; ($AF42+G$5-2000))/$AG42</f>
        <v>20.397222222222222</v>
      </c>
      <c r="H42" s="196" cm="1">
        <f t="array" aca="1" ref="H42" ca="1">INDIRECT($AD42&amp;"!"&amp; $AE42&amp; ($AF42+H$5-2000))/$AG42</f>
        <v>22.072222222222223</v>
      </c>
      <c r="I42" s="196" cm="1">
        <f t="array" aca="1" ref="I42" ca="1">INDIRECT($AD42&amp;"!"&amp; $AE42&amp; ($AF42+I$5-2000))/$AG42</f>
        <v>23.7</v>
      </c>
      <c r="J42" s="196" cm="1">
        <f t="array" aca="1" ref="J42" ca="1">INDIRECT($AD42&amp;"!"&amp; $AE42&amp; ($AF42+J$5-2000))/$AG42</f>
        <v>26.011111111111113</v>
      </c>
      <c r="K42" s="196" cm="1">
        <f t="array" aca="1" ref="K42" ca="1">INDIRECT($AD42&amp;"!"&amp; $AE42&amp; ($AF42+K$5-2000))/$AG42</f>
        <v>26.4</v>
      </c>
      <c r="L42" s="196" cm="1">
        <f t="array" aca="1" ref="L42" ca="1">INDIRECT($AD42&amp;"!"&amp; $AE42&amp; ($AF42+L$5-2000))/$AG42</f>
        <v>27.422222222222221</v>
      </c>
      <c r="M42" s="196" cm="1">
        <f t="array" aca="1" ref="M42" ca="1">INDIRECT($AD42&amp;"!"&amp; $AE42&amp; ($AF42+M$5-2000))/$AG42</f>
        <v>28.158333333333335</v>
      </c>
      <c r="N42" s="196" cm="1">
        <f t="array" aca="1" ref="N42" ca="1">INDIRECT($AD42&amp;"!"&amp; $AE42&amp; ($AF42+N$5-2000))/$AG42</f>
        <v>29.875</v>
      </c>
      <c r="O42" s="196" cm="1">
        <f t="array" aca="1" ref="O42" ca="1">INDIRECT($AD42&amp;"!"&amp; $AE42&amp; ($AF42+O$5-2000))/$AG42</f>
        <v>31.222222222222221</v>
      </c>
      <c r="P42" s="196" cm="1">
        <f t="array" aca="1" ref="P42" ca="1">INDIRECT($AD42&amp;"!"&amp; $AE42&amp; ($AF42+P$5-2000))/$AG42</f>
        <v>32.011111111111113</v>
      </c>
      <c r="Q42" s="196" cm="1">
        <f t="array" aca="1" ref="Q42" ca="1">INDIRECT($AD42&amp;"!"&amp; $AE42&amp; ($AF42+Q$5-2000))/$AG42</f>
        <v>31.569444444444443</v>
      </c>
      <c r="R42" s="196" cm="1">
        <f t="array" aca="1" ref="R42" ca="1">INDIRECT($AD42&amp;"!"&amp; $AE42&amp; ($AF42+R$5-2000))/$AG42</f>
        <v>31.916666666666668</v>
      </c>
      <c r="S42" s="196" cm="1">
        <f t="array" aca="1" ref="S42" ca="1">INDIRECT($AD42&amp;"!"&amp; $AE42&amp; ($AF42+S$5-2000))/$AG42</f>
        <v>31.819444444444443</v>
      </c>
      <c r="T42" s="196" cm="1">
        <f t="array" aca="1" ref="T42" ca="1">INDIRECT($AD42&amp;"!"&amp; $AE42&amp; ($AF42+T$5-2000))/$AG42</f>
        <v>32.225000000000001</v>
      </c>
      <c r="U42" s="196" cm="1">
        <f t="array" aca="1" ref="U42" ca="1">INDIRECT($AD42&amp;"!"&amp; $AE42&amp; ($AF42+U$5-2000))/$AG42</f>
        <v>32.238888888888887</v>
      </c>
      <c r="V42" s="196" cm="1">
        <f t="array" aca="1" ref="V42" ca="1">INDIRECT($AD42&amp;"!"&amp; $AE42&amp; ($AF42+V$5-2000))/$AG42</f>
        <v>30.552777777777777</v>
      </c>
      <c r="W42" s="196" cm="1">
        <f t="array" aca="1" ref="W42" ca="1">INDIRECT($AD42&amp;"!"&amp; $AE42&amp; ($AF42+W$5-2000))/$AG42</f>
        <v>30.9</v>
      </c>
      <c r="X42" s="196" cm="1">
        <f t="array" aca="1" ref="X42" ca="1">INDIRECT($AD42&amp;"!"&amp; $AE42&amp; ($AF42+X$5-2000))/$AG42</f>
        <v>30.841666666666665</v>
      </c>
      <c r="Y42" s="196" cm="1">
        <f t="array" aca="1" ref="Y42" ca="1">INDIRECT($AD42&amp;"!"&amp; $AE42&amp; ($AF42+Y$5-2000))/$AG42</f>
        <v>30.194444444444443</v>
      </c>
      <c r="Z42" s="196" cm="1">
        <f t="array" aca="1" ref="Z42" ca="1">INDIRECT($AD42&amp;"!"&amp; $AE42&amp; ($AF42+Z$5-2000))/$AG42</f>
        <v>29.324999999999999</v>
      </c>
      <c r="AD42" s="194" t="s">
        <v>660</v>
      </c>
      <c r="AE42" t="s">
        <v>648</v>
      </c>
      <c r="AF42">
        <v>37</v>
      </c>
      <c r="AG42">
        <v>3600</v>
      </c>
    </row>
    <row r="43" spans="1:33">
      <c r="A43" t="s">
        <v>33</v>
      </c>
      <c r="B43" s="196" cm="1">
        <f t="array" aca="1" ref="B43" ca="1">INDIRECT($AD43&amp;"!"&amp; $AE43&amp; ($AF43+B$5-2000))/$AG43</f>
        <v>18.908333333333335</v>
      </c>
      <c r="C43" s="196" cm="1">
        <f t="array" aca="1" ref="C43" ca="1">INDIRECT($AD43&amp;"!"&amp; $AE43&amp; ($AF43+C$5-2000))/$AG43</f>
        <v>17.838888888888889</v>
      </c>
      <c r="D43" s="196" cm="1">
        <f t="array" aca="1" ref="D43" ca="1">INDIRECT($AD43&amp;"!"&amp; $AE43&amp; ($AF43+D$5-2000))/$AG43</f>
        <v>16.502777777777776</v>
      </c>
      <c r="E43" s="196" cm="1">
        <f t="array" aca="1" ref="E43" ca="1">INDIRECT($AD43&amp;"!"&amp; $AE43&amp; ($AF43+E$5-2000))/$AG43</f>
        <v>14.847222222222221</v>
      </c>
      <c r="F43" s="196" cm="1">
        <f t="array" aca="1" ref="F43" ca="1">INDIRECT($AD43&amp;"!"&amp; $AE43&amp; ($AF43+F$5-2000))/$AG43</f>
        <v>14.013888888888889</v>
      </c>
      <c r="G43" s="196" cm="1">
        <f t="array" aca="1" ref="G43" ca="1">INDIRECT($AD43&amp;"!"&amp; $AE43&amp; ($AF43+G$5-2000))/$AG43</f>
        <v>14.197222222222223</v>
      </c>
      <c r="H43" s="196" cm="1">
        <f t="array" aca="1" ref="H43" ca="1">INDIRECT($AD43&amp;"!"&amp; $AE43&amp; ($AF43+H$5-2000))/$AG43</f>
        <v>14.883333333333333</v>
      </c>
      <c r="I43" s="196" cm="1">
        <f t="array" aca="1" ref="I43" ca="1">INDIRECT($AD43&amp;"!"&amp; $AE43&amp; ($AF43+I$5-2000))/$AG43</f>
        <v>15.883333333333333</v>
      </c>
      <c r="J43" s="196" cm="1">
        <f t="array" aca="1" ref="J43" ca="1">INDIRECT($AD43&amp;"!"&amp; $AE43&amp; ($AF43+J$5-2000))/$AG43</f>
        <v>16.988888888888887</v>
      </c>
      <c r="K43" s="196" cm="1">
        <f t="array" aca="1" ref="K43" ca="1">INDIRECT($AD43&amp;"!"&amp; $AE43&amp; ($AF43+K$5-2000))/$AG43</f>
        <v>16.3</v>
      </c>
      <c r="L43" s="196" cm="1">
        <f t="array" aca="1" ref="L43" ca="1">INDIRECT($AD43&amp;"!"&amp; $AE43&amp; ($AF43+L$5-2000))/$AG43</f>
        <v>17.119444444444444</v>
      </c>
      <c r="M43" s="196" cm="1">
        <f t="array" aca="1" ref="M43" ca="1">INDIRECT($AD43&amp;"!"&amp; $AE43&amp; ($AF43+M$5-2000))/$AG43</f>
        <v>18.252777777777776</v>
      </c>
      <c r="N43" s="196" cm="1">
        <f t="array" aca="1" ref="N43" ca="1">INDIRECT($AD43&amp;"!"&amp; $AE43&amp; ($AF43+N$5-2000))/$AG43</f>
        <v>18.702777777777779</v>
      </c>
      <c r="O43" s="196" cm="1">
        <f t="array" aca="1" ref="O43" ca="1">INDIRECT($AD43&amp;"!"&amp; $AE43&amp; ($AF43+O$5-2000))/$AG43</f>
        <v>18.911111111111111</v>
      </c>
      <c r="P43" s="196" cm="1">
        <f t="array" aca="1" ref="P43" ca="1">INDIRECT($AD43&amp;"!"&amp; $AE43&amp; ($AF43+P$5-2000))/$AG43</f>
        <v>19.044444444444444</v>
      </c>
      <c r="Q43" s="196" cm="1">
        <f t="array" aca="1" ref="Q43" ca="1">INDIRECT($AD43&amp;"!"&amp; $AE43&amp; ($AF43+Q$5-2000))/$AG43</f>
        <v>19.666666666666668</v>
      </c>
      <c r="R43" s="196" cm="1">
        <f t="array" aca="1" ref="R43" ca="1">INDIRECT($AD43&amp;"!"&amp; $AE43&amp; ($AF43+R$5-2000))/$AG43</f>
        <v>20.602777777777778</v>
      </c>
      <c r="S43" s="196" cm="1">
        <f t="array" aca="1" ref="S43" ca="1">INDIRECT($AD43&amp;"!"&amp; $AE43&amp; ($AF43+S$5-2000))/$AG43</f>
        <v>21.097222222222221</v>
      </c>
      <c r="T43" s="196" cm="1">
        <f t="array" aca="1" ref="T43" ca="1">INDIRECT($AD43&amp;"!"&amp; $AE43&amp; ($AF43+T$5-2000))/$AG43</f>
        <v>22.297222222222221</v>
      </c>
      <c r="U43" s="196" cm="1">
        <f t="array" aca="1" ref="U43" ca="1">INDIRECT($AD43&amp;"!"&amp; $AE43&amp; ($AF43+U$5-2000))/$AG43</f>
        <v>22.524999999999999</v>
      </c>
      <c r="V43" s="196" cm="1">
        <f t="array" aca="1" ref="V43" ca="1">INDIRECT($AD43&amp;"!"&amp; $AE43&amp; ($AF43+V$5-2000))/$AG43</f>
        <v>8.5083333333333329</v>
      </c>
      <c r="W43" s="196" cm="1">
        <f t="array" aca="1" ref="W43" ca="1">INDIRECT($AD43&amp;"!"&amp; $AE43&amp; ($AF43+W$5-2000))/$AG43</f>
        <v>9.4444444444444446</v>
      </c>
      <c r="X43" s="196" cm="1">
        <f t="array" aca="1" ref="X43" ca="1">INDIRECT($AD43&amp;"!"&amp; $AE43&amp; ($AF43+X$5-2000))/$AG43</f>
        <v>16.633333333333333</v>
      </c>
      <c r="Y43" s="196" cm="1">
        <f t="array" aca="1" ref="Y43" ca="1">INDIRECT($AD43&amp;"!"&amp; $AE43&amp; ($AF43+Y$5-2000))/$AG43</f>
        <v>19.788888888888888</v>
      </c>
      <c r="Z43" s="196" cm="1">
        <f t="array" aca="1" ref="Z43" ca="1">INDIRECT($AD43&amp;"!"&amp; $AE43&amp; ($AF43+Z$5-2000))/$AG43</f>
        <v>21.588888888888889</v>
      </c>
      <c r="AD43" s="194" t="s">
        <v>660</v>
      </c>
      <c r="AE43" t="s">
        <v>647</v>
      </c>
      <c r="AF43">
        <v>37</v>
      </c>
      <c r="AG43">
        <v>3600</v>
      </c>
    </row>
    <row r="45" spans="1:33">
      <c r="A45" t="s">
        <v>34</v>
      </c>
      <c r="B45" s="196">
        <f t="shared" ref="B45:Z45" ca="1" si="3">SUM(B41:B43,B68)-SUM(B46:B47)</f>
        <v>62.81666666666667</v>
      </c>
      <c r="C45" s="196">
        <f t="shared" ca="1" si="3"/>
        <v>61.802777777777777</v>
      </c>
      <c r="D45" s="196">
        <f t="shared" ca="1" si="3"/>
        <v>61.452777777777769</v>
      </c>
      <c r="E45" s="196">
        <f t="shared" ca="1" si="3"/>
        <v>62.227777777777781</v>
      </c>
      <c r="F45" s="196">
        <f t="shared" ca="1" si="3"/>
        <v>62.722222222222229</v>
      </c>
      <c r="G45" s="196">
        <f t="shared" ca="1" si="3"/>
        <v>63.1111111111111</v>
      </c>
      <c r="H45" s="196">
        <f t="shared" ca="1" si="3"/>
        <v>63.480555555555547</v>
      </c>
      <c r="I45" s="196">
        <f t="shared" ca="1" si="3"/>
        <v>64.711111111111109</v>
      </c>
      <c r="J45" s="196">
        <f t="shared" ca="1" si="3"/>
        <v>66.13055555555556</v>
      </c>
      <c r="K45" s="196">
        <f t="shared" ca="1" si="3"/>
        <v>65.436111111111103</v>
      </c>
      <c r="L45" s="196">
        <f t="shared" ca="1" si="3"/>
        <v>65.069444444444443</v>
      </c>
      <c r="M45" s="196">
        <f t="shared" ca="1" si="3"/>
        <v>64.363888888888908</v>
      </c>
      <c r="N45" s="196">
        <f t="shared" ca="1" si="3"/>
        <v>64.822222222222223</v>
      </c>
      <c r="O45" s="196">
        <f t="shared" ca="1" si="3"/>
        <v>64.597222222222229</v>
      </c>
      <c r="P45" s="196">
        <f t="shared" ca="1" si="3"/>
        <v>64.058333333333337</v>
      </c>
      <c r="Q45" s="196">
        <f t="shared" ca="1" si="3"/>
        <v>61.297222222222231</v>
      </c>
      <c r="R45" s="196">
        <f t="shared" ca="1" si="3"/>
        <v>60.738888888888894</v>
      </c>
      <c r="S45" s="196">
        <f t="shared" ca="1" si="3"/>
        <v>59.786111111111126</v>
      </c>
      <c r="T45" s="196">
        <f t="shared" ca="1" si="3"/>
        <v>59.777777777777786</v>
      </c>
      <c r="U45" s="196">
        <f t="shared" ca="1" si="3"/>
        <v>59.597222222222214</v>
      </c>
      <c r="V45" s="196">
        <f t="shared" ca="1" si="3"/>
        <v>54.852777777777774</v>
      </c>
      <c r="W45" s="196">
        <f t="shared" ca="1" si="3"/>
        <v>55.830555555555549</v>
      </c>
      <c r="X45" s="196">
        <f t="shared" ca="1" si="3"/>
        <v>55.23888888888888</v>
      </c>
      <c r="Y45" s="196">
        <f t="shared" ca="1" si="3"/>
        <v>55.583333333333336</v>
      </c>
      <c r="Z45" s="196">
        <f t="shared" ca="1" si="3"/>
        <v>54.691666666666663</v>
      </c>
      <c r="AD45" t="s">
        <v>923</v>
      </c>
    </row>
    <row r="46" spans="1:33">
      <c r="A46" t="s">
        <v>35</v>
      </c>
      <c r="B46" s="196" cm="1">
        <f t="array" aca="1" ref="B46" ca="1">INDIRECT($AD46&amp;"!"&amp; $AE46&amp; ($AF46+B$5-2000))/$AG46</f>
        <v>2.6388888888888888</v>
      </c>
      <c r="C46" s="196" cm="1">
        <f t="array" aca="1" ref="C46" ca="1">INDIRECT($AD46&amp;"!"&amp; $AE46&amp; ($AF46+C$5-2000))/$AG46</f>
        <v>2.6972222222222224</v>
      </c>
      <c r="D46" s="196" cm="1">
        <f t="array" aca="1" ref="D46" ca="1">INDIRECT($AD46&amp;"!"&amp; $AE46&amp; ($AF46+D$5-2000))/$AG46</f>
        <v>2.7972222222222221</v>
      </c>
      <c r="E46" s="196" cm="1">
        <f t="array" aca="1" ref="E46" ca="1">INDIRECT($AD46&amp;"!"&amp; $AE46&amp; ($AF46+E$5-2000))/$AG46</f>
        <v>2.9833333333333334</v>
      </c>
      <c r="F46" s="196" cm="1">
        <f t="array" aca="1" ref="F46" ca="1">INDIRECT($AD46&amp;"!"&amp; $AE46&amp; ($AF46+F$5-2000))/$AG46</f>
        <v>2.9388888888888891</v>
      </c>
      <c r="G46" s="196" cm="1">
        <f t="array" aca="1" ref="G46" ca="1">INDIRECT($AD46&amp;"!"&amp; $AE46&amp; ($AF46+G$5-2000))/$AG46</f>
        <v>2.9833333333333334</v>
      </c>
      <c r="H46" s="196" cm="1">
        <f t="array" aca="1" ref="H46" ca="1">INDIRECT($AD46&amp;"!"&amp; $AE46&amp; ($AF46+H$5-2000))/$AG46</f>
        <v>3.0916666666666668</v>
      </c>
      <c r="I46" s="196" cm="1">
        <f t="array" aca="1" ref="I46" ca="1">INDIRECT($AD46&amp;"!"&amp; $AE46&amp; ($AF46+I$5-2000))/$AG46</f>
        <v>3.0750000000000002</v>
      </c>
      <c r="J46" s="196" cm="1">
        <f t="array" aca="1" ref="J46" ca="1">INDIRECT($AD46&amp;"!"&amp; $AE46&amp; ($AF46+J$5-2000))/$AG46</f>
        <v>3.1416666666666666</v>
      </c>
      <c r="K46" s="196" cm="1">
        <f t="array" aca="1" ref="K46" ca="1">INDIRECT($AD46&amp;"!"&amp; $AE46&amp; ($AF46+K$5-2000))/$AG46</f>
        <v>3.0638888888888891</v>
      </c>
      <c r="L46" s="196" cm="1">
        <f t="array" aca="1" ref="L46" ca="1">INDIRECT($AD46&amp;"!"&amp; $AE46&amp; ($AF46+L$5-2000))/$AG46</f>
        <v>3.1638888888888888</v>
      </c>
      <c r="M46" s="196" cm="1">
        <f t="array" aca="1" ref="M46" ca="1">INDIRECT($AD46&amp;"!"&amp; $AE46&amp; ($AF46+M$5-2000))/$AG46</f>
        <v>3.0611111111111109</v>
      </c>
      <c r="N46" s="196" cm="1">
        <f t="array" aca="1" ref="N46" ca="1">INDIRECT($AD46&amp;"!"&amp; $AE46&amp; ($AF46+N$5-2000))/$AG46</f>
        <v>3.0944444444444446</v>
      </c>
      <c r="O46" s="196" cm="1">
        <f t="array" aca="1" ref="O46" ca="1">INDIRECT($AD46&amp;"!"&amp; $AE46&amp; ($AF46+O$5-2000))/$AG46</f>
        <v>3.1416666666666666</v>
      </c>
      <c r="P46" s="196" cm="1">
        <f t="array" aca="1" ref="P46" ca="1">INDIRECT($AD46&amp;"!"&amp; $AE46&amp; ($AF46+P$5-2000))/$AG46</f>
        <v>3.0694444444444446</v>
      </c>
      <c r="Q46" s="196" cm="1">
        <f t="array" aca="1" ref="Q46" ca="1">INDIRECT($AD46&amp;"!"&amp; $AE46&amp; ($AF46+Q$5-2000))/$AG46</f>
        <v>3.1361111111111111</v>
      </c>
      <c r="R46" s="196" cm="1">
        <f t="array" aca="1" ref="R46" ca="1">INDIRECT($AD46&amp;"!"&amp; $AE46&amp; ($AF46+R$5-2000))/$AG46</f>
        <v>3.2</v>
      </c>
      <c r="S46" s="196" cm="1">
        <f t="array" aca="1" ref="S46" ca="1">INDIRECT($AD46&amp;"!"&amp; $AE46&amp; ($AF46+S$5-2000))/$AG46</f>
        <v>3.15</v>
      </c>
      <c r="T46" s="196" cm="1">
        <f t="array" aca="1" ref="T46" ca="1">INDIRECT($AD46&amp;"!"&amp; $AE46&amp; ($AF46+T$5-2000))/$AG46</f>
        <v>3.088888888888889</v>
      </c>
      <c r="U46" s="196" cm="1">
        <f t="array" aca="1" ref="U46" ca="1">INDIRECT($AD46&amp;"!"&amp; $AE46&amp; ($AF46+U$5-2000))/$AG46</f>
        <v>3.0416666666666665</v>
      </c>
      <c r="V46" s="196" cm="1">
        <f t="array" aca="1" ref="V46" ca="1">INDIRECT($AD46&amp;"!"&amp; $AE46&amp; ($AF46+V$5-2000))/$AG46</f>
        <v>2.8166666666666669</v>
      </c>
      <c r="W46" s="196" cm="1">
        <f t="array" aca="1" ref="W46" ca="1">INDIRECT($AD46&amp;"!"&amp; $AE46&amp; ($AF46+W$5-2000))/$AG46</f>
        <v>2.9666666666666668</v>
      </c>
      <c r="X46" s="196" cm="1">
        <f t="array" aca="1" ref="X46" ca="1">INDIRECT($AD46&amp;"!"&amp; $AE46&amp; ($AF46+X$5-2000))/$AG46</f>
        <v>3.0305555555555554</v>
      </c>
      <c r="Y46" s="196" cm="1">
        <f t="array" aca="1" ref="Y46" ca="1">INDIRECT($AD46&amp;"!"&amp; $AE46&amp; ($AF46+Y$5-2000))/$AG46</f>
        <v>3.0222222222222221</v>
      </c>
      <c r="Z46" s="196" cm="1">
        <f t="array" aca="1" ref="Z46" ca="1">INDIRECT($AD46&amp;"!"&amp; $AE46&amp; ($AF46+Z$5-2000))/$AG46</f>
        <v>3.0777777777777779</v>
      </c>
      <c r="AD46" s="194" t="s">
        <v>660</v>
      </c>
      <c r="AE46" t="s">
        <v>661</v>
      </c>
      <c r="AF46">
        <v>37</v>
      </c>
      <c r="AG46">
        <v>3600</v>
      </c>
    </row>
    <row r="47" spans="1:33">
      <c r="A47" t="s">
        <v>36</v>
      </c>
      <c r="B47" s="196">
        <f ca="1">B43</f>
        <v>18.908333333333335</v>
      </c>
      <c r="C47" s="196">
        <f t="shared" ref="C47:Z47" ca="1" si="4">C43</f>
        <v>17.838888888888889</v>
      </c>
      <c r="D47" s="196">
        <f t="shared" ca="1" si="4"/>
        <v>16.502777777777776</v>
      </c>
      <c r="E47" s="196">
        <f t="shared" ca="1" si="4"/>
        <v>14.847222222222221</v>
      </c>
      <c r="F47" s="196">
        <f t="shared" ca="1" si="4"/>
        <v>14.013888888888889</v>
      </c>
      <c r="G47" s="196">
        <f t="shared" ca="1" si="4"/>
        <v>14.197222222222223</v>
      </c>
      <c r="H47" s="196">
        <f t="shared" ca="1" si="4"/>
        <v>14.883333333333333</v>
      </c>
      <c r="I47" s="196">
        <f t="shared" ca="1" si="4"/>
        <v>15.883333333333333</v>
      </c>
      <c r="J47" s="196">
        <f t="shared" ca="1" si="4"/>
        <v>16.988888888888887</v>
      </c>
      <c r="K47" s="196">
        <f t="shared" ca="1" si="4"/>
        <v>16.3</v>
      </c>
      <c r="L47" s="196">
        <f t="shared" ca="1" si="4"/>
        <v>17.119444444444444</v>
      </c>
      <c r="M47" s="196">
        <f t="shared" ca="1" si="4"/>
        <v>18.252777777777776</v>
      </c>
      <c r="N47" s="196">
        <f t="shared" ca="1" si="4"/>
        <v>18.702777777777779</v>
      </c>
      <c r="O47" s="196">
        <f t="shared" ca="1" si="4"/>
        <v>18.911111111111111</v>
      </c>
      <c r="P47" s="196">
        <f t="shared" ca="1" si="4"/>
        <v>19.044444444444444</v>
      </c>
      <c r="Q47" s="196">
        <f t="shared" ca="1" si="4"/>
        <v>19.666666666666668</v>
      </c>
      <c r="R47" s="196">
        <f t="shared" ca="1" si="4"/>
        <v>20.602777777777778</v>
      </c>
      <c r="S47" s="196">
        <f t="shared" ca="1" si="4"/>
        <v>21.097222222222221</v>
      </c>
      <c r="T47" s="196">
        <f t="shared" ca="1" si="4"/>
        <v>22.297222222222221</v>
      </c>
      <c r="U47" s="196">
        <f t="shared" ca="1" si="4"/>
        <v>22.524999999999999</v>
      </c>
      <c r="V47" s="196">
        <f t="shared" ca="1" si="4"/>
        <v>8.5083333333333329</v>
      </c>
      <c r="W47" s="196">
        <f t="shared" ca="1" si="4"/>
        <v>9.4444444444444446</v>
      </c>
      <c r="X47" s="196">
        <f t="shared" ca="1" si="4"/>
        <v>16.633333333333333</v>
      </c>
      <c r="Y47" s="196">
        <f t="shared" ca="1" si="4"/>
        <v>19.788888888888888</v>
      </c>
      <c r="Z47" s="196">
        <f t="shared" ca="1" si="4"/>
        <v>21.588888888888889</v>
      </c>
      <c r="AD47" t="s">
        <v>923</v>
      </c>
    </row>
    <row r="49" spans="1:33">
      <c r="A49" s="1" t="s">
        <v>6</v>
      </c>
    </row>
    <row r="50" spans="1:33">
      <c r="A50" t="s">
        <v>37</v>
      </c>
      <c r="B50" s="196">
        <f t="shared" ref="B50:Z50" ca="1" si="5">SUM(B8:B11)</f>
        <v>94.176777777777787</v>
      </c>
      <c r="C50" s="196">
        <f t="shared" ca="1" si="5"/>
        <v>100.93655555555554</v>
      </c>
      <c r="D50" s="196">
        <f t="shared" ca="1" si="5"/>
        <v>94.919333333333341</v>
      </c>
      <c r="E50" s="196">
        <f t="shared" ca="1" si="5"/>
        <v>100.00722222222223</v>
      </c>
      <c r="F50" s="196">
        <f t="shared" ca="1" si="5"/>
        <v>100.13988888888889</v>
      </c>
      <c r="G50" s="196">
        <f t="shared" ca="1" si="5"/>
        <v>101.41777777777779</v>
      </c>
      <c r="H50" s="196">
        <f t="shared" ca="1" si="5"/>
        <v>98.49122222222222</v>
      </c>
      <c r="I50" s="196">
        <f t="shared" ca="1" si="5"/>
        <v>90.0048888888889</v>
      </c>
      <c r="J50" s="196">
        <f t="shared" ca="1" si="5"/>
        <v>95.439666666666682</v>
      </c>
      <c r="K50" s="196">
        <f t="shared" ca="1" si="5"/>
        <v>92.979444444444439</v>
      </c>
      <c r="L50" s="196">
        <f t="shared" ca="1" si="5"/>
        <v>99.931777777777782</v>
      </c>
      <c r="M50" s="196">
        <f t="shared" ca="1" si="5"/>
        <v>83.62577777777777</v>
      </c>
      <c r="N50" s="196">
        <f t="shared" ca="1" si="5"/>
        <v>90.797888888888892</v>
      </c>
      <c r="O50" s="196">
        <f t="shared" ca="1" si="5"/>
        <v>95.824333333333328</v>
      </c>
      <c r="P50" s="196">
        <f t="shared" ca="1" si="5"/>
        <v>77.794222222222217</v>
      </c>
      <c r="Q50" s="196">
        <f t="shared" ca="1" si="5"/>
        <v>82.130333333333326</v>
      </c>
      <c r="R50" s="196">
        <f t="shared" ca="1" si="5"/>
        <v>85.448999999999984</v>
      </c>
      <c r="S50" s="196">
        <f t="shared" ca="1" si="5"/>
        <v>83.536888888888896</v>
      </c>
      <c r="T50" s="196">
        <f t="shared" ca="1" si="5"/>
        <v>77.610888888888894</v>
      </c>
      <c r="U50" s="196">
        <f t="shared" ca="1" si="5"/>
        <v>78.085000000000008</v>
      </c>
      <c r="V50" s="196">
        <f t="shared" ca="1" si="5"/>
        <v>73.910222222222217</v>
      </c>
      <c r="W50" s="196">
        <f t="shared" ca="1" si="5"/>
        <v>81.896777777777771</v>
      </c>
      <c r="X50" s="196">
        <f t="shared" ca="1" si="5"/>
        <v>68.323888888888888</v>
      </c>
      <c r="Y50" s="196">
        <f t="shared" ca="1" si="5"/>
        <v>66.027444444444441</v>
      </c>
      <c r="Z50" s="196">
        <f t="shared" ca="1" si="5"/>
        <v>65.538777777777781</v>
      </c>
      <c r="AD50" t="s">
        <v>923</v>
      </c>
    </row>
    <row r="51" spans="1:33">
      <c r="A51" t="s">
        <v>38</v>
      </c>
      <c r="B51" s="196" cm="1">
        <f t="array" aca="1" ref="B51" ca="1">INDIRECT($AD51&amp;"!"&amp; $AE51&amp; ($AF51+B$5-2000))/$AG51</f>
        <v>0.77900000000000003</v>
      </c>
      <c r="C51" s="196" cm="1">
        <f t="array" aca="1" ref="C51" ca="1">INDIRECT($AD51&amp;"!"&amp; $AE51&amp; ($AF51+C$5-2000))/$AG51</f>
        <v>0.82199999999999995</v>
      </c>
      <c r="D51" s="196" cm="1">
        <f t="array" aca="1" ref="D51" ca="1">INDIRECT($AD51&amp;"!"&amp; $AE51&amp; ($AF51+D$5-2000))/$AG51</f>
        <v>0.84099999999999997</v>
      </c>
      <c r="E51" s="196" cm="1">
        <f t="array" aca="1" ref="E51" ca="1">INDIRECT($AD51&amp;"!"&amp; $AE51&amp; ($AF51+E$5-2000))/$AG51</f>
        <v>0.85599999999999998</v>
      </c>
      <c r="F51" s="196" cm="1">
        <f t="array" aca="1" ref="F51" ca="1">INDIRECT($AD51&amp;"!"&amp; $AE51&amp; ($AF51+F$5-2000))/$AG51</f>
        <v>0.876</v>
      </c>
      <c r="G51" s="196" cm="1">
        <f t="array" aca="1" ref="G51" ca="1">INDIRECT($AD51&amp;"!"&amp; $AE51&amp; ($AF51+G$5-2000))/$AG51</f>
        <v>0.89600000000000002</v>
      </c>
      <c r="H51" s="196" cm="1">
        <f t="array" aca="1" ref="H51" ca="1">INDIRECT($AD51&amp;"!"&amp; $AE51&amp; ($AF51+H$5-2000))/$AG51</f>
        <v>0.89600000000000002</v>
      </c>
      <c r="I51" s="196" cm="1">
        <f t="array" aca="1" ref="I51" ca="1">INDIRECT($AD51&amp;"!"&amp; $AE51&amp; ($AF51+I$5-2000))/$AG51</f>
        <v>0.88600000000000001</v>
      </c>
      <c r="J51" s="196" cm="1">
        <f t="array" aca="1" ref="J51" ca="1">INDIRECT($AD51&amp;"!"&amp; $AE51&amp; ($AF51+J$5-2000))/$AG51</f>
        <v>0.85899999999999999</v>
      </c>
      <c r="K51" s="196" cm="1">
        <f t="array" aca="1" ref="K51" ca="1">INDIRECT($AD51&amp;"!"&amp; $AE51&amp; ($AF51+K$5-2000))/$AG51</f>
        <v>0.83499999999999996</v>
      </c>
      <c r="L51" s="196" cm="1">
        <f t="array" aca="1" ref="L51" ca="1">INDIRECT($AD51&amp;"!"&amp; $AE51&amp; ($AF51+L$5-2000))/$AG51</f>
        <v>0.80800000000000005</v>
      </c>
      <c r="M51" s="196" cm="1">
        <f t="array" aca="1" ref="M51" ca="1">INDIRECT($AD51&amp;"!"&amp; $AE51&amp; ($AF51+M$5-2000))/$AG51</f>
        <v>0.78</v>
      </c>
      <c r="N51" s="196" cm="1">
        <f t="array" aca="1" ref="N51" ca="1">INDIRECT($AD51&amp;"!"&amp; $AE51&amp; ($AF51+N$5-2000))/$AG51</f>
        <v>0.78900000000000003</v>
      </c>
      <c r="O51" s="196" cm="1">
        <f t="array" aca="1" ref="O51" ca="1">INDIRECT($AD51&amp;"!"&amp; $AE51&amp; ($AF51+O$5-2000))/$AG51</f>
        <v>0.78300000000000003</v>
      </c>
      <c r="P51" s="196" cm="1">
        <f t="array" aca="1" ref="P51" ca="1">INDIRECT($AD51&amp;"!"&amp; $AE51&amp; ($AF51+P$5-2000))/$AG51</f>
        <v>0.76200000000000001</v>
      </c>
      <c r="Q51" s="196" cm="1">
        <f t="array" aca="1" ref="Q51" ca="1">INDIRECT($AD51&amp;"!"&amp; $AE51&amp; ($AF51+Q$5-2000))/$AG51</f>
        <v>0.74299999999999999</v>
      </c>
      <c r="R51" s="196" cm="1">
        <f t="array" aca="1" ref="R51" ca="1">INDIRECT($AD51&amp;"!"&amp; $AE51&amp; ($AF51+R$5-2000))/$AG51</f>
        <v>0.74099999999999999</v>
      </c>
      <c r="S51" s="196" cm="1">
        <f t="array" aca="1" ref="S51" ca="1">INDIRECT($AD51&amp;"!"&amp; $AE51&amp; ($AF51+S$5-2000))/$AG51</f>
        <v>0.70499999999999996</v>
      </c>
      <c r="T51" s="196" cm="1">
        <f t="array" aca="1" ref="T51" ca="1">INDIRECT($AD51&amp;"!"&amp; $AE51&amp; ($AF51+T$5-2000))/$AG51</f>
        <v>0.69199999999999995</v>
      </c>
      <c r="U51" s="196" cm="1">
        <f t="array" aca="1" ref="U51" ca="1">INDIRECT($AD51&amp;"!"&amp; $AE51&amp; ($AF51+U$5-2000))/$AG51</f>
        <v>0.68899999999999995</v>
      </c>
      <c r="V51" s="196" cm="1">
        <f t="array" aca="1" ref="V51" ca="1">INDIRECT($AD51&amp;"!"&amp; $AE51&amp; ($AF51+V$5-2000))/$AG51</f>
        <v>0.71899999999999997</v>
      </c>
      <c r="W51" s="196" cm="1">
        <f t="array" aca="1" ref="W51" ca="1">INDIRECT($AD51&amp;"!"&amp; $AE51&amp; ($AF51+W$5-2000))/$AG51</f>
        <v>0.70699999999999996</v>
      </c>
      <c r="X51" s="196" cm="1">
        <f t="array" aca="1" ref="X51" ca="1">INDIRECT($AD51&amp;"!"&amp; $AE51&amp; ($AF51+X$5-2000))/$AG51</f>
        <v>0.68700000000000006</v>
      </c>
      <c r="Y51" s="196" cm="1">
        <f t="array" aca="1" ref="Y51" ca="1">INDIRECT($AD51&amp;"!"&amp; $AE51&amp; ($AF51+Y$5-2000))/$AG51</f>
        <v>0.67800000000000005</v>
      </c>
      <c r="Z51" s="196" cm="1">
        <f t="array" aca="1" ref="Z51" ca="1">INDIRECT($AD51&amp;"!"&amp; $AE51&amp; ($AF51+Z$5-2000))/$AG51</f>
        <v>0.66200000000000003</v>
      </c>
      <c r="AD51" s="194" t="s">
        <v>662</v>
      </c>
      <c r="AE51" t="s">
        <v>652</v>
      </c>
      <c r="AF51">
        <v>18</v>
      </c>
      <c r="AG51">
        <v>1000</v>
      </c>
    </row>
    <row r="52" spans="1:33">
      <c r="A52" t="s">
        <v>39</v>
      </c>
      <c r="B52" s="196" cm="1">
        <f t="array" aca="1" ref="B52" ca="1">INDIRECT($AD52&amp;"!"&amp; $AE52&amp; ($AF52+B$5-2000))/$AG52</f>
        <v>1.8160000000000001</v>
      </c>
      <c r="C52" s="196" cm="1">
        <f t="array" aca="1" ref="C52" ca="1">INDIRECT($AD52&amp;"!"&amp; $AE52&amp; ($AF52+C$5-2000))/$AG52</f>
        <v>1.966</v>
      </c>
      <c r="D52" s="196" cm="1">
        <f t="array" aca="1" ref="D52" ca="1">INDIRECT($AD52&amp;"!"&amp; $AE52&amp; ($AF52+D$5-2000))/$AG52</f>
        <v>1.9950000000000001</v>
      </c>
      <c r="E52" s="196" cm="1">
        <f t="array" aca="1" ref="E52" ca="1">INDIRECT($AD52&amp;"!"&amp; $AE52&amp; ($AF52+E$5-2000))/$AG52</f>
        <v>2.1869999999999998</v>
      </c>
      <c r="F52" s="196" cm="1">
        <f t="array" aca="1" ref="F52" ca="1">INDIRECT($AD52&amp;"!"&amp; $AE52&amp; ($AF52+F$5-2000))/$AG52</f>
        <v>2.2869999999999999</v>
      </c>
      <c r="G52" s="196" cm="1">
        <f t="array" aca="1" ref="G52" ca="1">INDIRECT($AD52&amp;"!"&amp; $AE52&amp; ($AF52+G$5-2000))/$AG52</f>
        <v>2.5289999999999999</v>
      </c>
      <c r="H52" s="196" cm="1">
        <f t="array" aca="1" ref="H52" ca="1">INDIRECT($AD52&amp;"!"&amp; $AE52&amp; ($AF52+H$5-2000))/$AG52</f>
        <v>2.6059999999999999</v>
      </c>
      <c r="I52" s="196" cm="1">
        <f t="array" aca="1" ref="I52" ca="1">INDIRECT($AD52&amp;"!"&amp; $AE52&amp; ($AF52+I$5-2000))/$AG52</f>
        <v>2.8010000000000002</v>
      </c>
      <c r="J52" s="196" cm="1">
        <f t="array" aca="1" ref="J52" ca="1">INDIRECT($AD52&amp;"!"&amp; $AE52&amp; ($AF52+J$5-2000))/$AG52</f>
        <v>3.3410000000000002</v>
      </c>
      <c r="K52" s="196" cm="1">
        <f t="array" aca="1" ref="K52" ca="1">INDIRECT($AD52&amp;"!"&amp; $AE52&amp; ($AF52+K$5-2000))/$AG52</f>
        <v>3.65</v>
      </c>
      <c r="L52" s="196" cm="1">
        <f t="array" aca="1" ref="L52" ca="1">INDIRECT($AD52&amp;"!"&amp; $AE52&amp; ($AF52+L$5-2000))/$AG52</f>
        <v>4.4359999999999999</v>
      </c>
      <c r="M52" s="196" cm="1">
        <f t="array" aca="1" ref="M52" ca="1">INDIRECT($AD52&amp;"!"&amp; $AE52&amp; ($AF52+M$5-2000))/$AG52</f>
        <v>4.2080000000000002</v>
      </c>
      <c r="N52" s="196" cm="1">
        <f t="array" aca="1" ref="N52" ca="1">INDIRECT($AD52&amp;"!"&amp; $AE52&amp; ($AF52+N$5-2000))/$AG52</f>
        <v>4.9340000000000002</v>
      </c>
      <c r="O52" s="196" cm="1">
        <f t="array" aca="1" ref="O52" ca="1">INDIRECT($AD52&amp;"!"&amp; $AE52&amp; ($AF52+O$5-2000))/$AG52</f>
        <v>5.5190000000000001</v>
      </c>
      <c r="P52" s="196" cm="1">
        <f t="array" aca="1" ref="P52" ca="1">INDIRECT($AD52&amp;"!"&amp; $AE52&amp; ($AF52+P$5-2000))/$AG52</f>
        <v>5.0469999999999997</v>
      </c>
      <c r="Q52" s="196" cm="1">
        <f t="array" aca="1" ref="Q52" ca="1">INDIRECT($AD52&amp;"!"&amp; $AE52&amp; ($AF52+Q$5-2000))/$AG52</f>
        <v>5.7720000000000002</v>
      </c>
      <c r="R52" s="196" cm="1">
        <f t="array" aca="1" ref="R52" ca="1">INDIRECT($AD52&amp;"!"&amp; $AE52&amp; ($AF52+R$5-2000))/$AG52</f>
        <v>6.391</v>
      </c>
      <c r="S52" s="196" cm="1">
        <f t="array" aca="1" ref="S52" ca="1">INDIRECT($AD52&amp;"!"&amp; $AE52&amp; ($AF52+S$5-2000))/$AG52</f>
        <v>6.665</v>
      </c>
      <c r="T52" s="196" cm="1">
        <f t="array" aca="1" ref="T52" ca="1">INDIRECT($AD52&amp;"!"&amp; $AE52&amp; ($AF52+T$5-2000))/$AG52</f>
        <v>6.5039999999999996</v>
      </c>
      <c r="U52" s="196" cm="1">
        <f t="array" aca="1" ref="U52" ca="1">INDIRECT($AD52&amp;"!"&amp; $AE52&amp; ($AF52+U$5-2000))/$AG52</f>
        <v>7.17</v>
      </c>
      <c r="V52" s="196" cm="1">
        <f t="array" aca="1" ref="V52" ca="1">INDIRECT($AD52&amp;"!"&amp; $AE52&amp; ($AF52+V$5-2000))/$AG52</f>
        <v>7.4020000000000001</v>
      </c>
      <c r="W52" s="196" cm="1">
        <f t="array" aca="1" ref="W52" ca="1">INDIRECT($AD52&amp;"!"&amp; $AE52&amp; ($AF52+W$5-2000))/$AG52</f>
        <v>8.7439999999999998</v>
      </c>
      <c r="X52" s="196" cm="1">
        <f t="array" aca="1" ref="X52" ca="1">INDIRECT($AD52&amp;"!"&amp; $AE52&amp; ($AF52+X$5-2000))/$AG52</f>
        <v>8.2530000000000001</v>
      </c>
      <c r="Y52" s="196" cm="1">
        <f t="array" aca="1" ref="Y52" ca="1">INDIRECT($AD52&amp;"!"&amp; $AE52&amp; ($AF52+Y$5-2000))/$AG52</f>
        <v>9.0250000000000004</v>
      </c>
      <c r="Z52" s="196" cm="1">
        <f t="array" aca="1" ref="Z52" ca="1">INDIRECT($AD52&amp;"!"&amp; $AE52&amp; ($AF52+Z$5-2000))/$AG52</f>
        <v>9.5980000000000008</v>
      </c>
      <c r="AD52" s="194" t="s">
        <v>646</v>
      </c>
      <c r="AE52" t="s">
        <v>655</v>
      </c>
      <c r="AF52">
        <v>18</v>
      </c>
      <c r="AG52">
        <v>1000</v>
      </c>
    </row>
    <row r="53" spans="1:33">
      <c r="A53" t="s">
        <v>40</v>
      </c>
      <c r="B53" s="196" cm="1">
        <f t="array" aca="1" ref="B53" ca="1">INDIRECT($AD53&amp;"!"&amp; $AE53&amp; ($AF53+B$5-2000))/$AG53</f>
        <v>1.5920000000000001</v>
      </c>
      <c r="C53" s="196" cm="1">
        <f t="array" aca="1" ref="C53" ca="1">INDIRECT($AD53&amp;"!"&amp; $AE53&amp; ($AF53+C$5-2000))/$AG53</f>
        <v>1.5740000000000001</v>
      </c>
      <c r="D53" s="196" cm="1">
        <f t="array" aca="1" ref="D53" ca="1">INDIRECT($AD53&amp;"!"&amp; $AE53&amp; ($AF53+D$5-2000))/$AG53</f>
        <v>1.6279999999999999</v>
      </c>
      <c r="E53" s="196" cm="1">
        <f t="array" aca="1" ref="E53" ca="1">INDIRECT($AD53&amp;"!"&amp; $AE53&amp; ($AF53+E$5-2000))/$AG53</f>
        <v>1.669</v>
      </c>
      <c r="F53" s="196" cm="1">
        <f t="array" aca="1" ref="F53" ca="1">INDIRECT($AD53&amp;"!"&amp; $AE53&amp; ($AF53+F$5-2000))/$AG53</f>
        <v>1.665</v>
      </c>
      <c r="G53" s="196" cm="1">
        <f t="array" aca="1" ref="G53" ca="1">INDIRECT($AD53&amp;"!"&amp; $AE53&amp; ($AF53+G$5-2000))/$AG53</f>
        <v>1.623</v>
      </c>
      <c r="H53" s="196" cm="1">
        <f t="array" aca="1" ref="H53" ca="1">INDIRECT($AD53&amp;"!"&amp; $AE53&amp; ($AF53+H$5-2000))/$AG53</f>
        <v>1.643</v>
      </c>
      <c r="I53" s="196" cm="1">
        <f t="array" aca="1" ref="I53" ca="1">INDIRECT($AD53&amp;"!"&amp; $AE53&amp; ($AF53+I$5-2000))/$AG53</f>
        <v>1.599</v>
      </c>
      <c r="J53" s="196" cm="1">
        <f t="array" aca="1" ref="J53" ca="1">INDIRECT($AD53&amp;"!"&amp; $AE53&amp; ($AF53+J$5-2000))/$AG53</f>
        <v>1.615</v>
      </c>
      <c r="K53" s="196" cm="1">
        <f t="array" aca="1" ref="K53" ca="1">INDIRECT($AD53&amp;"!"&amp; $AE53&amp; ($AF53+K$5-2000))/$AG53</f>
        <v>1.6870000000000001</v>
      </c>
      <c r="L53" s="196" cm="1">
        <f t="array" aca="1" ref="L53" ca="1">INDIRECT($AD53&amp;"!"&amp; $AE53&amp; ($AF53+L$5-2000))/$AG53</f>
        <v>1.982</v>
      </c>
      <c r="M53" s="196" cm="1">
        <f t="array" aca="1" ref="M53" ca="1">INDIRECT($AD53&amp;"!"&amp; $AE53&amp; ($AF53+M$5-2000))/$AG53</f>
        <v>1.96</v>
      </c>
      <c r="N53" s="196" cm="1">
        <f t="array" aca="1" ref="N53" ca="1">INDIRECT($AD53&amp;"!"&amp; $AE53&amp; ($AF53+N$5-2000))/$AG53</f>
        <v>1.972</v>
      </c>
      <c r="O53" s="196" cm="1">
        <f t="array" aca="1" ref="O53" ca="1">INDIRECT($AD53&amp;"!"&amp; $AE53&amp; ($AF53+O$5-2000))/$AG53</f>
        <v>1.8460000000000001</v>
      </c>
      <c r="P53" s="196" cm="1">
        <f t="array" aca="1" ref="P53" ca="1">INDIRECT($AD53&amp;"!"&amp; $AE53&amp; ($AF53+P$5-2000))/$AG53</f>
        <v>1.6359999999999999</v>
      </c>
      <c r="Q53" s="196" cm="1">
        <f t="array" aca="1" ref="Q53" ca="1">INDIRECT($AD53&amp;"!"&amp; $AE53&amp; ($AF53+Q$5-2000))/$AG53</f>
        <v>1.5669999999999999</v>
      </c>
      <c r="R53" s="196" cm="1">
        <f t="array" aca="1" ref="R53" ca="1">INDIRECT($AD53&amp;"!"&amp; $AE53&amp; ($AF53+R$5-2000))/$AG53</f>
        <v>1.84</v>
      </c>
      <c r="S53" s="196" cm="1">
        <f t="array" aca="1" ref="S53" ca="1">INDIRECT($AD53&amp;"!"&amp; $AE53&amp; ($AF53+S$5-2000))/$AG53</f>
        <v>1.827</v>
      </c>
      <c r="T53" s="196" cm="1">
        <f t="array" aca="1" ref="T53" ca="1">INDIRECT($AD53&amp;"!"&amp; $AE53&amp; ($AF53+T$5-2000))/$AG53</f>
        <v>1.694</v>
      </c>
      <c r="U53" s="196" cm="1">
        <f t="array" aca="1" ref="U53" ca="1">INDIRECT($AD53&amp;"!"&amp; $AE53&amp; ($AF53+U$5-2000))/$AG53</f>
        <v>1.946</v>
      </c>
      <c r="V53" s="196" cm="1">
        <f t="array" aca="1" ref="V53" ca="1">INDIRECT($AD53&amp;"!"&amp; $AE53&amp; ($AF53+V$5-2000))/$AG53</f>
        <v>1.9179999999999999</v>
      </c>
      <c r="W53" s="196" cm="1">
        <f t="array" aca="1" ref="W53" ca="1">INDIRECT($AD53&amp;"!"&amp; $AE53&amp; ($AF53+W$5-2000))/$AG53</f>
        <v>2.2000000000000002</v>
      </c>
      <c r="X53" s="196" cm="1">
        <f t="array" aca="1" ref="X53" ca="1">INDIRECT($AD53&amp;"!"&amp; $AE53&amp; ($AF53+X$5-2000))/$AG53</f>
        <v>1.786</v>
      </c>
      <c r="Y53" s="196" cm="1">
        <f t="array" aca="1" ref="Y53" ca="1">INDIRECT($AD53&amp;"!"&amp; $AE53&amp; ($AF53+Y$5-2000))/$AG53</f>
        <v>1.8660000000000001</v>
      </c>
      <c r="Z53" s="196" cm="1">
        <f t="array" aca="1" ref="Z53" ca="1">INDIRECT($AD53&amp;"!"&amp; $AE53&amp; ($AF53+Z$5-2000))/$AG53</f>
        <v>2.1480000000000001</v>
      </c>
      <c r="AD53" s="194" t="s">
        <v>640</v>
      </c>
      <c r="AE53" t="s">
        <v>659</v>
      </c>
      <c r="AF53">
        <v>4</v>
      </c>
      <c r="AG53">
        <v>1000</v>
      </c>
    </row>
    <row r="55" spans="1:33">
      <c r="A55" s="1" t="s">
        <v>7</v>
      </c>
    </row>
    <row r="56" spans="1:33">
      <c r="A56" t="s">
        <v>41</v>
      </c>
      <c r="B56" s="196">
        <f>EnVnachVerwendung!C8/3.6</f>
        <v>72.96874602951624</v>
      </c>
      <c r="C56" s="196">
        <f>EnVnachVerwendung!D8/3.6</f>
        <v>79.56851753630103</v>
      </c>
      <c r="D56" s="196">
        <f>EnVnachVerwendung!E8/3.6</f>
        <v>73.093608493480787</v>
      </c>
      <c r="E56" s="196">
        <f>EnVnachVerwendung!F8/3.6</f>
        <v>79.648086688485691</v>
      </c>
      <c r="F56" s="196">
        <f>EnVnachVerwendung!G8/3.6</f>
        <v>78.031259448795154</v>
      </c>
      <c r="G56" s="196">
        <f>EnVnachVerwendung!H8/3.6</f>
        <v>80.613399203371529</v>
      </c>
      <c r="H56" s="196">
        <f>EnVnachVerwendung!I8/3.6</f>
        <v>78.014684294372202</v>
      </c>
      <c r="I56" s="196">
        <f>EnVnachVerwendung!J8/3.6</f>
        <v>68.188249517829746</v>
      </c>
      <c r="J56" s="196">
        <f>EnVnachVerwendung!K8/3.6</f>
        <v>75.701334957905146</v>
      </c>
      <c r="K56" s="196">
        <f>EnVnachVerwendung!L8/3.6</f>
        <v>74.287126420775806</v>
      </c>
      <c r="L56" s="196">
        <f>EnVnachVerwendung!M8/3.6</f>
        <v>83.801249061514383</v>
      </c>
      <c r="M56" s="196">
        <f>EnVnachVerwendung!N8/3.6</f>
        <v>64.574502619740585</v>
      </c>
      <c r="N56" s="196">
        <f>EnVnachVerwendung!O8/3.6</f>
        <v>73.25050892579516</v>
      </c>
      <c r="O56" s="196">
        <f>EnVnachVerwendung!P8/3.6</f>
        <v>80.928494960036971</v>
      </c>
      <c r="P56" s="196">
        <f>EnVnachVerwendung!Q8/3.6</f>
        <v>60.127027543295448</v>
      </c>
      <c r="Q56" s="196">
        <f>EnVnachVerwendung!R8/3.6</f>
        <v>66.973614823492412</v>
      </c>
      <c r="R56" s="196">
        <f>EnVnachVerwendung!S8/3.6</f>
        <v>71.753341939289967</v>
      </c>
      <c r="S56" s="196">
        <f>EnVnachVerwendung!T8/3.6</f>
        <v>69.097786358945172</v>
      </c>
      <c r="T56" s="196">
        <f>EnVnachVerwendung!U8/3.6</f>
        <v>62.808748873058526</v>
      </c>
      <c r="U56" s="196">
        <f>EnVnachVerwendung!V8/3.6</f>
        <v>63.894551290374189</v>
      </c>
      <c r="V56" s="196">
        <f>EnVnachVerwendung!W8/3.6</f>
        <v>59.400696399983083</v>
      </c>
      <c r="W56" s="196">
        <f>EnVnachVerwendung!X8/3.6</f>
        <v>70.438479941722107</v>
      </c>
      <c r="X56" s="196">
        <f>EnVnachVerwendung!Y8/3.6</f>
        <v>55.82531120724483</v>
      </c>
      <c r="Y56" s="196">
        <f>EnVnachVerwendung!Z8/3.6</f>
        <v>57.50642432074055</v>
      </c>
      <c r="Z56" s="196">
        <f>EnVnachVerwendung!AA8/3.6</f>
        <v>58.764613719342222</v>
      </c>
      <c r="AD56" s="194" t="s">
        <v>834</v>
      </c>
      <c r="AE56" t="s">
        <v>924</v>
      </c>
    </row>
    <row r="57" spans="1:33">
      <c r="A57" t="s">
        <v>42</v>
      </c>
      <c r="B57" s="196">
        <f>EnVnachVerwendung!C9/3.6</f>
        <v>13.797986051432146</v>
      </c>
      <c r="C57" s="196">
        <f>EnVnachVerwendung!D9/3.6</f>
        <v>13.705986719351559</v>
      </c>
      <c r="D57" s="196">
        <f>EnVnachVerwendung!E9/3.6</f>
        <v>13.73750884024086</v>
      </c>
      <c r="E57" s="196">
        <f>EnVnachVerwendung!F9/3.6</f>
        <v>13.739529378490138</v>
      </c>
      <c r="F57" s="196">
        <f>EnVnachVerwendung!G9/3.6</f>
        <v>13.69899988559281</v>
      </c>
      <c r="G57" s="196">
        <f>EnVnachVerwendung!H9/3.6</f>
        <v>13.653097647797583</v>
      </c>
      <c r="H57" s="196">
        <f>EnVnachVerwendung!I9/3.6</f>
        <v>13.67986052545319</v>
      </c>
      <c r="I57" s="196">
        <f>EnVnachVerwendung!J9/3.6</f>
        <v>13.690744594667352</v>
      </c>
      <c r="J57" s="196">
        <f>EnVnachVerwendung!K9/3.6</f>
        <v>13.667806769738851</v>
      </c>
      <c r="K57" s="196">
        <f>EnVnachVerwendung!L9/3.6</f>
        <v>13.69378023479444</v>
      </c>
      <c r="L57" s="196">
        <f>EnVnachVerwendung!M9/3.6</f>
        <v>13.632346833811225</v>
      </c>
      <c r="M57" s="196">
        <f>EnVnachVerwendung!N9/3.6</f>
        <v>13.555833979738148</v>
      </c>
      <c r="N57" s="196">
        <f>EnVnachVerwendung!O9/3.6</f>
        <v>13.461620780641779</v>
      </c>
      <c r="O57" s="196">
        <f>EnVnachVerwendung!P9/3.6</f>
        <v>13.407485348694747</v>
      </c>
      <c r="P57" s="196">
        <f>EnVnachVerwendung!Q9/3.6</f>
        <v>13.31617039238979</v>
      </c>
      <c r="Q57" s="196">
        <f>EnVnachVerwendung!R9/3.6</f>
        <v>13.236509064270507</v>
      </c>
      <c r="R57" s="196">
        <f>EnVnachVerwendung!S9/3.6</f>
        <v>13.139732783925842</v>
      </c>
      <c r="S57" s="196">
        <f>EnVnachVerwendung!T9/3.6</f>
        <v>13.00769960987985</v>
      </c>
      <c r="T57" s="196">
        <f>EnVnachVerwendung!U9/3.6</f>
        <v>12.94874085279405</v>
      </c>
      <c r="U57" s="196">
        <f>EnVnachVerwendung!V9/3.6</f>
        <v>12.941576028484786</v>
      </c>
      <c r="V57" s="196">
        <f>EnVnachVerwendung!W9/3.6</f>
        <v>13.281426416842212</v>
      </c>
      <c r="W57" s="196">
        <f>EnVnachVerwendung!X9/3.6</f>
        <v>12.938296407300012</v>
      </c>
      <c r="X57" s="196">
        <f>EnVnachVerwendung!Y9/3.6</f>
        <v>12.818413448363515</v>
      </c>
      <c r="Y57" s="196">
        <f>EnVnachVerwendung!Z9/3.6</f>
        <v>12.554627445345218</v>
      </c>
      <c r="Z57" s="196">
        <f>EnVnachVerwendung!AA9/3.6</f>
        <v>11.845868182388099</v>
      </c>
      <c r="AD57" s="194" t="s">
        <v>834</v>
      </c>
      <c r="AE57" t="s">
        <v>924</v>
      </c>
    </row>
    <row r="58" spans="1:33">
      <c r="A58" t="s">
        <v>43</v>
      </c>
      <c r="B58" s="196">
        <f>EnVnachVerwendung!C10/3.6</f>
        <v>29.933563403637024</v>
      </c>
      <c r="C58" s="196">
        <f>EnVnachVerwendung!D10/3.6</f>
        <v>29.503716895907779</v>
      </c>
      <c r="D58" s="196">
        <f>EnVnachVerwendung!E10/3.6</f>
        <v>28.06286524162136</v>
      </c>
      <c r="E58" s="196">
        <f>EnVnachVerwendung!F10/3.6</f>
        <v>28.111753000858609</v>
      </c>
      <c r="F58" s="196">
        <f>EnVnachVerwendung!G10/3.6</f>
        <v>28.375598996111833</v>
      </c>
      <c r="G58" s="196">
        <f>EnVnachVerwendung!H10/3.6</f>
        <v>28.824892736293414</v>
      </c>
      <c r="H58" s="196">
        <f>EnVnachVerwendung!I10/3.6</f>
        <v>28.802888871561333</v>
      </c>
      <c r="I58" s="196">
        <f>EnVnachVerwendung!J10/3.6</f>
        <v>29.254617175998334</v>
      </c>
      <c r="J58" s="196">
        <f>EnVnachVerwendung!K10/3.6</f>
        <v>28.91194117326561</v>
      </c>
      <c r="K58" s="196">
        <f>EnVnachVerwendung!L10/3.6</f>
        <v>25.923810066270555</v>
      </c>
      <c r="L58" s="196">
        <f>EnVnachVerwendung!M10/3.6</f>
        <v>27.208206086353609</v>
      </c>
      <c r="M58" s="196">
        <f>EnVnachVerwendung!N10/3.6</f>
        <v>27.149423230178385</v>
      </c>
      <c r="N58" s="196">
        <f>EnVnachVerwendung!O10/3.6</f>
        <v>27.378697654302361</v>
      </c>
      <c r="O58" s="196">
        <f>EnVnachVerwendung!P10/3.6</f>
        <v>27.133245148592323</v>
      </c>
      <c r="P58" s="196">
        <f>EnVnachVerwendung!Q10/3.6</f>
        <v>26.525034925399193</v>
      </c>
      <c r="Q58" s="196">
        <f>EnVnachVerwendung!R10/3.6</f>
        <v>25.81300681877827</v>
      </c>
      <c r="R58" s="196">
        <f>EnVnachVerwendung!S10/3.6</f>
        <v>26.02443520228605</v>
      </c>
      <c r="S58" s="196">
        <f>EnVnachVerwendung!T10/3.6</f>
        <v>25.939741297539218</v>
      </c>
      <c r="T58" s="196">
        <f>EnVnachVerwendung!U10/3.6</f>
        <v>26.280224330454747</v>
      </c>
      <c r="U58" s="196">
        <f>EnVnachVerwendung!V10/3.6</f>
        <v>26.108659245913675</v>
      </c>
      <c r="V58" s="196">
        <f>EnVnachVerwendung!W10/3.6</f>
        <v>24.997218055376603</v>
      </c>
      <c r="W58" s="196">
        <f>EnVnachVerwendung!X10/3.6</f>
        <v>25.99733985267012</v>
      </c>
      <c r="X58" s="196">
        <f>EnVnachVerwendung!Y10/3.6</f>
        <v>26.030677596042011</v>
      </c>
      <c r="Y58" s="196">
        <f>EnVnachVerwendung!Z10/3.6</f>
        <v>24.687469808088498</v>
      </c>
      <c r="Z58" s="196">
        <f>EnVnachVerwendung!AA10/3.6</f>
        <v>24.895012380752167</v>
      </c>
      <c r="AD58" s="194" t="s">
        <v>834</v>
      </c>
      <c r="AE58" t="s">
        <v>924</v>
      </c>
    </row>
    <row r="60" spans="1:33">
      <c r="B60" s="196"/>
      <c r="C60" s="196"/>
      <c r="D60" s="196"/>
      <c r="E60" s="196"/>
      <c r="F60" s="196"/>
      <c r="G60" s="196"/>
      <c r="H60" s="196"/>
      <c r="I60" s="196"/>
      <c r="J60" s="196"/>
      <c r="K60" s="196"/>
      <c r="L60" s="196"/>
      <c r="M60" s="196"/>
      <c r="N60" s="196"/>
      <c r="O60" s="196"/>
      <c r="P60" s="196"/>
      <c r="Q60" s="196"/>
      <c r="R60" s="196"/>
      <c r="S60" s="196"/>
      <c r="T60" s="196"/>
      <c r="U60" s="196"/>
      <c r="V60" s="196"/>
      <c r="W60" s="196"/>
      <c r="X60" s="196"/>
      <c r="Y60" s="196"/>
      <c r="Z60" s="196"/>
    </row>
    <row r="61" spans="1:33">
      <c r="A61" s="1" t="s">
        <v>8</v>
      </c>
      <c r="B61" s="196"/>
      <c r="C61" s="196"/>
      <c r="D61" s="196"/>
      <c r="E61" s="196"/>
      <c r="F61" s="196"/>
      <c r="G61" s="196"/>
      <c r="H61" s="196"/>
      <c r="I61" s="196"/>
      <c r="J61" s="196"/>
      <c r="K61" s="196"/>
      <c r="L61" s="196"/>
      <c r="M61" s="196"/>
      <c r="N61" s="196"/>
      <c r="O61" s="196"/>
      <c r="P61" s="196"/>
      <c r="Q61" s="196"/>
      <c r="R61" s="196"/>
      <c r="S61" s="196"/>
      <c r="T61" s="196"/>
      <c r="U61" s="196"/>
      <c r="V61" s="196"/>
      <c r="W61" s="196"/>
      <c r="X61" s="196"/>
      <c r="Y61" s="196"/>
      <c r="Z61" s="196"/>
    </row>
    <row r="62" spans="1:33">
      <c r="A62" t="s">
        <v>669</v>
      </c>
      <c r="B62" s="196">
        <f>EnVnachVerwendung!C205/3.6</f>
        <v>8.7904256544931716</v>
      </c>
      <c r="C62" s="196">
        <f>EnVnachVerwendung!D205/3.6</f>
        <v>9.1320313799878843</v>
      </c>
      <c r="D62" s="196">
        <f>EnVnachVerwendung!E205/3.6</f>
        <v>9.3077484874367382</v>
      </c>
      <c r="E62" s="196">
        <f>EnVnachVerwendung!F205/3.6</f>
        <v>9.5761186820714368</v>
      </c>
      <c r="F62" s="196">
        <f>EnVnachVerwendung!G205/3.6</f>
        <v>9.7625170519901943</v>
      </c>
      <c r="G62" s="196">
        <f>EnVnachVerwendung!H205/3.6</f>
        <v>10.003370716471968</v>
      </c>
      <c r="H62" s="196">
        <f>EnVnachVerwendung!I205/3.6</f>
        <v>10.168534353681869</v>
      </c>
      <c r="I62" s="196">
        <f>EnVnachVerwendung!J205/3.6</f>
        <v>10.279220377234289</v>
      </c>
      <c r="J62" s="196">
        <f>EnVnachVerwendung!K205/3.6</f>
        <v>10.540464347738544</v>
      </c>
      <c r="K62" s="196">
        <f>EnVnachVerwendung!L205/3.6</f>
        <v>10.662252663292392</v>
      </c>
      <c r="L62" s="196">
        <f>EnVnachVerwendung!M205/3.6</f>
        <v>10.92888798058433</v>
      </c>
      <c r="M62" s="196">
        <f>EnVnachVerwendung!N205/3.6</f>
        <v>10.69828212345532</v>
      </c>
      <c r="N62" s="196">
        <f>EnVnachVerwendung!O205/3.6</f>
        <v>10.780141792506308</v>
      </c>
      <c r="O62" s="196">
        <f>EnVnachVerwendung!P205/3.6</f>
        <v>10.838238018436908</v>
      </c>
      <c r="P62" s="196">
        <f>EnVnachVerwendung!Q205/3.6</f>
        <v>10.572230926909011</v>
      </c>
      <c r="Q62" s="196">
        <f>EnVnachVerwendung!R205/3.6</f>
        <v>10.705676712387488</v>
      </c>
      <c r="R62" s="196">
        <f>EnVnachVerwendung!S205/3.6</f>
        <v>10.61856399023597</v>
      </c>
      <c r="S62" s="196">
        <f>EnVnachVerwendung!T205/3.6</f>
        <v>10.495365404529577</v>
      </c>
      <c r="T62" s="196">
        <f>EnVnachVerwendung!U205/3.6</f>
        <v>10.308950392030123</v>
      </c>
      <c r="U62" s="196">
        <f>EnVnachVerwendung!V205/3.6</f>
        <v>10.044737839392344</v>
      </c>
      <c r="V62" s="196">
        <f>EnVnachVerwendung!W205/3.6</f>
        <v>9.9651932594283466</v>
      </c>
      <c r="W62" s="196">
        <f>EnVnachVerwendung!X205/3.6</f>
        <v>9.7600116199369111</v>
      </c>
      <c r="X62" s="196">
        <f>EnVnachVerwendung!Y205/3.6</f>
        <v>9.492792043341268</v>
      </c>
      <c r="Y62" s="196">
        <f>EnVnachVerwendung!Z205/3.6</f>
        <v>9.4701838063153279</v>
      </c>
      <c r="Z62" s="196">
        <f>EnVnachVerwendung!AA205/3.6</f>
        <v>9.3127289083799525</v>
      </c>
      <c r="AD62" s="194" t="s">
        <v>834</v>
      </c>
      <c r="AE62" t="s">
        <v>924</v>
      </c>
    </row>
    <row r="63" spans="1:33">
      <c r="A63" t="s">
        <v>670</v>
      </c>
      <c r="B63" s="196">
        <f>EnVnachVerwendung!C256/3.6</f>
        <v>15.59947057573091</v>
      </c>
      <c r="C63" s="196">
        <f>EnVnachVerwendung!D256/3.6</f>
        <v>15.435913773234905</v>
      </c>
      <c r="D63" s="196">
        <f>EnVnachVerwendung!E256/3.6</f>
        <v>14.969915226585309</v>
      </c>
      <c r="E63" s="196">
        <f>EnVnachVerwendung!F256/3.6</f>
        <v>15.03496287779933</v>
      </c>
      <c r="F63" s="196">
        <f>EnVnachVerwendung!G256/3.6</f>
        <v>15.217258604170414</v>
      </c>
      <c r="G63" s="196">
        <f>EnVnachVerwendung!H256/3.6</f>
        <v>15.284013213609773</v>
      </c>
      <c r="H63" s="196">
        <f>EnVnachVerwendung!I256/3.6</f>
        <v>14.979333349503809</v>
      </c>
      <c r="I63" s="196">
        <f>EnVnachVerwendung!J256/3.6</f>
        <v>15.323159521258949</v>
      </c>
      <c r="J63" s="196">
        <f>EnVnachVerwendung!K256/3.6</f>
        <v>15.466455706647913</v>
      </c>
      <c r="K63" s="196">
        <f>EnVnachVerwendung!L256/3.6</f>
        <v>14.469314509840904</v>
      </c>
      <c r="L63" s="196">
        <f>EnVnachVerwendung!M256/3.6</f>
        <v>15.078853862668781</v>
      </c>
      <c r="M63" s="196">
        <f>EnVnachVerwendung!N256/3.6</f>
        <v>15.206470375823962</v>
      </c>
      <c r="N63" s="196">
        <f>EnVnachVerwendung!O256/3.6</f>
        <v>14.958484784885155</v>
      </c>
      <c r="O63" s="196">
        <f>EnVnachVerwendung!P256/3.6</f>
        <v>14.680797007552854</v>
      </c>
      <c r="P63" s="196">
        <f>EnVnachVerwendung!Q256/3.6</f>
        <v>14.543205123886107</v>
      </c>
      <c r="Q63" s="196">
        <f>EnVnachVerwendung!R256/3.6</f>
        <v>14.208012706482842</v>
      </c>
      <c r="R63" s="196">
        <f>EnVnachVerwendung!S256/3.6</f>
        <v>14.098290598821063</v>
      </c>
      <c r="S63" s="196">
        <f>EnVnachVerwendung!T256/3.6</f>
        <v>14.032922361061903</v>
      </c>
      <c r="T63" s="196">
        <f>EnVnachVerwendung!U256/3.6</f>
        <v>14.10808857820269</v>
      </c>
      <c r="U63" s="196">
        <f>EnVnachVerwendung!V256/3.6</f>
        <v>14.000957418114275</v>
      </c>
      <c r="V63" s="196">
        <f>EnVnachVerwendung!W256/3.6</f>
        <v>13.43617901968925</v>
      </c>
      <c r="W63" s="196">
        <f>EnVnachVerwendung!X256/3.6</f>
        <v>13.998400387730996</v>
      </c>
      <c r="X63" s="196">
        <f>EnVnachVerwendung!Y256/3.6</f>
        <v>14.011185751842692</v>
      </c>
      <c r="Y63" s="196">
        <f>EnVnachVerwendung!Z256/3.6</f>
        <v>13.409261757491389</v>
      </c>
      <c r="Z63" s="196">
        <f>EnVnachVerwendung!AA256/3.6</f>
        <v>13.156059077914666</v>
      </c>
      <c r="AD63" s="194" t="s">
        <v>834</v>
      </c>
      <c r="AE63" t="s">
        <v>924</v>
      </c>
    </row>
    <row r="64" spans="1:33">
      <c r="A64" t="s">
        <v>671</v>
      </c>
      <c r="B64" s="196">
        <f>EnVnachVerwendung!C240/3.6</f>
        <v>13.514843717221574</v>
      </c>
      <c r="C64" s="196">
        <f>EnVnachVerwendung!D240/3.6</f>
        <v>13.847556189964372</v>
      </c>
      <c r="D64" s="196">
        <f>EnVnachVerwendung!E240/3.6</f>
        <v>13.957207179288961</v>
      </c>
      <c r="E64" s="196">
        <f>EnVnachVerwendung!F240/3.6</f>
        <v>14.352899638857687</v>
      </c>
      <c r="F64" s="196">
        <f>EnVnachVerwendung!G240/3.6</f>
        <v>14.385210423973733</v>
      </c>
      <c r="G64" s="196">
        <f>EnVnachVerwendung!H240/3.6</f>
        <v>14.633826816674617</v>
      </c>
      <c r="H64" s="196">
        <f>EnVnachVerwendung!I240/3.6</f>
        <v>14.879243829032671</v>
      </c>
      <c r="I64" s="196">
        <f>EnVnachVerwendung!J240/3.6</f>
        <v>14.989200399575523</v>
      </c>
      <c r="J64" s="196">
        <f>EnVnachVerwendung!K240/3.6</f>
        <v>15.391224811575926</v>
      </c>
      <c r="K64" s="196">
        <f>EnVnachVerwendung!L240/3.6</f>
        <v>15.533759718294977</v>
      </c>
      <c r="L64" s="196">
        <f>EnVnachVerwendung!M240/3.6</f>
        <v>15.923880751169586</v>
      </c>
      <c r="M64" s="196">
        <f>EnVnachVerwendung!N240/3.6</f>
        <v>15.735593242301203</v>
      </c>
      <c r="N64" s="196">
        <f>EnVnachVerwendung!O240/3.6</f>
        <v>15.757068300761816</v>
      </c>
      <c r="O64" s="196">
        <f>EnVnachVerwendung!P240/3.6</f>
        <v>15.768168307675808</v>
      </c>
      <c r="P64" s="196">
        <f>EnVnachVerwendung!Q240/3.6</f>
        <v>15.46005282495365</v>
      </c>
      <c r="Q64" s="196">
        <f>EnVnachVerwendung!R240/3.6</f>
        <v>15.679199501546538</v>
      </c>
      <c r="R64" s="196">
        <f>EnVnachVerwendung!S240/3.6</f>
        <v>15.444428983321702</v>
      </c>
      <c r="S64" s="196">
        <f>EnVnachVerwendung!T240/3.6</f>
        <v>15.297224971103477</v>
      </c>
      <c r="T64" s="196">
        <f>EnVnachVerwendung!U240/3.6</f>
        <v>15.207928777315283</v>
      </c>
      <c r="U64" s="196">
        <f>EnVnachVerwendung!V240/3.6</f>
        <v>15.153028019980718</v>
      </c>
      <c r="V64" s="196">
        <f>EnVnachVerwendung!W240/3.6</f>
        <v>14.450915402113141</v>
      </c>
      <c r="W64" s="196">
        <f>EnVnachVerwendung!X240/3.6</f>
        <v>14.524258527417873</v>
      </c>
      <c r="X64" s="196">
        <f>EnVnachVerwendung!Y240/3.6</f>
        <v>14.369997142955915</v>
      </c>
      <c r="Y64" s="196">
        <f>EnVnachVerwendung!Z240/3.6</f>
        <v>14.244454844892008</v>
      </c>
      <c r="Z64" s="196">
        <f>EnVnachVerwendung!AA240/3.6</f>
        <v>14.741434863600166</v>
      </c>
      <c r="AD64" s="194" t="s">
        <v>834</v>
      </c>
      <c r="AE64" t="s">
        <v>924</v>
      </c>
    </row>
    <row r="65" spans="1:33">
      <c r="A65" t="s">
        <v>44</v>
      </c>
      <c r="B65" s="196" cm="1">
        <f t="array" aca="1" ref="B65" ca="1">INDIRECT($AD65&amp;"!"&amp; $AE65&amp; ($AF65+B$5-2000))/$AG65</f>
        <v>5.9055555555555559</v>
      </c>
      <c r="C65" s="196" cm="1">
        <f t="array" aca="1" ref="C65" ca="1">INDIRECT($AD65&amp;"!"&amp; $AE65&amp; ($AF65+C$5-2000))/$AG65</f>
        <v>5.9833333333333334</v>
      </c>
      <c r="D65" s="196" cm="1">
        <f t="array" aca="1" ref="D65" ca="1">INDIRECT($AD65&amp;"!"&amp; $AE65&amp; ($AF65+D$5-2000))/$AG65</f>
        <v>6.4749999999999996</v>
      </c>
      <c r="E65" s="196" cm="1">
        <f t="array" aca="1" ref="E65" ca="1">INDIRECT($AD65&amp;"!"&amp; $AE65&amp; ($AF65+E$5-2000))/$AG65</f>
        <v>7.0305555555555559</v>
      </c>
      <c r="F65" s="196" cm="1">
        <f t="array" aca="1" ref="F65" ca="1">INDIRECT($AD65&amp;"!"&amp; $AE65&amp; ($AF65+F$5-2000))/$AG65</f>
        <v>6.6472222222222221</v>
      </c>
      <c r="G65" s="196" cm="1">
        <f t="array" aca="1" ref="G65" ca="1">INDIRECT($AD65&amp;"!"&amp; $AE65&amp; ($AF65+G$5-2000))/$AG65</f>
        <v>6.9361111111111109</v>
      </c>
      <c r="H65" s="196" cm="1">
        <f t="array" aca="1" ref="H65" ca="1">INDIRECT($AD65&amp;"!"&amp; $AE65&amp; ($AF65+H$5-2000))/$AG65</f>
        <v>7.0611111111111109</v>
      </c>
      <c r="I65" s="196" cm="1">
        <f t="array" aca="1" ref="I65" ca="1">INDIRECT($AD65&amp;"!"&amp; $AE65&amp; ($AF65+I$5-2000))/$AG65</f>
        <v>6.4194444444444443</v>
      </c>
      <c r="J65" s="196" cm="1">
        <f t="array" aca="1" ref="J65" ca="1">INDIRECT($AD65&amp;"!"&amp; $AE65&amp; ($AF65+J$5-2000))/$AG65</f>
        <v>7.1027777777777779</v>
      </c>
      <c r="K65" s="196" cm="1">
        <f t="array" aca="1" ref="K65" ca="1">INDIRECT($AD65&amp;"!"&amp; $AE65&amp; ($AF65+K$5-2000))/$AG65</f>
        <v>6.8416666666666668</v>
      </c>
      <c r="L65" s="196" cm="1">
        <f t="array" aca="1" ref="L65" ca="1">INDIRECT($AD65&amp;"!"&amp; $AE65&amp; ($AF65+L$5-2000))/$AG65</f>
        <v>6.9861111111111107</v>
      </c>
      <c r="M65" s="196" cm="1">
        <f t="array" aca="1" ref="M65" ca="1">INDIRECT($AD65&amp;"!"&amp; $AE65&amp; ($AF65+M$5-2000))/$AG65</f>
        <v>6.8694444444444445</v>
      </c>
      <c r="N65" s="196" cm="1">
        <f t="array" aca="1" ref="N65" ca="1">INDIRECT($AD65&amp;"!"&amp; $AE65&amp; ($AF65+N$5-2000))/$AG65</f>
        <v>6.8472222222222223</v>
      </c>
      <c r="O65" s="196" cm="1">
        <f t="array" aca="1" ref="O65" ca="1">INDIRECT($AD65&amp;"!"&amp; $AE65&amp; ($AF65+O$5-2000))/$AG65</f>
        <v>6.5944444444444441</v>
      </c>
      <c r="P65" s="196" cm="1">
        <f t="array" aca="1" ref="P65" ca="1">INDIRECT($AD65&amp;"!"&amp; $AE65&amp; ($AF65+P$5-2000))/$AG65</f>
        <v>6.6749999999999998</v>
      </c>
      <c r="Q65" s="196" cm="1">
        <f t="array" aca="1" ref="Q65" ca="1">INDIRECT($AD65&amp;"!"&amp; $AE65&amp; ($AF65+Q$5-2000))/$AG65</f>
        <v>6.677777777777778</v>
      </c>
      <c r="R65" s="196" cm="1">
        <f t="array" aca="1" ref="R65" ca="1">INDIRECT($AD65&amp;"!"&amp; $AE65&amp; ($AF65+R$5-2000))/$AG65</f>
        <v>7.302777777777778</v>
      </c>
      <c r="S65" s="196" cm="1">
        <f t="array" aca="1" ref="S65" ca="1">INDIRECT($AD65&amp;"!"&amp; $AE65&amp; ($AF65+S$5-2000))/$AG65</f>
        <v>8.5527777777777771</v>
      </c>
      <c r="T65" s="196" cm="1">
        <f t="array" aca="1" ref="T65" ca="1">INDIRECT($AD65&amp;"!"&amp; $AE65&amp; ($AF65+T$5-2000))/$AG65</f>
        <v>8.3222222222222229</v>
      </c>
      <c r="U65" s="196" cm="1">
        <f t="array" aca="1" ref="U65" ca="1">INDIRECT($AD65&amp;"!"&amp; $AE65&amp; ($AF65+U$5-2000))/$AG65</f>
        <v>8.4388888888888882</v>
      </c>
      <c r="V65" s="196" cm="1">
        <f t="array" aca="1" ref="V65" ca="1">INDIRECT($AD65&amp;"!"&amp; $AE65&amp; ($AF65+V$5-2000))/$AG65</f>
        <v>8.6750000000000007</v>
      </c>
      <c r="W65" s="196" cm="1">
        <f t="array" aca="1" ref="W65" ca="1">INDIRECT($AD65&amp;"!"&amp; $AE65&amp; ($AF65+W$5-2000))/$AG65</f>
        <v>8.5694444444444446</v>
      </c>
      <c r="X65" s="196" cm="1">
        <f t="array" aca="1" ref="X65" ca="1">INDIRECT($AD65&amp;"!"&amp; $AE65&amp; ($AF65+X$5-2000))/$AG65</f>
        <v>9.9277777777777771</v>
      </c>
      <c r="Y65" s="196" cm="1">
        <f t="array" aca="1" ref="Y65" ca="1">INDIRECT($AD65&amp;"!"&amp; $AE65&amp; ($AF65+Y$5-2000))/$AG65</f>
        <v>9.6388888888888893</v>
      </c>
      <c r="Z65" s="196" cm="1">
        <f t="array" aca="1" ref="Z65" ca="1">INDIRECT($AD65&amp;"!"&amp; $AE65&amp; ($AF65+Z$5-2000))/$AG65</f>
        <v>9.1444444444444439</v>
      </c>
      <c r="AD65" s="194" t="s">
        <v>836</v>
      </c>
      <c r="AE65" t="s">
        <v>641</v>
      </c>
      <c r="AF65">
        <v>31</v>
      </c>
      <c r="AG65">
        <v>3600</v>
      </c>
    </row>
    <row r="66" spans="1:33">
      <c r="A66" t="s">
        <v>45</v>
      </c>
      <c r="B66" s="196" cm="1">
        <f t="array" aca="1" ref="B66" ca="1">INDIRECT($AD66&amp;"!"&amp; $AE66&amp; ($AF66+B$5-2000))/$AG66</f>
        <v>0.63200000000000001</v>
      </c>
      <c r="C66" s="196" cm="1">
        <f t="array" aca="1" ref="C66" ca="1">INDIRECT($AD66&amp;"!"&amp; $AE66&amp; ($AF66+C$5-2000))/$AG66</f>
        <v>0.67900000000000005</v>
      </c>
      <c r="D66" s="196" cm="1">
        <f t="array" aca="1" ref="D66" ca="1">INDIRECT($AD66&amp;"!"&amp; $AE66&amp; ($AF66+D$5-2000))/$AG66</f>
        <v>0.67900000000000005</v>
      </c>
      <c r="E66" s="196" cm="1">
        <f t="array" aca="1" ref="E66" ca="1">INDIRECT($AD66&amp;"!"&amp; $AE66&amp; ($AF66+E$5-2000))/$AG66</f>
        <v>0.74099999999999999</v>
      </c>
      <c r="F66" s="196" cm="1">
        <f t="array" aca="1" ref="F66" ca="1">INDIRECT($AD66&amp;"!"&amp; $AE66&amp; ($AF66+F$5-2000))/$AG66</f>
        <v>0.76900000000000002</v>
      </c>
      <c r="G66" s="196" cm="1">
        <f t="array" aca="1" ref="G66" ca="1">INDIRECT($AD66&amp;"!"&amp; $AE66&amp; ($AF66+G$5-2000))/$AG66</f>
        <v>0.84799999999999998</v>
      </c>
      <c r="H66" s="196" cm="1">
        <f t="array" aca="1" ref="H66" ca="1">INDIRECT($AD66&amp;"!"&amp; $AE66&amp; ($AF66+H$5-2000))/$AG66</f>
        <v>0.85899999999999999</v>
      </c>
      <c r="I66" s="196" cm="1">
        <f t="array" aca="1" ref="I66" ca="1">INDIRECT($AD66&amp;"!"&amp; $AE66&amp; ($AF66+I$5-2000))/$AG66</f>
        <v>0.91100000000000003</v>
      </c>
      <c r="J66" s="196" cm="1">
        <f t="array" aca="1" ref="J66" ca="1">INDIRECT($AD66&amp;"!"&amp; $AE66&amp; ($AF66+J$5-2000))/$AG66</f>
        <v>1.085</v>
      </c>
      <c r="K66" s="196" cm="1">
        <f t="array" aca="1" ref="K66" ca="1">INDIRECT($AD66&amp;"!"&amp; $AE66&amp; ($AF66+K$5-2000))/$AG66</f>
        <v>1.169</v>
      </c>
      <c r="L66" s="196" cm="1">
        <f t="array" aca="1" ref="L66" ca="1">INDIRECT($AD66&amp;"!"&amp; $AE66&amp; ($AF66+L$5-2000))/$AG66</f>
        <v>1.427</v>
      </c>
      <c r="M66" s="196" cm="1">
        <f t="array" aca="1" ref="M66" ca="1">INDIRECT($AD66&amp;"!"&amp; $AE66&amp; ($AF66+M$5-2000))/$AG66</f>
        <v>1.3169999999999999</v>
      </c>
      <c r="N66" s="196" cm="1">
        <f t="array" aca="1" ref="N66" ca="1">INDIRECT($AD66&amp;"!"&amp; $AE66&amp; ($AF66+N$5-2000))/$AG66</f>
        <v>1.552</v>
      </c>
      <c r="O66" s="196" cm="1">
        <f t="array" aca="1" ref="O66" ca="1">INDIRECT($AD66&amp;"!"&amp; $AE66&amp; ($AF66+O$5-2000))/$AG66</f>
        <v>1.738</v>
      </c>
      <c r="P66" s="196" cm="1">
        <f t="array" aca="1" ref="P66" ca="1">INDIRECT($AD66&amp;"!"&amp; $AE66&amp; ($AF66+P$5-2000))/$AG66</f>
        <v>1.5469999999999999</v>
      </c>
      <c r="Q66" s="196" cm="1">
        <f t="array" aca="1" ref="Q66" ca="1">INDIRECT($AD66&amp;"!"&amp; $AE66&amp; ($AF66+Q$5-2000))/$AG66</f>
        <v>1.7769999999999999</v>
      </c>
      <c r="R66" s="196" cm="1">
        <f t="array" aca="1" ref="R66" ca="1">INDIRECT($AD66&amp;"!"&amp; $AE66&amp; ($AF66+R$5-2000))/$AG66</f>
        <v>1.972</v>
      </c>
      <c r="S66" s="196" cm="1">
        <f t="array" aca="1" ref="S66" ca="1">INDIRECT($AD66&amp;"!"&amp; $AE66&amp; ($AF66+S$5-2000))/$AG66</f>
        <v>2.0449999999999999</v>
      </c>
      <c r="T66" s="196" cm="1">
        <f t="array" aca="1" ref="T66" ca="1">INDIRECT($AD66&amp;"!"&amp; $AE66&amp; ($AF66+T$5-2000))/$AG66</f>
        <v>1.9670000000000001</v>
      </c>
      <c r="U66" s="196" cm="1">
        <f t="array" aca="1" ref="U66" ca="1">INDIRECT($AD66&amp;"!"&amp; $AE66&amp; ($AF66+U$5-2000))/$AG66</f>
        <v>2.17</v>
      </c>
      <c r="V66" s="196" cm="1">
        <f t="array" aca="1" ref="V66" ca="1">INDIRECT($AD66&amp;"!"&amp; $AE66&amp; ($AF66+V$5-2000))/$AG66</f>
        <v>2.2200000000000002</v>
      </c>
      <c r="W66" s="196" cm="1">
        <f t="array" aca="1" ref="W66" ca="1">INDIRECT($AD66&amp;"!"&amp; $AE66&amp; ($AF66+W$5-2000))/$AG66</f>
        <v>2.6429999999999998</v>
      </c>
      <c r="X66" s="196" cm="1">
        <f t="array" aca="1" ref="X66" ca="1">INDIRECT($AD66&amp;"!"&amp; $AE66&amp; ($AF66+X$5-2000))/$AG66</f>
        <v>2.4369999999999998</v>
      </c>
      <c r="Y66" s="196" cm="1">
        <f t="array" aca="1" ref="Y66" ca="1">INDIRECT($AD66&amp;"!"&amp; $AE66&amp; ($AF66+Y$5-2000))/$AG66</f>
        <v>2.6509999999999998</v>
      </c>
      <c r="Z66" s="196" cm="1">
        <f t="array" aca="1" ref="Z66" ca="1">INDIRECT($AD66&amp;"!"&amp; $AE66&amp; ($AF66+Z$5-2000))/$AG66</f>
        <v>2.8029999999999999</v>
      </c>
      <c r="AD66" s="194" t="s">
        <v>646</v>
      </c>
      <c r="AE66" t="s">
        <v>648</v>
      </c>
      <c r="AF66">
        <v>18</v>
      </c>
      <c r="AG66">
        <v>1000</v>
      </c>
    </row>
    <row r="67" spans="1:33">
      <c r="A67" t="s">
        <v>46</v>
      </c>
      <c r="B67" s="196">
        <f>EnVnachVerwendung!C23/3.6</f>
        <v>13.194424031256521</v>
      </c>
      <c r="C67" s="196">
        <f>EnVnachVerwendung!D23/3.6</f>
        <v>13.474027535378619</v>
      </c>
      <c r="D67" s="196">
        <f>EnVnachVerwendung!E23/3.6</f>
        <v>13.087712882076339</v>
      </c>
      <c r="E67" s="196">
        <f>EnVnachVerwendung!F23/3.6</f>
        <v>13.370856456879414</v>
      </c>
      <c r="F67" s="196">
        <f>EnVnachVerwendung!G23/3.6</f>
        <v>13.459764139747094</v>
      </c>
      <c r="G67" s="196">
        <f>EnVnachVerwendung!H23/3.6</f>
        <v>13.737488551724125</v>
      </c>
      <c r="H67" s="196">
        <f>EnVnachVerwendung!I23/3.6</f>
        <v>13.805701374606151</v>
      </c>
      <c r="I67" s="196">
        <f>EnVnachVerwendung!J23/3.6</f>
        <v>13.666656260095957</v>
      </c>
      <c r="J67" s="196">
        <f>EnVnachVerwendung!K23/3.6</f>
        <v>14.161653255749469</v>
      </c>
      <c r="K67" s="196">
        <f>EnVnachVerwendung!L23/3.6</f>
        <v>13.70195995104933</v>
      </c>
      <c r="L67" s="196">
        <f>EnVnachVerwendung!M23/3.6</f>
        <v>14.486608722658826</v>
      </c>
      <c r="M67" s="196">
        <f>EnVnachVerwendung!N23/3.6</f>
        <v>13.777299674736469</v>
      </c>
      <c r="N67" s="196">
        <f>EnVnachVerwendung!O23/3.6</f>
        <v>14.183821205783715</v>
      </c>
      <c r="O67" s="196">
        <f>EnVnachVerwendung!P23/3.6</f>
        <v>14.494280176448079</v>
      </c>
      <c r="P67" s="196">
        <f>EnVnachVerwendung!Q23/3.6</f>
        <v>13.623094518506942</v>
      </c>
      <c r="Q67" s="196">
        <f>EnVnachVerwendung!R23/3.6</f>
        <v>13.73074960272101</v>
      </c>
      <c r="R67" s="196">
        <f>EnVnachVerwendung!S23/3.6</f>
        <v>14.021948660906322</v>
      </c>
      <c r="S67" s="196">
        <f>EnVnachVerwendung!T23/3.6</f>
        <v>13.874053368650799</v>
      </c>
      <c r="T67" s="196">
        <f>EnVnachVerwendung!U23/3.6</f>
        <v>13.847232323697035</v>
      </c>
      <c r="U67" s="196">
        <f>EnVnachVerwendung!V23/3.6</f>
        <v>13.932947383413225</v>
      </c>
      <c r="V67" s="196">
        <f>EnVnachVerwendung!W23/3.6</f>
        <v>13.549851146272085</v>
      </c>
      <c r="W67" s="196">
        <f>EnVnachVerwendung!X23/3.6</f>
        <v>14.100329175985093</v>
      </c>
      <c r="X67" s="196">
        <f>EnVnachVerwendung!Y23/3.6</f>
        <v>13.64462608396982</v>
      </c>
      <c r="Y67" s="196">
        <f>EnVnachVerwendung!Z23/3.6</f>
        <v>13.458122071772722</v>
      </c>
      <c r="Z67" s="196">
        <f>EnVnachVerwendung!AA23/3.6</f>
        <v>10.065838140194149</v>
      </c>
      <c r="AD67" s="194" t="s">
        <v>834</v>
      </c>
      <c r="AE67" t="s">
        <v>924</v>
      </c>
    </row>
    <row r="68" spans="1:33">
      <c r="A68" t="s">
        <v>47</v>
      </c>
      <c r="B68" s="196" cm="1">
        <f t="array" aca="1" ref="B68" ca="1">INDIRECT($AD68&amp;"!"&amp; $AE68&amp; ($AF68+B$5-2000))/$AG68</f>
        <v>2.8722222222222222</v>
      </c>
      <c r="C68" s="196" cm="1">
        <f t="array" aca="1" ref="C68" ca="1">INDIRECT($AD68&amp;"!"&amp; $AE68&amp; ($AF68+C$5-2000))/$AG68</f>
        <v>2.9277777777777776</v>
      </c>
      <c r="D68" s="196" cm="1">
        <f t="array" aca="1" ref="D68" ca="1">INDIRECT($AD68&amp;"!"&amp; $AE68&amp; ($AF68+D$5-2000))/$AG68</f>
        <v>3.0277777777777777</v>
      </c>
      <c r="E68" s="196" cm="1">
        <f t="array" aca="1" ref="E68" ca="1">INDIRECT($AD68&amp;"!"&amp; $AE68&amp; ($AF68+E$5-2000))/$AG68</f>
        <v>3.2111111111111112</v>
      </c>
      <c r="F68" s="196" cm="1">
        <f t="array" aca="1" ref="F68" ca="1">INDIRECT($AD68&amp;"!"&amp; $AE68&amp; ($AF68+F$5-2000))/$AG68</f>
        <v>3.1666666666666665</v>
      </c>
      <c r="G68" s="196" cm="1">
        <f t="array" aca="1" ref="G68" ca="1">INDIRECT($AD68&amp;"!"&amp; $AE68&amp; ($AF68+G$5-2000))/$AG68</f>
        <v>3.2083333333333335</v>
      </c>
      <c r="H68" s="196" cm="1">
        <f t="array" aca="1" ref="H68" ca="1">INDIRECT($AD68&amp;"!"&amp; $AE68&amp; ($AF68+H$5-2000))/$AG68</f>
        <v>3.3166666666666669</v>
      </c>
      <c r="I68" s="196" cm="1">
        <f t="array" aca="1" ref="I68" ca="1">INDIRECT($AD68&amp;"!"&amp; $AE68&amp; ($AF68+I$5-2000))/$AG68</f>
        <v>3.3</v>
      </c>
      <c r="J68" s="196" cm="1">
        <f t="array" aca="1" ref="J68" ca="1">INDIRECT($AD68&amp;"!"&amp; $AE68&amp; ($AF68+J$5-2000))/$AG68</f>
        <v>3.3666666666666667</v>
      </c>
      <c r="K68" s="196" cm="1">
        <f t="array" aca="1" ref="K68" ca="1">INDIRECT($AD68&amp;"!"&amp; $AE68&amp; ($AF68+K$5-2000))/$AG68</f>
        <v>3.286111111111111</v>
      </c>
      <c r="L68" s="196" cm="1">
        <f t="array" aca="1" ref="L68" ca="1">INDIRECT($AD68&amp;"!"&amp; $AE68&amp; ($AF68+L$5-2000))/$AG68</f>
        <v>3.3888888888888888</v>
      </c>
      <c r="M68" s="196" cm="1">
        <f t="array" aca="1" ref="M68" ca="1">INDIRECT($AD68&amp;"!"&amp; $AE68&amp; ($AF68+M$5-2000))/$AG68</f>
        <v>3.2916666666666665</v>
      </c>
      <c r="N68" s="196" cm="1">
        <f t="array" aca="1" ref="N68" ca="1">INDIRECT($AD68&amp;"!"&amp; $AE68&amp; ($AF68+N$5-2000))/$AG68</f>
        <v>3.3277777777777779</v>
      </c>
      <c r="O68" s="196" cm="1">
        <f t="array" aca="1" ref="O68" ca="1">INDIRECT($AD68&amp;"!"&amp; $AE68&amp; ($AF68+O$5-2000))/$AG68</f>
        <v>3.3833333333333333</v>
      </c>
      <c r="P68" s="196" cm="1">
        <f t="array" aca="1" ref="P68" ca="1">INDIRECT($AD68&amp;"!"&amp; $AE68&amp; ($AF68+P$5-2000))/$AG68</f>
        <v>3.3194444444444446</v>
      </c>
      <c r="Q68" s="196" cm="1">
        <f t="array" aca="1" ref="Q68" ca="1">INDIRECT($AD68&amp;"!"&amp; $AE68&amp; ($AF68+Q$5-2000))/$AG68</f>
        <v>3.4</v>
      </c>
      <c r="R68" s="196" cm="1">
        <f t="array" aca="1" ref="R68" ca="1">INDIRECT($AD68&amp;"!"&amp; $AE68&amp; ($AF68+R$5-2000))/$AG68</f>
        <v>3.4805555555555556</v>
      </c>
      <c r="S68" s="196" cm="1">
        <f t="array" aca="1" ref="S68" ca="1">INDIRECT($AD68&amp;"!"&amp; $AE68&amp; ($AF68+S$5-2000))/$AG68</f>
        <v>3.45</v>
      </c>
      <c r="T68" s="196" cm="1">
        <f t="array" aca="1" ref="T68" ca="1">INDIRECT($AD68&amp;"!"&amp; $AE68&amp; ($AF68+T$5-2000))/$AG68</f>
        <v>3.4138888888888888</v>
      </c>
      <c r="U68" s="196" cm="1">
        <f t="array" aca="1" ref="U68" ca="1">INDIRECT($AD68&amp;"!"&amp; $AE68&amp; ($AF68+U$5-2000))/$AG68</f>
        <v>3.3972222222222221</v>
      </c>
      <c r="V68" s="196" cm="1">
        <f t="array" aca="1" ref="V68" ca="1">INDIRECT($AD68&amp;"!"&amp; $AE68&amp; ($AF68+V$5-2000))/$AG68</f>
        <v>3.2</v>
      </c>
      <c r="W68" s="196" cm="1">
        <f t="array" aca="1" ref="W68" ca="1">INDIRECT($AD68&amp;"!"&amp; $AE68&amp; ($AF68+W$5-2000))/$AG68</f>
        <v>3.4611111111111112</v>
      </c>
      <c r="X68" s="196" cm="1">
        <f t="array" aca="1" ref="X68" ca="1">INDIRECT($AD68&amp;"!"&amp; $AE68&amp; ($AF68+X$5-2000))/$AG68</f>
        <v>3.7027777777777779</v>
      </c>
      <c r="Y68" s="196" cm="1">
        <f t="array" aca="1" ref="Y68" ca="1">INDIRECT($AD68&amp;"!"&amp; $AE68&amp; ($AF68+Y$5-2000))/$AG68</f>
        <v>3.8805555555555555</v>
      </c>
      <c r="Z68" s="196" cm="1">
        <f t="array" aca="1" ref="Z68" ca="1">INDIRECT($AD68&amp;"!"&amp; $AE68&amp; ($AF68+Z$5-2000))/$AG68</f>
        <v>4.1861111111111109</v>
      </c>
      <c r="AD68" s="194" t="s">
        <v>660</v>
      </c>
      <c r="AE68" t="s">
        <v>651</v>
      </c>
      <c r="AF68">
        <v>37</v>
      </c>
      <c r="AG68">
        <v>3600</v>
      </c>
    </row>
    <row r="69" spans="1:33">
      <c r="A69" t="s">
        <v>48</v>
      </c>
      <c r="B69" s="196" cm="1">
        <f t="array" aca="1" ref="B69" ca="1">INDIRECT($AD69&amp;"!"&amp; $AE69&amp; ($AF69+B$5-2000))/$AG69</f>
        <v>31.4</v>
      </c>
      <c r="C69" s="196" cm="1">
        <f t="array" aca="1" ref="C69" ca="1">INDIRECT($AD69&amp;"!"&amp; $AE69&amp; ($AF69+C$5-2000))/$AG69</f>
        <v>34.54</v>
      </c>
      <c r="D69" s="196" cm="1">
        <f t="array" aca="1" ref="D69" ca="1">INDIRECT($AD69&amp;"!"&amp; $AE69&amp; ($AF69+D$5-2000))/$AG69</f>
        <v>32.308</v>
      </c>
      <c r="E69" s="196" cm="1">
        <f t="array" aca="1" ref="E69" ca="1">INDIRECT($AD69&amp;"!"&amp; $AE69&amp; ($AF69+E$5-2000))/$AG69</f>
        <v>33.195999999999998</v>
      </c>
      <c r="F69" s="196" cm="1">
        <f t="array" aca="1" ref="F69" ca="1">INDIRECT($AD69&amp;"!"&amp; $AE69&amp; ($AF69+F$5-2000))/$AG69</f>
        <v>27.759</v>
      </c>
      <c r="G69" s="196" cm="1">
        <f t="array" aca="1" ref="G69" ca="1">INDIRECT($AD69&amp;"!"&amp; $AE69&amp; ($AF69+G$5-2000))/$AG69</f>
        <v>31.995999999999999</v>
      </c>
      <c r="H69" s="196" cm="1">
        <f t="array" aca="1" ref="H69" ca="1">INDIRECT($AD69&amp;"!"&amp; $AE69&amp; ($AF69+H$5-2000))/$AG69</f>
        <v>31.1</v>
      </c>
      <c r="I69" s="196" cm="1">
        <f t="array" aca="1" ref="I69" ca="1">INDIRECT($AD69&amp;"!"&amp; $AE69&amp; ($AF69+I$5-2000))/$AG69</f>
        <v>36.880000000000003</v>
      </c>
      <c r="J69" s="196" cm="1">
        <f t="array" aca="1" ref="J69" ca="1">INDIRECT($AD69&amp;"!"&amp; $AE69&amp; ($AF69+J$5-2000))/$AG69</f>
        <v>32.735999999999997</v>
      </c>
      <c r="K69" s="196" cm="1">
        <f t="array" aca="1" ref="K69" ca="1">INDIRECT($AD69&amp;"!"&amp; $AE69&amp; ($AF69+K$5-2000))/$AG69</f>
        <v>33.524999999999999</v>
      </c>
      <c r="L69" s="196" cm="1">
        <f t="array" aca="1" ref="L69" ca="1">INDIRECT($AD69&amp;"!"&amp; $AE69&amp; ($AF69+L$5-2000))/$AG69</f>
        <v>32.881</v>
      </c>
      <c r="M69" s="196" cm="1">
        <f t="array" aca="1" ref="M69" ca="1">INDIRECT($AD69&amp;"!"&amp; $AE69&amp; ($AF69+M$5-2000))/$AG69</f>
        <v>32.237000000000002</v>
      </c>
      <c r="N69" s="196" cm="1">
        <f t="array" aca="1" ref="N69" ca="1">INDIRECT($AD69&amp;"!"&amp; $AE69&amp; ($AF69+N$5-2000))/$AG69</f>
        <v>33.749000000000002</v>
      </c>
      <c r="O69" s="196" cm="1">
        <f t="array" aca="1" ref="O69" ca="1">INDIRECT($AD69&amp;"!"&amp; $AE69&amp; ($AF69+O$5-2000))/$AG69</f>
        <v>32.270000000000003</v>
      </c>
      <c r="P69" s="196" cm="1">
        <f t="array" aca="1" ref="P69" ca="1">INDIRECT($AD69&amp;"!"&amp; $AE69&amp; ($AF69+P$5-2000))/$AG69</f>
        <v>34.021000000000001</v>
      </c>
      <c r="Q69" s="196" cm="1">
        <f t="array" aca="1" ref="Q69" ca="1">INDIRECT($AD69&amp;"!"&amp; $AE69&amp; ($AF69+Q$5-2000))/$AG69</f>
        <v>35.067999999999998</v>
      </c>
      <c r="R69" s="196" cm="1">
        <f t="array" aca="1" ref="R69" ca="1">INDIRECT($AD69&amp;"!"&amp; $AE69&amp; ($AF69+R$5-2000))/$AG69</f>
        <v>30.172999999999998</v>
      </c>
      <c r="S69" s="196" cm="1">
        <f t="array" aca="1" ref="S69" ca="1">INDIRECT($AD69&amp;"!"&amp; $AE69&amp; ($AF69+S$5-2000))/$AG69</f>
        <v>30.946000000000002</v>
      </c>
      <c r="T69" s="196" cm="1">
        <f t="array" aca="1" ref="T69" ca="1">INDIRECT($AD69&amp;"!"&amp; $AE69&amp; ($AF69+T$5-2000))/$AG69</f>
        <v>32.606999999999999</v>
      </c>
      <c r="U69" s="196" cm="1">
        <f t="array" aca="1" ref="U69" ca="1">INDIRECT($AD69&amp;"!"&amp; $AE69&amp; ($AF69+U$5-2000))/$AG69</f>
        <v>35.765000000000001</v>
      </c>
      <c r="V69" s="196" cm="1">
        <f t="array" aca="1" ref="V69" ca="1">INDIRECT($AD69&amp;"!"&amp; $AE69&amp; ($AF69+V$5-2000))/$AG69</f>
        <v>32.548000000000002</v>
      </c>
      <c r="W69" s="196" cm="1">
        <f t="array" aca="1" ref="W69" ca="1">INDIRECT($AD69&amp;"!"&amp; $AE69&amp; ($AF69+W$5-2000))/$AG69</f>
        <v>29.119</v>
      </c>
      <c r="X69" s="196" cm="1">
        <f t="array" aca="1" ref="X69" ca="1">INDIRECT($AD69&amp;"!"&amp; $AE69&amp; ($AF69+X$5-2000))/$AG69</f>
        <v>29.734000000000002</v>
      </c>
      <c r="Y69" s="196" cm="1">
        <f t="array" aca="1" ref="Y69" ca="1">INDIRECT($AD69&amp;"!"&amp; $AE69&amp; ($AF69+Y$5-2000))/$AG69</f>
        <v>33.856000000000002</v>
      </c>
      <c r="Z69" s="196" cm="1">
        <f t="array" aca="1" ref="Z69" ca="1">INDIRECT($AD69&amp;"!"&amp; $AE69&amp; ($AF69+Z$5-2000))/$AG69</f>
        <v>40.353999999999999</v>
      </c>
      <c r="AD69" s="194" t="s">
        <v>668</v>
      </c>
      <c r="AE69" t="s">
        <v>649</v>
      </c>
      <c r="AF69">
        <v>37</v>
      </c>
      <c r="AG69">
        <v>1000</v>
      </c>
    </row>
    <row r="71" spans="1:33">
      <c r="A71" s="2" t="s">
        <v>50</v>
      </c>
    </row>
    <row r="76" spans="1:33">
      <c r="A76" t="s">
        <v>839</v>
      </c>
    </row>
    <row r="77" spans="1:33">
      <c r="A77" t="s">
        <v>840</v>
      </c>
      <c r="B77" t="s">
        <v>841</v>
      </c>
    </row>
    <row r="78" spans="1:33">
      <c r="A78" t="s">
        <v>842</v>
      </c>
      <c r="B78" t="s">
        <v>843</v>
      </c>
    </row>
    <row r="82" spans="1:2">
      <c r="A82" t="s">
        <v>847</v>
      </c>
    </row>
    <row r="83" spans="1:2">
      <c r="A83" t="s">
        <v>856</v>
      </c>
      <c r="B83" t="s">
        <v>857</v>
      </c>
    </row>
    <row r="84" spans="1:2">
      <c r="A84" t="s">
        <v>200</v>
      </c>
      <c r="B84" t="s">
        <v>858</v>
      </c>
    </row>
    <row r="85" spans="1:2">
      <c r="A85" t="s">
        <v>859</v>
      </c>
      <c r="B85" t="s">
        <v>860</v>
      </c>
    </row>
    <row r="86" spans="1:2">
      <c r="A86" t="s">
        <v>665</v>
      </c>
      <c r="B86" t="s">
        <v>861</v>
      </c>
    </row>
    <row r="87" spans="1:2">
      <c r="A87" t="s">
        <v>665</v>
      </c>
      <c r="B87" t="s">
        <v>862</v>
      </c>
    </row>
    <row r="88" spans="1:2">
      <c r="A88" t="s">
        <v>665</v>
      </c>
      <c r="B88" t="s">
        <v>863</v>
      </c>
    </row>
    <row r="89" spans="1:2">
      <c r="A89" t="s">
        <v>874</v>
      </c>
      <c r="B89" t="s">
        <v>875</v>
      </c>
    </row>
    <row r="90" spans="1:2">
      <c r="B90" t="s">
        <v>876</v>
      </c>
    </row>
    <row r="98" spans="1:9">
      <c r="A98" t="s">
        <v>844</v>
      </c>
      <c r="B98" t="s">
        <v>100</v>
      </c>
      <c r="C98" t="s">
        <v>846</v>
      </c>
    </row>
    <row r="99" spans="1:9">
      <c r="A99" t="s">
        <v>654</v>
      </c>
      <c r="B99">
        <v>1370</v>
      </c>
      <c r="C99">
        <f>B99/3600</f>
        <v>0.38055555555555554</v>
      </c>
      <c r="I99" t="s">
        <v>855</v>
      </c>
    </row>
    <row r="100" spans="1:9">
      <c r="A100" t="s">
        <v>848</v>
      </c>
      <c r="B100">
        <v>24080</v>
      </c>
      <c r="C100">
        <f>B100/3600</f>
        <v>6.6888888888888891</v>
      </c>
    </row>
    <row r="101" spans="1:9">
      <c r="A101" t="s">
        <v>849</v>
      </c>
      <c r="B101">
        <f>27980-B100</f>
        <v>3900</v>
      </c>
      <c r="C101">
        <f>B101/3600</f>
        <v>1.0833333333333333</v>
      </c>
    </row>
    <row r="102" spans="1:9">
      <c r="A102" t="s">
        <v>850</v>
      </c>
      <c r="B102">
        <v>6570</v>
      </c>
      <c r="C102">
        <f>B102/3600</f>
        <v>1.825</v>
      </c>
    </row>
    <row r="103" spans="1:9">
      <c r="A103" t="s">
        <v>851</v>
      </c>
      <c r="B103">
        <f>8280-B102</f>
        <v>1710</v>
      </c>
      <c r="C103">
        <f>B103/3600</f>
        <v>0.47499999999999998</v>
      </c>
    </row>
    <row r="104" spans="1:9">
      <c r="A104" t="s">
        <v>852</v>
      </c>
      <c r="C104">
        <f>C103+C101</f>
        <v>1.5583333333333331</v>
      </c>
    </row>
    <row r="108" spans="1:9">
      <c r="A108" t="s">
        <v>853</v>
      </c>
      <c r="B108">
        <v>47780</v>
      </c>
      <c r="C108">
        <f>B108/3600</f>
        <v>13.272222222222222</v>
      </c>
    </row>
    <row r="109" spans="1:9">
      <c r="A109" t="s">
        <v>854</v>
      </c>
      <c r="B109">
        <v>13204</v>
      </c>
      <c r="C109">
        <f>B109/1000</f>
        <v>13.204000000000001</v>
      </c>
    </row>
  </sheetData>
  <hyperlinks>
    <hyperlink ref="AD8" location="T14_Endverbrauch!A1" display="T17a_EndvHH" xr:uid="{789766A7-A019-4603-9DF5-E2A9D2D437FD}"/>
    <hyperlink ref="AD11" location="Calc!A1" display="T05_PrimaerInland" xr:uid="{67856840-E083-42D0-BF0D-1A492A4D04C4}"/>
    <hyperlink ref="AD14" location="T27_KVA!A1" display="T27_KVA" xr:uid="{111DB8C9-2DE4-4FAA-B47E-C1CC1602D367}"/>
    <hyperlink ref="AD17" location="T35_WP!A1" display="T35_WP" xr:uid="{E28F73E4-ACA8-4BC6-B140-887E224B5743}"/>
    <hyperlink ref="AD66" location="T35_WP!A1" display="T35_WP" xr:uid="{78EBF728-2BA2-4A46-90BA-300CBF139597}"/>
    <hyperlink ref="AD18" location="T33_Solarw!A1" display="T33_Solarw!A1" xr:uid="{37729927-50AB-40B2-A29C-3D8323CDDE67}"/>
    <hyperlink ref="AD21" location="T27_KVA!A1" display="T27_KVA" xr:uid="{F1A0459A-C30F-45A6-8199-9F4F786284B4}"/>
    <hyperlink ref="AD22" location="T27_KVA!A1" display="T27_KVA" xr:uid="{479EB5FF-210F-46B0-9C07-0E0FCFA4D0AB}"/>
    <hyperlink ref="AD24" location="T26_Fernw!A1" display="T26_Fernw!A1" xr:uid="{C1DFE751-DD7C-4EAD-A958-BEE9840AA373}"/>
    <hyperlink ref="AD25" location="T26_Fernw!A1" display="T26_Fernw!A1" xr:uid="{17B6E8C9-FD95-491B-A600-D949F5C7632F}"/>
    <hyperlink ref="AD26" location="T26_Fernw!A1" display="T26_Fernw!A1" xr:uid="{E7525DBA-B5FC-4310-B4ED-C74872D3B1EF}"/>
    <hyperlink ref="AD28" location="T26_Fernw!A1" display="T26_Fernw!A1" xr:uid="{C3C42768-4F7F-484E-9DB2-515FD7B41FA3}"/>
    <hyperlink ref="AD27" location="T26_Fernw!A1" display="T26_Fernw!A1" xr:uid="{93E0E14D-82E0-4C9F-B41B-05D7A487C708}"/>
    <hyperlink ref="AD31" location="T24_Elektro!A1" display="T24_Elektro" xr:uid="{CE0C03F3-1CAF-4AAB-9CE4-B22EAE7E4C7B}"/>
    <hyperlink ref="AD32" location="T24_Elektro!A1" display="T24_Elektro" xr:uid="{DA04A9FB-2FAD-4B50-B3D1-1F9ADAE1DB45}"/>
    <hyperlink ref="AD34" location="T24_Elektro!A1" display="T24_Elektro" xr:uid="{6E20E597-DB6A-4E2A-8DCC-E18D202FE887}"/>
    <hyperlink ref="AD36" location="T24_Elektro!A1" display="T24_Elektro" xr:uid="{646CC21E-D1E5-4917-851C-64EA7629A472}"/>
    <hyperlink ref="AD37" location="T24_Elektro!A1" display="T24_Elektro" xr:uid="{EBD563D6-1FEA-42CC-B80F-046503D3D87C}"/>
    <hyperlink ref="AD38" location="T06_Einfuhr!A1" display="T06_Einfuhr!A1" xr:uid="{9ADFA38D-E628-44BB-ACAF-6D1ADC0AD387}"/>
    <hyperlink ref="AD41" location="T17e_EndvVerk!A1" display="T17e_EndvVerk!A1" xr:uid="{2B54960E-479E-4189-B247-13EA45BC05CC}"/>
    <hyperlink ref="AD42" location="T17e_EndvVerk!A1" display="T17e_EndvVerk!A1" xr:uid="{57D2A4E8-E685-49F7-82D4-E6C24F32A9FE}"/>
    <hyperlink ref="AD43" location="T17e_EndvVerk!A1" display="T17e_EndvVerk!A1" xr:uid="{23876388-067F-4162-94D9-637A42E9EAE9}"/>
    <hyperlink ref="AD68" location="T17e_EndvVerk!A1" display="T17e_EndvVerk!A1" xr:uid="{CD53C786-8E79-4F56-9ACE-CBF1A5CFA23B}"/>
    <hyperlink ref="AD46" location="T17e_EndvVerk!A1" display="T17e_EndvVerk!A1" xr:uid="{09C7FE99-6C50-49DB-8AAF-5CFB9D70C111}"/>
    <hyperlink ref="AD52" location="T35_WP!A1" display="T35_WP" xr:uid="{320D2747-C03C-4495-99B8-8641106FB928}"/>
    <hyperlink ref="AD53" location="Calc!A1" display="Calc!A1" xr:uid="{97CFB49D-7C64-45A9-A351-5E43C394AAEF}"/>
    <hyperlink ref="AD51" location="T36_WKK!A1" display="T36_WKK!A1" xr:uid="{2727F5B7-98B7-4EC8-8E9B-9E93498752ED}"/>
    <hyperlink ref="AD69" location="T07_Ausfuhr!A1" display="T07_Ausfuhr!A1" xr:uid="{0B817804-FE11-4D5E-98E5-D6EB9A532C6F}"/>
    <hyperlink ref="AD63" location="EnVnachVerwendung!A1" display="EnVnachVerwendung!A1" xr:uid="{C7CB3CCE-29EB-4857-9176-8ECAE3821477}"/>
    <hyperlink ref="AD62" location="EnVnachVerwendung!A1" display="EnVnachVerwendung!A1" xr:uid="{19CFF526-CD16-4F27-BF60-71CCE81A9F18}"/>
    <hyperlink ref="AD64" location="EnVnachVerwendung!A1" display="EnVnachVerwendung!A1" xr:uid="{A54DB56F-CB11-4734-89D1-F90FA0AF5D3F}"/>
    <hyperlink ref="AD57" location="EnVnachVerwendung!A1" display="EnVnachVerwendung!A1" xr:uid="{4B21737D-C6D6-4A73-AEA8-F476EB7A047A}"/>
    <hyperlink ref="AD58" location="EnVnachVerwendung!A1" display="EnVnachVerwendung!A1" xr:uid="{2E3978E7-6245-4E1B-A887-BF0C5A7C7747}"/>
    <hyperlink ref="AD67" location="EnVnachVerwendung!A1" display="EnVnachVerwendung!A1" xr:uid="{0B0B3846-E64E-4F95-A802-994C13A2B245}"/>
    <hyperlink ref="AD65" location="T13_Verluste!A1" display="T13_Verluste!A1" xr:uid="{73D680D4-F80A-4D25-A0E3-12BD5DE70FE0}"/>
    <hyperlink ref="AD9" location="Calc!A1" display="T05_PrimaerInland" xr:uid="{088503B1-D3DD-4742-9FFF-566361539C6D}"/>
    <hyperlink ref="AD10" location="Calc!A1" display="T05_PrimaerInland" xr:uid="{F3715FA4-EC0F-45BB-880C-33862C5E01C6}"/>
    <hyperlink ref="AD56" location="EnVnachVerwendung!A1" display="EnVnachVerwendung!A1" xr:uid="{B433931F-0222-4E60-A841-7EE8B32F828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C475C-B66F-41EF-B10C-D63C46C0AC1E}">
  <sheetPr codeName="Sheet3">
    <tabColor rgb="FFFF0000"/>
  </sheetPr>
  <dimension ref="A1:T69"/>
  <sheetViews>
    <sheetView workbookViewId="0">
      <selection activeCell="S3" sqref="S3"/>
    </sheetView>
  </sheetViews>
  <sheetFormatPr defaultRowHeight="14.5"/>
  <cols>
    <col min="4" max="4" width="9.90625" customWidth="1"/>
    <col min="6" max="6" width="11.7265625" customWidth="1"/>
    <col min="10" max="10" width="18" customWidth="1"/>
    <col min="11" max="12" width="16" customWidth="1"/>
    <col min="13" max="13" width="20.54296875" customWidth="1"/>
    <col min="14" max="14" width="11.08984375" customWidth="1"/>
    <col min="15" max="15" width="12.7265625" customWidth="1"/>
  </cols>
  <sheetData>
    <row r="1" spans="1:20">
      <c r="B1" t="s">
        <v>663</v>
      </c>
      <c r="F1" t="s">
        <v>664</v>
      </c>
      <c r="J1" t="s">
        <v>665</v>
      </c>
      <c r="S1" t="s">
        <v>870</v>
      </c>
    </row>
    <row r="2" spans="1:20">
      <c r="B2" t="s">
        <v>100</v>
      </c>
      <c r="C2" t="s">
        <v>100</v>
      </c>
      <c r="D2" t="s">
        <v>100</v>
      </c>
      <c r="F2" t="s">
        <v>104</v>
      </c>
      <c r="J2" t="s">
        <v>104</v>
      </c>
      <c r="K2" t="s">
        <v>867</v>
      </c>
      <c r="S2" t="s">
        <v>104</v>
      </c>
    </row>
    <row r="3" spans="1:20">
      <c r="A3" t="s">
        <v>636</v>
      </c>
      <c r="B3" t="s">
        <v>637</v>
      </c>
      <c r="C3" t="s">
        <v>638</v>
      </c>
      <c r="D3" t="s">
        <v>639</v>
      </c>
      <c r="F3" t="s">
        <v>645</v>
      </c>
      <c r="G3" t="s">
        <v>644</v>
      </c>
      <c r="H3" t="s">
        <v>643</v>
      </c>
      <c r="J3" t="s">
        <v>865</v>
      </c>
      <c r="K3" t="s">
        <v>866</v>
      </c>
      <c r="L3" t="s">
        <v>869</v>
      </c>
      <c r="M3" t="s">
        <v>868</v>
      </c>
      <c r="N3" t="s">
        <v>667</v>
      </c>
      <c r="O3" t="s">
        <v>666</v>
      </c>
      <c r="P3" t="s">
        <v>864</v>
      </c>
      <c r="Q3" t="s">
        <v>430</v>
      </c>
      <c r="S3" t="s">
        <v>871</v>
      </c>
      <c r="T3" t="s">
        <v>872</v>
      </c>
    </row>
    <row r="4" spans="1:20">
      <c r="A4" s="197">
        <f>T05_PrimaerInland!A36</f>
        <v>2000</v>
      </c>
      <c r="B4" s="195">
        <f>T05_PrimaerInland!B36</f>
        <v>28390</v>
      </c>
      <c r="C4" s="195">
        <f>T06_Einfuhr!B37</f>
        <v>340</v>
      </c>
      <c r="D4" s="195">
        <f>SUM(B4:C4)</f>
        <v>28730</v>
      </c>
      <c r="F4" s="195">
        <f>T10_Bruttov!F97/3.6</f>
        <v>12655.555555555555</v>
      </c>
      <c r="G4" s="195">
        <f>T27_KVA!D18</f>
        <v>9444</v>
      </c>
      <c r="H4" s="195">
        <f>F4-G4</f>
        <v>3211.5555555555547</v>
      </c>
      <c r="J4" s="195">
        <f>T36_WKK!F18</f>
        <v>849</v>
      </c>
      <c r="K4">
        <f>O4*2.5</f>
        <v>2815</v>
      </c>
      <c r="L4" s="195">
        <f>SUM(J4:K4)</f>
        <v>3664</v>
      </c>
      <c r="M4" s="195">
        <f>T36_WKK!H18</f>
        <v>372</v>
      </c>
      <c r="N4" s="195">
        <f>T36_WKK!J18</f>
        <v>466</v>
      </c>
      <c r="O4" s="195">
        <f>T36_WKK!I18</f>
        <v>1126</v>
      </c>
      <c r="P4" s="195">
        <f t="shared" ref="P4:P34" si="0">SUM(N4:O4)</f>
        <v>1592</v>
      </c>
      <c r="Q4" s="195">
        <f>T36_WKK!K18</f>
        <v>779</v>
      </c>
      <c r="R4" s="195"/>
      <c r="S4" s="195">
        <f>T06_Einfuhr!M37</f>
        <v>28299</v>
      </c>
      <c r="T4" s="195">
        <f>S4-L4</f>
        <v>24635</v>
      </c>
    </row>
    <row r="5" spans="1:20">
      <c r="A5" s="197">
        <f>T05_PrimaerInland!A37</f>
        <v>2001</v>
      </c>
      <c r="B5" s="195">
        <f>T05_PrimaerInland!B37</f>
        <v>30160</v>
      </c>
      <c r="C5" s="195">
        <f>T06_Einfuhr!B38</f>
        <v>420</v>
      </c>
      <c r="D5" s="195">
        <f t="shared" ref="D5:D34" si="1">SUM(B5:C5)</f>
        <v>30580</v>
      </c>
      <c r="F5" s="195">
        <f>T10_Bruttov!F98/3.6</f>
        <v>12877.777777777777</v>
      </c>
      <c r="G5" s="195">
        <f>T27_KVA!D19</f>
        <v>9987</v>
      </c>
      <c r="H5" s="195">
        <f t="shared" ref="H5:H34" si="2">F5-G5</f>
        <v>2890.7777777777774</v>
      </c>
      <c r="J5" s="195">
        <f>T36_WKK!F19</f>
        <v>887</v>
      </c>
      <c r="K5">
        <f t="shared" ref="K5:K34" si="3">O5*2.5</f>
        <v>2680</v>
      </c>
      <c r="L5" s="195">
        <f t="shared" ref="L5:L34" si="4">SUM(J5:K5)</f>
        <v>3567</v>
      </c>
      <c r="M5" s="195">
        <f>T36_WKK!H19</f>
        <v>414</v>
      </c>
      <c r="N5" s="195">
        <f>T36_WKK!J19</f>
        <v>502</v>
      </c>
      <c r="O5" s="195">
        <f>T36_WKK!I19</f>
        <v>1072</v>
      </c>
      <c r="P5" s="195">
        <f t="shared" si="0"/>
        <v>1574</v>
      </c>
      <c r="Q5" s="195">
        <f>T36_WKK!K19</f>
        <v>822</v>
      </c>
      <c r="R5" s="195"/>
      <c r="S5" s="195">
        <f>T06_Einfuhr!M38</f>
        <v>29456</v>
      </c>
      <c r="T5" s="195">
        <f t="shared" ref="T5:T34" si="5">S5-L5</f>
        <v>25889</v>
      </c>
    </row>
    <row r="6" spans="1:20">
      <c r="A6" s="197">
        <f>T05_PrimaerInland!A38</f>
        <v>2002</v>
      </c>
      <c r="B6" s="195">
        <f>T05_PrimaerInland!B38</f>
        <v>29000</v>
      </c>
      <c r="C6" s="195">
        <f>T06_Einfuhr!B39</f>
        <v>390</v>
      </c>
      <c r="D6" s="195">
        <f t="shared" si="1"/>
        <v>29390</v>
      </c>
      <c r="F6" s="195">
        <f>T10_Bruttov!F99/3.6</f>
        <v>13375</v>
      </c>
      <c r="G6" s="195">
        <f>T27_KVA!D20</f>
        <v>10266</v>
      </c>
      <c r="H6" s="195">
        <f t="shared" si="2"/>
        <v>3109</v>
      </c>
      <c r="J6" s="195">
        <f>T36_WKK!F20</f>
        <v>917</v>
      </c>
      <c r="K6">
        <f t="shared" si="3"/>
        <v>2777.5</v>
      </c>
      <c r="L6" s="195">
        <f t="shared" si="4"/>
        <v>3694.5</v>
      </c>
      <c r="M6" s="195">
        <f>T36_WKK!H20</f>
        <v>416</v>
      </c>
      <c r="N6" s="195">
        <f>T36_WKK!J20</f>
        <v>517</v>
      </c>
      <c r="O6" s="195">
        <f>T36_WKK!I20</f>
        <v>1111</v>
      </c>
      <c r="P6" s="195">
        <f t="shared" si="0"/>
        <v>1628</v>
      </c>
      <c r="Q6" s="195">
        <f>T36_WKK!K20</f>
        <v>841</v>
      </c>
      <c r="R6" s="195"/>
      <c r="S6" s="195">
        <f>T06_Einfuhr!M39</f>
        <v>28911</v>
      </c>
      <c r="T6" s="195">
        <f t="shared" si="5"/>
        <v>25216.5</v>
      </c>
    </row>
    <row r="7" spans="1:20">
      <c r="A7" s="197">
        <f>T05_PrimaerInland!A39</f>
        <v>2003</v>
      </c>
      <c r="B7" s="195">
        <f>T05_PrimaerInland!B39</f>
        <v>31220</v>
      </c>
      <c r="C7" s="195">
        <f>T06_Einfuhr!B40</f>
        <v>360</v>
      </c>
      <c r="D7" s="195">
        <f t="shared" si="1"/>
        <v>31580</v>
      </c>
      <c r="F7" s="195">
        <f>T10_Bruttov!F100/3.6</f>
        <v>13513.888888888889</v>
      </c>
      <c r="G7" s="195">
        <f>T27_KVA!D21</f>
        <v>10140</v>
      </c>
      <c r="H7" s="195">
        <f t="shared" si="2"/>
        <v>3373.8888888888887</v>
      </c>
      <c r="J7" s="195">
        <f>T36_WKK!F21</f>
        <v>951</v>
      </c>
      <c r="K7">
        <f t="shared" si="3"/>
        <v>2845</v>
      </c>
      <c r="L7" s="195">
        <f t="shared" si="4"/>
        <v>3796</v>
      </c>
      <c r="M7" s="195">
        <f>T36_WKK!H21</f>
        <v>416</v>
      </c>
      <c r="N7" s="195">
        <f>T36_WKK!J21</f>
        <v>531</v>
      </c>
      <c r="O7" s="195">
        <f>T36_WKK!I21</f>
        <v>1138</v>
      </c>
      <c r="P7" s="195">
        <f t="shared" si="0"/>
        <v>1669</v>
      </c>
      <c r="Q7" s="195">
        <f>T36_WKK!K21</f>
        <v>856</v>
      </c>
      <c r="R7" s="195"/>
      <c r="S7" s="195">
        <f>T06_Einfuhr!M40</f>
        <v>30560</v>
      </c>
      <c r="T7" s="195">
        <f t="shared" si="5"/>
        <v>26764</v>
      </c>
    </row>
    <row r="8" spans="1:20">
      <c r="A8" s="197">
        <f>T05_PrimaerInland!A40</f>
        <v>2004</v>
      </c>
      <c r="B8" s="195">
        <f>T05_PrimaerInland!B40</f>
        <v>31200</v>
      </c>
      <c r="C8" s="195">
        <f>T06_Einfuhr!B41</f>
        <v>350</v>
      </c>
      <c r="D8" s="195">
        <f t="shared" si="1"/>
        <v>31550</v>
      </c>
      <c r="F8" s="195">
        <f>T10_Bruttov!F101/3.6</f>
        <v>13644.444444444443</v>
      </c>
      <c r="G8" s="195">
        <f>T27_KVA!D22</f>
        <v>10304</v>
      </c>
      <c r="H8" s="195">
        <f t="shared" si="2"/>
        <v>3340.4444444444434</v>
      </c>
      <c r="J8" s="195">
        <f>T36_WKK!F22</f>
        <v>993</v>
      </c>
      <c r="K8">
        <f t="shared" si="3"/>
        <v>2777.5</v>
      </c>
      <c r="L8" s="195">
        <f t="shared" si="4"/>
        <v>3770.5</v>
      </c>
      <c r="M8" s="195">
        <f>T36_WKK!H22</f>
        <v>428</v>
      </c>
      <c r="N8" s="195">
        <f>T36_WKK!J22</f>
        <v>554</v>
      </c>
      <c r="O8" s="195">
        <f>T36_WKK!I22</f>
        <v>1111</v>
      </c>
      <c r="P8" s="195">
        <f t="shared" si="0"/>
        <v>1665</v>
      </c>
      <c r="Q8" s="195">
        <f>T36_WKK!K22</f>
        <v>876</v>
      </c>
      <c r="R8" s="195"/>
      <c r="S8" s="195">
        <f>T06_Einfuhr!M41</f>
        <v>31526</v>
      </c>
      <c r="T8" s="195">
        <f t="shared" si="5"/>
        <v>27755.5</v>
      </c>
    </row>
    <row r="9" spans="1:20">
      <c r="A9" s="197">
        <f>T05_PrimaerInland!A41</f>
        <v>2005</v>
      </c>
      <c r="B9" s="195">
        <f>T05_PrimaerInland!B41</f>
        <v>32490</v>
      </c>
      <c r="C9" s="195">
        <f>T06_Einfuhr!B42</f>
        <v>380</v>
      </c>
      <c r="D9" s="195">
        <f t="shared" si="1"/>
        <v>32870</v>
      </c>
      <c r="F9" s="195">
        <f>T10_Bruttov!F102/3.6</f>
        <v>14238.888888888889</v>
      </c>
      <c r="G9" s="195">
        <f>T27_KVA!D23</f>
        <v>10800</v>
      </c>
      <c r="H9" s="195">
        <f t="shared" si="2"/>
        <v>3438.8888888888887</v>
      </c>
      <c r="J9" s="195">
        <f>T36_WKK!F23</f>
        <v>1019</v>
      </c>
      <c r="K9">
        <f t="shared" si="3"/>
        <v>2640</v>
      </c>
      <c r="L9" s="195">
        <f t="shared" si="4"/>
        <v>3659</v>
      </c>
      <c r="M9" s="195">
        <f>T36_WKK!H23</f>
        <v>445</v>
      </c>
      <c r="N9" s="195">
        <f>T36_WKK!J23</f>
        <v>567</v>
      </c>
      <c r="O9" s="195">
        <f>T36_WKK!I23</f>
        <v>1056</v>
      </c>
      <c r="P9" s="195">
        <f t="shared" si="0"/>
        <v>1623</v>
      </c>
      <c r="Q9" s="195">
        <f>T36_WKK!K23</f>
        <v>896</v>
      </c>
      <c r="R9" s="195"/>
      <c r="S9" s="195">
        <f>T06_Einfuhr!M42</f>
        <v>32365</v>
      </c>
      <c r="T9" s="195">
        <f t="shared" si="5"/>
        <v>28706</v>
      </c>
    </row>
    <row r="10" spans="1:20">
      <c r="A10" s="197">
        <f>T05_PrimaerInland!A42</f>
        <v>2006</v>
      </c>
      <c r="B10" s="195">
        <f>T05_PrimaerInland!B42</f>
        <v>33220</v>
      </c>
      <c r="C10" s="195">
        <f>T06_Einfuhr!B43</f>
        <v>380</v>
      </c>
      <c r="D10" s="195">
        <f t="shared" si="1"/>
        <v>33600</v>
      </c>
      <c r="F10" s="195">
        <f>T10_Bruttov!F103/3.6</f>
        <v>15302.777777777777</v>
      </c>
      <c r="G10" s="195">
        <f>T27_KVA!D24</f>
        <v>11910</v>
      </c>
      <c r="H10" s="195">
        <f t="shared" si="2"/>
        <v>3392.7777777777774</v>
      </c>
      <c r="J10" s="195">
        <f>T36_WKK!F24</f>
        <v>1021</v>
      </c>
      <c r="K10">
        <f t="shared" si="3"/>
        <v>2675</v>
      </c>
      <c r="L10" s="195">
        <f t="shared" si="4"/>
        <v>3696</v>
      </c>
      <c r="M10" s="195">
        <f>T36_WKK!H24</f>
        <v>483</v>
      </c>
      <c r="N10" s="195">
        <f>T36_WKK!J24</f>
        <v>573</v>
      </c>
      <c r="O10" s="195">
        <f>T36_WKK!I24</f>
        <v>1070</v>
      </c>
      <c r="P10" s="195">
        <f t="shared" si="0"/>
        <v>1643</v>
      </c>
      <c r="Q10" s="195">
        <f>T36_WKK!K24</f>
        <v>896</v>
      </c>
      <c r="R10" s="195"/>
      <c r="S10" s="195">
        <f>T06_Einfuhr!M43</f>
        <v>31469</v>
      </c>
      <c r="T10" s="195">
        <f t="shared" si="5"/>
        <v>27773</v>
      </c>
    </row>
    <row r="11" spans="1:20">
      <c r="A11" s="197">
        <f>T05_PrimaerInland!A43</f>
        <v>2007</v>
      </c>
      <c r="B11" s="195">
        <f>T05_PrimaerInland!B43</f>
        <v>32160</v>
      </c>
      <c r="C11" s="195">
        <f>T06_Einfuhr!B44</f>
        <v>820</v>
      </c>
      <c r="D11" s="195">
        <f t="shared" si="1"/>
        <v>32980</v>
      </c>
      <c r="F11" s="195">
        <f>T10_Bruttov!F104/3.6</f>
        <v>15350</v>
      </c>
      <c r="G11" s="195">
        <f>T27_KVA!D25</f>
        <v>11910</v>
      </c>
      <c r="H11" s="195">
        <f t="shared" si="2"/>
        <v>3440</v>
      </c>
      <c r="J11" s="195">
        <f>T36_WKK!F25</f>
        <v>982</v>
      </c>
      <c r="K11">
        <f t="shared" si="3"/>
        <v>2570</v>
      </c>
      <c r="L11" s="195">
        <f t="shared" si="4"/>
        <v>3552</v>
      </c>
      <c r="M11" s="195">
        <f>T36_WKK!H25</f>
        <v>526</v>
      </c>
      <c r="N11" s="195">
        <f>T36_WKK!J25</f>
        <v>571</v>
      </c>
      <c r="O11" s="195">
        <f>T36_WKK!I25</f>
        <v>1028</v>
      </c>
      <c r="P11" s="195">
        <f t="shared" si="0"/>
        <v>1599</v>
      </c>
      <c r="Q11" s="195">
        <f>T36_WKK!K25</f>
        <v>886</v>
      </c>
      <c r="R11" s="195"/>
      <c r="S11" s="195">
        <f>T06_Einfuhr!M44</f>
        <v>30641</v>
      </c>
      <c r="T11" s="195">
        <f t="shared" si="5"/>
        <v>27089</v>
      </c>
    </row>
    <row r="12" spans="1:20">
      <c r="A12" s="197">
        <f>T05_PrimaerInland!A44</f>
        <v>2008</v>
      </c>
      <c r="B12" s="195">
        <f>T05_PrimaerInland!B44</f>
        <v>37030</v>
      </c>
      <c r="C12" s="195">
        <f>T06_Einfuhr!B45</f>
        <v>790</v>
      </c>
      <c r="D12" s="195">
        <f t="shared" si="1"/>
        <v>37820</v>
      </c>
      <c r="F12" s="195">
        <f>T10_Bruttov!F105/3.6</f>
        <v>15191.666666666666</v>
      </c>
      <c r="G12" s="195">
        <f>T27_KVA!D26</f>
        <v>11792</v>
      </c>
      <c r="H12" s="195">
        <f t="shared" si="2"/>
        <v>3399.6666666666661</v>
      </c>
      <c r="J12" s="195">
        <f>T36_WKK!F26</f>
        <v>952</v>
      </c>
      <c r="K12">
        <f t="shared" si="3"/>
        <v>2632.5</v>
      </c>
      <c r="L12" s="195">
        <f t="shared" si="4"/>
        <v>3584.5</v>
      </c>
      <c r="M12" s="195">
        <f>T36_WKK!H26</f>
        <v>558</v>
      </c>
      <c r="N12" s="195">
        <f>T36_WKK!J26</f>
        <v>562</v>
      </c>
      <c r="O12" s="195">
        <f>T36_WKK!I26</f>
        <v>1053</v>
      </c>
      <c r="P12" s="195">
        <f t="shared" si="0"/>
        <v>1615</v>
      </c>
      <c r="Q12" s="195">
        <f>T36_WKK!K26</f>
        <v>859</v>
      </c>
      <c r="R12" s="195"/>
      <c r="S12" s="195">
        <f>T06_Einfuhr!M45</f>
        <v>32648</v>
      </c>
      <c r="T12" s="195">
        <f t="shared" si="5"/>
        <v>29063.5</v>
      </c>
    </row>
    <row r="13" spans="1:20">
      <c r="A13" s="197">
        <f>T05_PrimaerInland!A45</f>
        <v>2009</v>
      </c>
      <c r="B13" s="195">
        <f>T05_PrimaerInland!B45</f>
        <v>38750</v>
      </c>
      <c r="C13" s="195">
        <f>T06_Einfuhr!B46</f>
        <v>1090</v>
      </c>
      <c r="D13" s="195">
        <f t="shared" si="1"/>
        <v>39840</v>
      </c>
      <c r="F13" s="195">
        <f>T10_Bruttov!F106/3.6</f>
        <v>14658.333333333332</v>
      </c>
      <c r="G13" s="195">
        <f>T27_KVA!D27</f>
        <v>11699</v>
      </c>
      <c r="H13" s="195">
        <f t="shared" si="2"/>
        <v>2959.3333333333321</v>
      </c>
      <c r="J13" s="195">
        <f>T36_WKK!F27</f>
        <v>926</v>
      </c>
      <c r="K13">
        <f t="shared" si="3"/>
        <v>2835</v>
      </c>
      <c r="L13" s="195">
        <f t="shared" si="4"/>
        <v>3761</v>
      </c>
      <c r="M13" s="195">
        <f>T36_WKK!H27</f>
        <v>579</v>
      </c>
      <c r="N13" s="195">
        <f>T36_WKK!J27</f>
        <v>553</v>
      </c>
      <c r="O13" s="195">
        <f>T36_WKK!I27</f>
        <v>1134</v>
      </c>
      <c r="P13" s="195">
        <f t="shared" si="0"/>
        <v>1687</v>
      </c>
      <c r="Q13" s="195">
        <f>T36_WKK!K27</f>
        <v>835</v>
      </c>
      <c r="R13" s="195"/>
      <c r="S13" s="195">
        <f>T06_Einfuhr!M46</f>
        <v>31335</v>
      </c>
      <c r="T13" s="195">
        <f t="shared" si="5"/>
        <v>27574</v>
      </c>
    </row>
    <row r="14" spans="1:20">
      <c r="A14" s="197">
        <f>T05_PrimaerInland!A46</f>
        <v>2010</v>
      </c>
      <c r="B14" s="195">
        <f>T05_PrimaerInland!B46</f>
        <v>42140</v>
      </c>
      <c r="C14" s="195">
        <f>T06_Einfuhr!B47</f>
        <v>1190</v>
      </c>
      <c r="D14" s="195">
        <f t="shared" si="1"/>
        <v>43330</v>
      </c>
      <c r="F14" s="195">
        <f>T10_Bruttov!F107/3.6</f>
        <v>15191.666666666666</v>
      </c>
      <c r="G14" s="195">
        <f>T27_KVA!D28</f>
        <v>12111</v>
      </c>
      <c r="H14" s="195">
        <f t="shared" si="2"/>
        <v>3080.6666666666661</v>
      </c>
      <c r="J14" s="195">
        <f>T36_WKK!F28</f>
        <v>871</v>
      </c>
      <c r="K14">
        <f t="shared" si="3"/>
        <v>3607.5</v>
      </c>
      <c r="L14" s="195">
        <f t="shared" si="4"/>
        <v>4478.5</v>
      </c>
      <c r="M14" s="195">
        <f>T36_WKK!H28</f>
        <v>636</v>
      </c>
      <c r="N14" s="195">
        <f>T36_WKK!J28</f>
        <v>539</v>
      </c>
      <c r="O14" s="195">
        <f>T36_WKK!I28</f>
        <v>1443</v>
      </c>
      <c r="P14" s="195">
        <f t="shared" si="0"/>
        <v>1982</v>
      </c>
      <c r="Q14" s="195">
        <f>T36_WKK!K28</f>
        <v>808</v>
      </c>
      <c r="R14" s="195"/>
      <c r="S14" s="195">
        <f>T06_Einfuhr!M47</f>
        <v>35004</v>
      </c>
      <c r="T14" s="195">
        <f t="shared" si="5"/>
        <v>30525.5</v>
      </c>
    </row>
    <row r="15" spans="1:20">
      <c r="A15" s="197">
        <f>T05_PrimaerInland!A47</f>
        <v>2011</v>
      </c>
      <c r="B15" s="195">
        <f>T05_PrimaerInland!B47</f>
        <v>37180</v>
      </c>
      <c r="C15" s="195">
        <f>T06_Einfuhr!B48</f>
        <v>1250</v>
      </c>
      <c r="D15" s="195">
        <f t="shared" si="1"/>
        <v>38430</v>
      </c>
      <c r="F15" s="195">
        <f>T10_Bruttov!F108/3.6</f>
        <v>15436.111111111111</v>
      </c>
      <c r="G15" s="195">
        <f>T27_KVA!D29</f>
        <v>12285</v>
      </c>
      <c r="H15" s="195">
        <f t="shared" si="2"/>
        <v>3151.1111111111113</v>
      </c>
      <c r="J15" s="195">
        <f>T36_WKK!F29</f>
        <v>795</v>
      </c>
      <c r="K15">
        <f t="shared" si="3"/>
        <v>3577.5</v>
      </c>
      <c r="L15" s="195">
        <f t="shared" si="4"/>
        <v>4372.5</v>
      </c>
      <c r="M15" s="195">
        <f>T36_WKK!H29</f>
        <v>690</v>
      </c>
      <c r="N15" s="195">
        <f>T36_WKK!J29</f>
        <v>529</v>
      </c>
      <c r="O15" s="195">
        <f>T36_WKK!I29</f>
        <v>1431</v>
      </c>
      <c r="P15" s="195">
        <f t="shared" si="0"/>
        <v>1960</v>
      </c>
      <c r="Q15" s="195">
        <f>T36_WKK!K29</f>
        <v>780</v>
      </c>
      <c r="R15" s="195"/>
      <c r="S15" s="195">
        <f>T06_Einfuhr!M48</f>
        <v>31048</v>
      </c>
      <c r="T15" s="195">
        <f t="shared" si="5"/>
        <v>26675.5</v>
      </c>
    </row>
    <row r="16" spans="1:20">
      <c r="A16" s="197">
        <f>T05_PrimaerInland!A48</f>
        <v>2012</v>
      </c>
      <c r="B16" s="195">
        <f>T05_PrimaerInland!B48</f>
        <v>42040</v>
      </c>
      <c r="C16" s="195">
        <f>T06_Einfuhr!B49</f>
        <v>1180</v>
      </c>
      <c r="D16" s="195">
        <f t="shared" si="1"/>
        <v>43220</v>
      </c>
      <c r="F16" s="195">
        <f>T10_Bruttov!F109/3.6</f>
        <v>15780.555555555555</v>
      </c>
      <c r="G16" s="195">
        <f>T27_KVA!D30</f>
        <v>12595</v>
      </c>
      <c r="H16" s="195">
        <f t="shared" si="2"/>
        <v>3185.5555555555547</v>
      </c>
      <c r="J16" s="195">
        <f>T36_WKK!F30</f>
        <v>783</v>
      </c>
      <c r="K16">
        <f t="shared" si="3"/>
        <v>3537.5</v>
      </c>
      <c r="L16" s="195">
        <f t="shared" si="4"/>
        <v>4320.5</v>
      </c>
      <c r="M16" s="195">
        <f>T36_WKK!H30</f>
        <v>770</v>
      </c>
      <c r="N16" s="195">
        <f>T36_WKK!J30</f>
        <v>557</v>
      </c>
      <c r="O16" s="195">
        <f>T36_WKK!I30</f>
        <v>1415</v>
      </c>
      <c r="P16" s="195">
        <f t="shared" si="0"/>
        <v>1972</v>
      </c>
      <c r="Q16" s="195">
        <f>T36_WKK!K30</f>
        <v>789</v>
      </c>
      <c r="R16" s="195"/>
      <c r="S16" s="195">
        <f>T06_Einfuhr!M49</f>
        <v>34034</v>
      </c>
      <c r="T16" s="195">
        <f t="shared" si="5"/>
        <v>29713.5</v>
      </c>
    </row>
    <row r="17" spans="1:20">
      <c r="A17" s="197">
        <f>T05_PrimaerInland!A49</f>
        <v>2013</v>
      </c>
      <c r="B17" s="195">
        <f>T05_PrimaerInland!B49</f>
        <v>45400</v>
      </c>
      <c r="C17" s="195">
        <f>T06_Einfuhr!B50</f>
        <v>2080</v>
      </c>
      <c r="D17" s="195">
        <f t="shared" si="1"/>
        <v>47480</v>
      </c>
      <c r="F17" s="195">
        <f>T10_Bruttov!F110/3.6</f>
        <v>15341.666666666666</v>
      </c>
      <c r="G17" s="195">
        <f>T27_KVA!D31</f>
        <v>12164</v>
      </c>
      <c r="H17" s="195">
        <f t="shared" si="2"/>
        <v>3177.6666666666661</v>
      </c>
      <c r="J17" s="195">
        <f>T36_WKK!F31</f>
        <v>747</v>
      </c>
      <c r="K17">
        <f t="shared" si="3"/>
        <v>3207.5</v>
      </c>
      <c r="L17" s="195">
        <f t="shared" si="4"/>
        <v>3954.5</v>
      </c>
      <c r="M17" s="195">
        <f>T36_WKK!H31</f>
        <v>820</v>
      </c>
      <c r="N17" s="195">
        <f>T36_WKK!J31</f>
        <v>563</v>
      </c>
      <c r="O17" s="195">
        <f>T36_WKK!I31</f>
        <v>1283</v>
      </c>
      <c r="P17" s="195">
        <f t="shared" si="0"/>
        <v>1846</v>
      </c>
      <c r="Q17" s="195">
        <f>T36_WKK!K31</f>
        <v>783</v>
      </c>
      <c r="R17" s="195"/>
      <c r="S17" s="195">
        <f>T06_Einfuhr!M50</f>
        <v>35841</v>
      </c>
      <c r="T17" s="195">
        <f t="shared" si="5"/>
        <v>31886.5</v>
      </c>
    </row>
    <row r="18" spans="1:20">
      <c r="A18" s="197">
        <f>T05_PrimaerInland!A50</f>
        <v>2014</v>
      </c>
      <c r="B18" s="195">
        <f>T05_PrimaerInland!B50</f>
        <v>39110</v>
      </c>
      <c r="C18" s="195">
        <f>T06_Einfuhr!B51</f>
        <v>1630</v>
      </c>
      <c r="D18" s="195">
        <f t="shared" si="1"/>
        <v>40740</v>
      </c>
      <c r="F18" s="195">
        <f>T10_Bruttov!F111/3.6</f>
        <v>15966.666666666666</v>
      </c>
      <c r="G18" s="195">
        <f>T27_KVA!D32</f>
        <v>12389</v>
      </c>
      <c r="H18" s="195">
        <f t="shared" si="2"/>
        <v>3577.6666666666661</v>
      </c>
      <c r="J18" s="195">
        <f>T36_WKK!F32</f>
        <v>708</v>
      </c>
      <c r="K18">
        <f t="shared" si="3"/>
        <v>2700</v>
      </c>
      <c r="L18" s="195">
        <f t="shared" si="4"/>
        <v>3408</v>
      </c>
      <c r="M18" s="195">
        <f>T36_WKK!H32</f>
        <v>849</v>
      </c>
      <c r="N18" s="195">
        <f>T36_WKK!J32</f>
        <v>556</v>
      </c>
      <c r="O18" s="195">
        <f>T36_WKK!I32</f>
        <v>1080</v>
      </c>
      <c r="P18" s="195">
        <f t="shared" si="0"/>
        <v>1636</v>
      </c>
      <c r="Q18" s="195">
        <f>T36_WKK!K32</f>
        <v>762</v>
      </c>
      <c r="R18" s="195"/>
      <c r="S18" s="195">
        <f>T06_Einfuhr!M51</f>
        <v>31047</v>
      </c>
      <c r="T18" s="195">
        <f t="shared" si="5"/>
        <v>27639</v>
      </c>
    </row>
    <row r="19" spans="1:20">
      <c r="A19" s="197">
        <f>T05_PrimaerInland!A51</f>
        <v>2015</v>
      </c>
      <c r="B19" s="195">
        <f>T05_PrimaerInland!B51</f>
        <v>40260</v>
      </c>
      <c r="C19" s="195">
        <f>T06_Einfuhr!B52</f>
        <v>2100</v>
      </c>
      <c r="D19" s="195">
        <f t="shared" si="1"/>
        <v>42360</v>
      </c>
      <c r="F19" s="195">
        <f>T10_Bruttov!F112/3.6</f>
        <v>15875</v>
      </c>
      <c r="G19" s="195">
        <f>T27_KVA!D33</f>
        <v>12796</v>
      </c>
      <c r="H19" s="195">
        <f t="shared" si="2"/>
        <v>3079</v>
      </c>
      <c r="J19" s="195">
        <f>T36_WKK!F33</f>
        <v>661</v>
      </c>
      <c r="K19">
        <f t="shared" si="3"/>
        <v>2525</v>
      </c>
      <c r="L19" s="195">
        <f t="shared" si="4"/>
        <v>3186</v>
      </c>
      <c r="M19" s="195">
        <f>T36_WKK!H33</f>
        <v>884</v>
      </c>
      <c r="N19" s="195">
        <f>T36_WKK!J33</f>
        <v>557</v>
      </c>
      <c r="O19" s="195">
        <f>T36_WKK!I33</f>
        <v>1010</v>
      </c>
      <c r="P19" s="195">
        <f t="shared" si="0"/>
        <v>1567</v>
      </c>
      <c r="Q19" s="195">
        <f>T36_WKK!K33</f>
        <v>743</v>
      </c>
      <c r="R19" s="195"/>
      <c r="S19" s="195">
        <f>T06_Einfuhr!M52</f>
        <v>33172</v>
      </c>
      <c r="T19" s="195">
        <f t="shared" si="5"/>
        <v>29986</v>
      </c>
    </row>
    <row r="20" spans="1:20">
      <c r="A20" s="197">
        <f>T05_PrimaerInland!A52</f>
        <v>2016</v>
      </c>
      <c r="B20" s="195">
        <f>T05_PrimaerInland!B52</f>
        <v>44090</v>
      </c>
      <c r="C20" s="195">
        <f>T06_Einfuhr!B53</f>
        <v>1720</v>
      </c>
      <c r="D20" s="195">
        <f t="shared" si="1"/>
        <v>45810</v>
      </c>
      <c r="F20" s="195">
        <f>T10_Bruttov!F113/3.6</f>
        <v>16513.888888888887</v>
      </c>
      <c r="G20" s="195">
        <f>T27_KVA!D34</f>
        <v>13263</v>
      </c>
      <c r="H20" s="195">
        <f t="shared" si="2"/>
        <v>3250.8888888888869</v>
      </c>
      <c r="J20" s="195">
        <f>T36_WKK!F34</f>
        <v>627</v>
      </c>
      <c r="K20">
        <f t="shared" si="3"/>
        <v>3200</v>
      </c>
      <c r="L20" s="195">
        <f t="shared" si="4"/>
        <v>3827</v>
      </c>
      <c r="M20" s="195">
        <f>T36_WKK!H34</f>
        <v>930</v>
      </c>
      <c r="N20" s="195">
        <f>T36_WKK!J34</f>
        <v>560</v>
      </c>
      <c r="O20" s="195">
        <f>T36_WKK!I34</f>
        <v>1280</v>
      </c>
      <c r="P20" s="195">
        <f t="shared" si="0"/>
        <v>1840</v>
      </c>
      <c r="Q20" s="195">
        <f>T36_WKK!K34</f>
        <v>741</v>
      </c>
      <c r="R20" s="195"/>
      <c r="S20" s="195">
        <f>T06_Einfuhr!M53</f>
        <v>34849</v>
      </c>
      <c r="T20" s="195">
        <f t="shared" si="5"/>
        <v>31022</v>
      </c>
    </row>
    <row r="21" spans="1:20">
      <c r="A21" s="197">
        <f>T05_PrimaerInland!A53</f>
        <v>2017</v>
      </c>
      <c r="B21" s="195">
        <f>T05_PrimaerInland!B53</f>
        <v>44620</v>
      </c>
      <c r="C21" s="195">
        <f>T06_Einfuhr!B54</f>
        <v>2190</v>
      </c>
      <c r="D21" s="195">
        <f t="shared" si="1"/>
        <v>46810</v>
      </c>
      <c r="F21" s="195">
        <f>T10_Bruttov!F114/3.6</f>
        <v>16577.777777777777</v>
      </c>
      <c r="G21" s="195">
        <f>T27_KVA!D35</f>
        <v>13333</v>
      </c>
      <c r="H21" s="195">
        <f t="shared" si="2"/>
        <v>3244.7777777777774</v>
      </c>
      <c r="J21" s="195">
        <f>T36_WKK!F35</f>
        <v>546</v>
      </c>
      <c r="K21">
        <f t="shared" si="3"/>
        <v>3202.5</v>
      </c>
      <c r="L21" s="195">
        <f t="shared" si="4"/>
        <v>3748.5</v>
      </c>
      <c r="M21" s="195">
        <f>T36_WKK!H35</f>
        <v>960</v>
      </c>
      <c r="N21" s="195">
        <f>T36_WKK!J35</f>
        <v>546</v>
      </c>
      <c r="O21" s="195">
        <f>T36_WKK!I35</f>
        <v>1281</v>
      </c>
      <c r="P21" s="195">
        <f t="shared" si="0"/>
        <v>1827</v>
      </c>
      <c r="Q21" s="195">
        <f>T36_WKK!K35</f>
        <v>705</v>
      </c>
      <c r="R21" s="195"/>
      <c r="S21" s="195">
        <f>T06_Einfuhr!M54</f>
        <v>34998</v>
      </c>
      <c r="T21" s="195">
        <f t="shared" si="5"/>
        <v>31249.5</v>
      </c>
    </row>
    <row r="22" spans="1:20">
      <c r="A22" s="197">
        <f>T05_PrimaerInland!A54</f>
        <v>2018</v>
      </c>
      <c r="B22" s="195">
        <f>T05_PrimaerInland!B54</f>
        <v>42140</v>
      </c>
      <c r="C22" s="195">
        <f>T06_Einfuhr!B55</f>
        <v>2120</v>
      </c>
      <c r="D22" s="195">
        <f t="shared" si="1"/>
        <v>44260</v>
      </c>
      <c r="F22" s="195">
        <f>T10_Bruttov!F115/3.6</f>
        <v>16761.111111111109</v>
      </c>
      <c r="G22" s="195">
        <f>T27_KVA!D36</f>
        <v>13445</v>
      </c>
      <c r="H22" s="195">
        <f t="shared" si="2"/>
        <v>3316.1111111111095</v>
      </c>
      <c r="J22" s="195">
        <f>T36_WKK!F36</f>
        <v>474</v>
      </c>
      <c r="K22">
        <f t="shared" si="3"/>
        <v>2890</v>
      </c>
      <c r="L22" s="195">
        <f t="shared" si="4"/>
        <v>3364</v>
      </c>
      <c r="M22" s="195">
        <f>T36_WKK!H36</f>
        <v>1004</v>
      </c>
      <c r="N22" s="195">
        <f>T36_WKK!J36</f>
        <v>538</v>
      </c>
      <c r="O22" s="195">
        <f>T36_WKK!I36</f>
        <v>1156</v>
      </c>
      <c r="P22" s="195">
        <f t="shared" si="0"/>
        <v>1694</v>
      </c>
      <c r="Q22" s="195">
        <f>T36_WKK!K36</f>
        <v>692</v>
      </c>
      <c r="R22" s="195"/>
      <c r="S22" s="195">
        <f>T06_Einfuhr!M55</f>
        <v>33197</v>
      </c>
      <c r="T22" s="195">
        <f t="shared" si="5"/>
        <v>29833</v>
      </c>
    </row>
    <row r="23" spans="1:20">
      <c r="A23" s="197">
        <f>T05_PrimaerInland!A55</f>
        <v>2019</v>
      </c>
      <c r="B23" s="195">
        <f>T05_PrimaerInland!B55</f>
        <v>44390</v>
      </c>
      <c r="C23" s="195">
        <f>T06_Einfuhr!B56</f>
        <v>1790</v>
      </c>
      <c r="D23" s="195">
        <f t="shared" si="1"/>
        <v>46180</v>
      </c>
      <c r="F23" s="195">
        <f>T10_Bruttov!F116/3.6</f>
        <v>17013.888888888887</v>
      </c>
      <c r="G23" s="195">
        <f>T27_KVA!D37</f>
        <v>13535</v>
      </c>
      <c r="H23" s="195">
        <f t="shared" si="2"/>
        <v>3478.8888888888869</v>
      </c>
      <c r="J23" s="195">
        <f>T36_WKK!F37</f>
        <v>426</v>
      </c>
      <c r="K23">
        <f t="shared" si="3"/>
        <v>3515</v>
      </c>
      <c r="L23" s="195">
        <f t="shared" si="4"/>
        <v>3941</v>
      </c>
      <c r="M23" s="195">
        <f>T36_WKK!H37</f>
        <v>1056</v>
      </c>
      <c r="N23" s="195">
        <f>T36_WKK!J37</f>
        <v>540</v>
      </c>
      <c r="O23" s="195">
        <f>T36_WKK!I37</f>
        <v>1406</v>
      </c>
      <c r="P23" s="195">
        <f t="shared" si="0"/>
        <v>1946</v>
      </c>
      <c r="Q23" s="195">
        <f>T36_WKK!K37</f>
        <v>689</v>
      </c>
      <c r="R23" s="195"/>
      <c r="S23" s="195">
        <f>T06_Einfuhr!M56</f>
        <v>34060</v>
      </c>
      <c r="T23" s="195">
        <f t="shared" si="5"/>
        <v>30119</v>
      </c>
    </row>
    <row r="24" spans="1:20">
      <c r="A24" s="197">
        <f>T05_PrimaerInland!A56</f>
        <v>2020</v>
      </c>
      <c r="B24" s="195">
        <f>T05_PrimaerInland!B56</f>
        <v>43650</v>
      </c>
      <c r="C24" s="195">
        <f>T06_Einfuhr!B57</f>
        <v>1930</v>
      </c>
      <c r="D24" s="195">
        <f t="shared" si="1"/>
        <v>45580</v>
      </c>
      <c r="F24" s="195">
        <f>T10_Bruttov!F117/3.6</f>
        <v>17002.777777777777</v>
      </c>
      <c r="G24" s="195">
        <f>T27_KVA!D38</f>
        <v>13574</v>
      </c>
      <c r="H24" s="195">
        <f t="shared" si="2"/>
        <v>3428.7777777777774</v>
      </c>
      <c r="J24" s="195">
        <f>T36_WKK!F38</f>
        <v>413</v>
      </c>
      <c r="K24">
        <f t="shared" si="3"/>
        <v>3345</v>
      </c>
      <c r="L24" s="195">
        <f t="shared" si="4"/>
        <v>3758</v>
      </c>
      <c r="M24" s="195">
        <f>T36_WKK!H38</f>
        <v>1183</v>
      </c>
      <c r="N24" s="195">
        <f>T36_WKK!J38</f>
        <v>580</v>
      </c>
      <c r="O24" s="195">
        <f>T36_WKK!I38</f>
        <v>1338</v>
      </c>
      <c r="P24" s="195">
        <f t="shared" si="0"/>
        <v>1918</v>
      </c>
      <c r="Q24" s="195">
        <f>T36_WKK!K38</f>
        <v>719</v>
      </c>
      <c r="R24" s="195"/>
      <c r="S24" s="195">
        <f>T06_Einfuhr!M57</f>
        <v>33163</v>
      </c>
      <c r="T24" s="195">
        <f t="shared" si="5"/>
        <v>29405</v>
      </c>
    </row>
    <row r="25" spans="1:20">
      <c r="A25" s="197">
        <f>T05_PrimaerInland!A57</f>
        <v>2021</v>
      </c>
      <c r="B25" s="195">
        <f>T05_PrimaerInland!B57</f>
        <v>51390</v>
      </c>
      <c r="C25" s="195">
        <f>T06_Einfuhr!B58</f>
        <v>1880</v>
      </c>
      <c r="D25" s="195">
        <f t="shared" si="1"/>
        <v>53270</v>
      </c>
      <c r="F25" s="195">
        <f>T10_Bruttov!F118/3.6</f>
        <v>16827.777777777777</v>
      </c>
      <c r="G25" s="195">
        <f>T27_KVA!D39</f>
        <v>13305</v>
      </c>
      <c r="H25" s="195">
        <f t="shared" si="2"/>
        <v>3522.7777777777774</v>
      </c>
      <c r="J25" s="195">
        <f>T36_WKK!F39</f>
        <v>357</v>
      </c>
      <c r="K25">
        <f t="shared" si="3"/>
        <v>4065</v>
      </c>
      <c r="L25" s="195">
        <f t="shared" si="4"/>
        <v>4422</v>
      </c>
      <c r="M25" s="195">
        <f>T36_WKK!H39</f>
        <v>1220</v>
      </c>
      <c r="N25" s="195">
        <f>T36_WKK!J39</f>
        <v>574</v>
      </c>
      <c r="O25" s="195">
        <f>T36_WKK!I39</f>
        <v>1626</v>
      </c>
      <c r="P25" s="195">
        <f t="shared" si="0"/>
        <v>2200</v>
      </c>
      <c r="Q25" s="195">
        <f>T36_WKK!K39</f>
        <v>707</v>
      </c>
      <c r="R25" s="195"/>
      <c r="S25" s="195">
        <f>T06_Einfuhr!M58</f>
        <v>36069</v>
      </c>
      <c r="T25" s="195">
        <f t="shared" si="5"/>
        <v>31647</v>
      </c>
    </row>
    <row r="26" spans="1:20">
      <c r="A26" s="197">
        <f>T05_PrimaerInland!A58</f>
        <v>2022</v>
      </c>
      <c r="B26" s="195">
        <f>T05_PrimaerInland!B58</f>
        <v>45940</v>
      </c>
      <c r="C26" s="195">
        <f>T06_Einfuhr!B59</f>
        <v>2390</v>
      </c>
      <c r="D26" s="195">
        <f t="shared" si="1"/>
        <v>48330</v>
      </c>
      <c r="F26" s="195">
        <f>T10_Bruttov!F119/3.6</f>
        <v>16188.888888888889</v>
      </c>
      <c r="G26" s="195">
        <f>T27_KVA!D40</f>
        <v>12774</v>
      </c>
      <c r="H26" s="195">
        <f t="shared" si="2"/>
        <v>3414.8888888888887</v>
      </c>
      <c r="J26" s="195">
        <f>T36_WKK!F40</f>
        <v>309</v>
      </c>
      <c r="K26">
        <f t="shared" si="3"/>
        <v>3067.5</v>
      </c>
      <c r="L26" s="195">
        <f t="shared" si="4"/>
        <v>3376.5</v>
      </c>
      <c r="M26" s="195">
        <f>T36_WKK!H40</f>
        <v>1231</v>
      </c>
      <c r="N26" s="195">
        <f>T36_WKK!J40</f>
        <v>559</v>
      </c>
      <c r="O26" s="195">
        <f>T36_WKK!I40</f>
        <v>1227</v>
      </c>
      <c r="P26" s="195">
        <f t="shared" si="0"/>
        <v>1786</v>
      </c>
      <c r="Q26" s="195">
        <f>T36_WKK!K40</f>
        <v>687</v>
      </c>
      <c r="R26" s="195"/>
      <c r="S26" s="195">
        <f>T06_Einfuhr!M59</f>
        <v>29685</v>
      </c>
      <c r="T26" s="195">
        <f t="shared" si="5"/>
        <v>26308.5</v>
      </c>
    </row>
    <row r="27" spans="1:20">
      <c r="A27" s="197">
        <f>T05_PrimaerInland!A59</f>
        <v>2023</v>
      </c>
      <c r="B27" s="195">
        <f>T05_PrimaerInland!B59</f>
        <v>48520</v>
      </c>
      <c r="C27" s="195">
        <f>T06_Einfuhr!B60</f>
        <v>1920</v>
      </c>
      <c r="D27" s="195">
        <f t="shared" si="1"/>
        <v>50440</v>
      </c>
      <c r="F27" s="195">
        <f>T10_Bruttov!F120/3.6</f>
        <v>16200</v>
      </c>
      <c r="G27" s="195">
        <f>T27_KVA!D41</f>
        <v>12859</v>
      </c>
      <c r="H27" s="195">
        <f t="shared" si="2"/>
        <v>3341</v>
      </c>
      <c r="J27" s="195">
        <f>T36_WKK!F41</f>
        <v>257</v>
      </c>
      <c r="K27">
        <f t="shared" si="3"/>
        <v>3292.5</v>
      </c>
      <c r="L27" s="195">
        <f t="shared" si="4"/>
        <v>3549.5</v>
      </c>
      <c r="M27" s="195">
        <f>T36_WKK!H41</f>
        <v>1253</v>
      </c>
      <c r="N27" s="195">
        <f>T36_WKK!J41</f>
        <v>549</v>
      </c>
      <c r="O27" s="195">
        <f>T36_WKK!I41</f>
        <v>1317</v>
      </c>
      <c r="P27" s="195">
        <f t="shared" si="0"/>
        <v>1866</v>
      </c>
      <c r="Q27" s="195">
        <f>T36_WKK!K41</f>
        <v>678</v>
      </c>
      <c r="R27" s="195"/>
      <c r="S27" s="195">
        <f>T06_Einfuhr!M60</f>
        <v>27483</v>
      </c>
      <c r="T27" s="195">
        <f t="shared" si="5"/>
        <v>23933.5</v>
      </c>
    </row>
    <row r="28" spans="1:20">
      <c r="A28" s="197">
        <f>T05_PrimaerInland!A60</f>
        <v>2024</v>
      </c>
      <c r="B28" s="195">
        <f>T05_PrimaerInland!B60</f>
        <v>48860</v>
      </c>
      <c r="C28" s="195">
        <f>T06_Einfuhr!B61</f>
        <v>2400</v>
      </c>
      <c r="D28" s="195">
        <f t="shared" si="1"/>
        <v>51260</v>
      </c>
      <c r="F28" s="195">
        <f>T10_Bruttov!F121/3.6</f>
        <v>16716.666666666668</v>
      </c>
      <c r="G28" s="195">
        <f>T27_KVA!D42</f>
        <v>13204</v>
      </c>
      <c r="H28" s="195">
        <f t="shared" si="2"/>
        <v>3512.6666666666679</v>
      </c>
      <c r="J28" s="195">
        <f>T36_WKK!F42</f>
        <v>221</v>
      </c>
      <c r="K28">
        <f t="shared" si="3"/>
        <v>4020</v>
      </c>
      <c r="L28" s="195">
        <f t="shared" si="4"/>
        <v>4241</v>
      </c>
      <c r="M28" s="195">
        <f>T36_WKK!H42</f>
        <v>1263</v>
      </c>
      <c r="N28" s="195">
        <f>T36_WKK!J42</f>
        <v>540</v>
      </c>
      <c r="O28" s="195">
        <f>T36_WKK!I42</f>
        <v>1608</v>
      </c>
      <c r="P28" s="195">
        <f t="shared" si="0"/>
        <v>2148</v>
      </c>
      <c r="Q28" s="195">
        <f>T36_WKK!K42</f>
        <v>662</v>
      </c>
      <c r="R28" s="195"/>
      <c r="S28" s="195">
        <f>T06_Einfuhr!M61</f>
        <v>27911</v>
      </c>
      <c r="T28" s="195">
        <f t="shared" si="5"/>
        <v>23670</v>
      </c>
    </row>
    <row r="29" spans="1:20">
      <c r="A29" s="197">
        <v>2025</v>
      </c>
      <c r="B29" s="195">
        <f>T05_PrimaerInland!B61</f>
        <v>0</v>
      </c>
      <c r="C29" s="195">
        <f>T06_Einfuhr!B62</f>
        <v>0</v>
      </c>
      <c r="D29" s="195">
        <f t="shared" si="1"/>
        <v>0</v>
      </c>
      <c r="F29" s="195">
        <f>T10_Bruttov!F122/3.6</f>
        <v>0</v>
      </c>
      <c r="G29" s="195">
        <f>T27_KVA!D43</f>
        <v>0</v>
      </c>
      <c r="H29" s="195">
        <f t="shared" si="2"/>
        <v>0</v>
      </c>
      <c r="J29" s="195">
        <f>T36_WKK!F43</f>
        <v>0</v>
      </c>
      <c r="K29">
        <f t="shared" si="3"/>
        <v>0</v>
      </c>
      <c r="L29" s="195">
        <f t="shared" si="4"/>
        <v>0</v>
      </c>
      <c r="M29" s="195">
        <f>T36_WKK!H43</f>
        <v>0</v>
      </c>
      <c r="N29" s="195">
        <f>T36_WKK!J43</f>
        <v>0</v>
      </c>
      <c r="O29" s="195">
        <f>T36_WKK!I43</f>
        <v>0</v>
      </c>
      <c r="P29" s="195">
        <f t="shared" si="0"/>
        <v>0</v>
      </c>
      <c r="Q29" s="195">
        <f>T36_WKK!K43</f>
        <v>0</v>
      </c>
      <c r="R29" s="195"/>
      <c r="S29" s="195">
        <f>T06_Einfuhr!M62</f>
        <v>0</v>
      </c>
      <c r="T29" s="195">
        <f t="shared" si="5"/>
        <v>0</v>
      </c>
    </row>
    <row r="30" spans="1:20">
      <c r="A30" s="197">
        <v>2026</v>
      </c>
      <c r="B30" s="195">
        <f>T05_PrimaerInland!B62</f>
        <v>0</v>
      </c>
      <c r="C30" s="195">
        <f>T06_Einfuhr!B63</f>
        <v>0</v>
      </c>
      <c r="D30" s="195">
        <f t="shared" si="1"/>
        <v>0</v>
      </c>
      <c r="F30" s="195">
        <f>T10_Bruttov!F123/3.6</f>
        <v>0</v>
      </c>
      <c r="G30" s="195">
        <f>T27_KVA!D44</f>
        <v>0</v>
      </c>
      <c r="H30" s="195">
        <f t="shared" si="2"/>
        <v>0</v>
      </c>
      <c r="J30" s="195">
        <f>T36_WKK!F44</f>
        <v>0</v>
      </c>
      <c r="K30">
        <f t="shared" si="3"/>
        <v>0</v>
      </c>
      <c r="L30" s="195">
        <f t="shared" si="4"/>
        <v>0</v>
      </c>
      <c r="M30" s="195">
        <f>T36_WKK!H44</f>
        <v>0</v>
      </c>
      <c r="N30" s="195">
        <f>T36_WKK!J44</f>
        <v>0</v>
      </c>
      <c r="O30" s="195">
        <f>T36_WKK!I44</f>
        <v>0</v>
      </c>
      <c r="P30" s="195">
        <f t="shared" si="0"/>
        <v>0</v>
      </c>
      <c r="Q30" s="195">
        <f>T36_WKK!K44</f>
        <v>0</v>
      </c>
      <c r="R30" s="195"/>
      <c r="S30" s="195">
        <f>T06_Einfuhr!M63</f>
        <v>0</v>
      </c>
      <c r="T30" s="195">
        <f t="shared" si="5"/>
        <v>0</v>
      </c>
    </row>
    <row r="31" spans="1:20">
      <c r="A31" s="197">
        <v>2027</v>
      </c>
      <c r="B31" s="195">
        <f>T05_PrimaerInland!B63</f>
        <v>0</v>
      </c>
      <c r="C31" s="195">
        <f>T06_Einfuhr!B64</f>
        <v>0</v>
      </c>
      <c r="D31" s="195">
        <f t="shared" si="1"/>
        <v>0</v>
      </c>
      <c r="F31" s="195">
        <f>T10_Bruttov!F124/3.6</f>
        <v>0</v>
      </c>
      <c r="G31" s="195">
        <f>T27_KVA!D45</f>
        <v>0</v>
      </c>
      <c r="H31" s="195">
        <f t="shared" si="2"/>
        <v>0</v>
      </c>
      <c r="J31" s="195">
        <f>T36_WKK!F45</f>
        <v>0</v>
      </c>
      <c r="K31">
        <f t="shared" si="3"/>
        <v>0</v>
      </c>
      <c r="L31" s="195">
        <f t="shared" si="4"/>
        <v>0</v>
      </c>
      <c r="M31" s="195">
        <f>T36_WKK!H45</f>
        <v>0</v>
      </c>
      <c r="N31" s="195">
        <f>T36_WKK!J45</f>
        <v>0</v>
      </c>
      <c r="O31" s="195">
        <f>T36_WKK!I45</f>
        <v>0</v>
      </c>
      <c r="P31" s="195">
        <f t="shared" si="0"/>
        <v>0</v>
      </c>
      <c r="Q31" s="195">
        <f>T36_WKK!K45</f>
        <v>0</v>
      </c>
      <c r="R31" s="195"/>
      <c r="S31" s="195">
        <f>T06_Einfuhr!M64</f>
        <v>0</v>
      </c>
      <c r="T31" s="195">
        <f t="shared" si="5"/>
        <v>0</v>
      </c>
    </row>
    <row r="32" spans="1:20">
      <c r="A32" s="197">
        <v>2028</v>
      </c>
      <c r="B32" s="195">
        <f>T05_PrimaerInland!B64</f>
        <v>0</v>
      </c>
      <c r="C32" s="195">
        <f>T06_Einfuhr!B65</f>
        <v>0</v>
      </c>
      <c r="D32" s="195">
        <f t="shared" si="1"/>
        <v>0</v>
      </c>
      <c r="F32" s="195">
        <f>T10_Bruttov!F125/3.6</f>
        <v>0</v>
      </c>
      <c r="G32" s="195">
        <f>T27_KVA!D46</f>
        <v>0</v>
      </c>
      <c r="H32" s="195">
        <f t="shared" si="2"/>
        <v>0</v>
      </c>
      <c r="J32" s="195">
        <f>T36_WKK!F46</f>
        <v>0</v>
      </c>
      <c r="K32">
        <f t="shared" si="3"/>
        <v>0</v>
      </c>
      <c r="L32" s="195">
        <f t="shared" si="4"/>
        <v>0</v>
      </c>
      <c r="M32" s="195">
        <f>T36_WKK!H46</f>
        <v>0</v>
      </c>
      <c r="N32" s="195">
        <f>T36_WKK!J46</f>
        <v>0</v>
      </c>
      <c r="O32" s="195">
        <f>T36_WKK!I46</f>
        <v>0</v>
      </c>
      <c r="P32" s="195">
        <f t="shared" si="0"/>
        <v>0</v>
      </c>
      <c r="Q32" s="195">
        <f>T36_WKK!K46</f>
        <v>0</v>
      </c>
      <c r="R32" s="195"/>
      <c r="S32" s="195">
        <f>T06_Einfuhr!M65</f>
        <v>0</v>
      </c>
      <c r="T32" s="195">
        <f t="shared" si="5"/>
        <v>0</v>
      </c>
    </row>
    <row r="33" spans="1:20">
      <c r="A33" s="197">
        <v>2029</v>
      </c>
      <c r="B33" s="195">
        <f>T05_PrimaerInland!B65</f>
        <v>0</v>
      </c>
      <c r="C33" s="195">
        <f>T06_Einfuhr!B66</f>
        <v>0</v>
      </c>
      <c r="D33" s="195">
        <f t="shared" si="1"/>
        <v>0</v>
      </c>
      <c r="F33" s="195">
        <f>T10_Bruttov!F126/3.6</f>
        <v>0</v>
      </c>
      <c r="G33" s="195">
        <f>T27_KVA!D47</f>
        <v>0</v>
      </c>
      <c r="H33" s="195">
        <f t="shared" si="2"/>
        <v>0</v>
      </c>
      <c r="J33" s="195">
        <f>T36_WKK!F47</f>
        <v>0</v>
      </c>
      <c r="K33">
        <f t="shared" si="3"/>
        <v>0</v>
      </c>
      <c r="L33" s="195">
        <f t="shared" si="4"/>
        <v>0</v>
      </c>
      <c r="M33" s="195">
        <f>T36_WKK!H47</f>
        <v>0</v>
      </c>
      <c r="N33" s="195">
        <f>T36_WKK!J47</f>
        <v>0</v>
      </c>
      <c r="O33" s="195">
        <f>T36_WKK!I47</f>
        <v>0</v>
      </c>
      <c r="P33" s="195">
        <f t="shared" si="0"/>
        <v>0</v>
      </c>
      <c r="Q33" s="195">
        <f>T36_WKK!K47</f>
        <v>0</v>
      </c>
      <c r="R33" s="195"/>
      <c r="S33" s="195">
        <f>T06_Einfuhr!M66</f>
        <v>0</v>
      </c>
      <c r="T33" s="195">
        <f t="shared" si="5"/>
        <v>0</v>
      </c>
    </row>
    <row r="34" spans="1:20">
      <c r="A34" s="197">
        <v>2030</v>
      </c>
      <c r="B34" s="195">
        <f>T05_PrimaerInland!B66</f>
        <v>0</v>
      </c>
      <c r="C34" s="195">
        <f>T06_Einfuhr!B67</f>
        <v>0</v>
      </c>
      <c r="D34" s="195">
        <f t="shared" si="1"/>
        <v>0</v>
      </c>
      <c r="F34" s="195">
        <f>T10_Bruttov!F127/3.6</f>
        <v>0</v>
      </c>
      <c r="G34" s="195">
        <f>T27_KVA!D48</f>
        <v>0</v>
      </c>
      <c r="H34" s="195">
        <f t="shared" si="2"/>
        <v>0</v>
      </c>
      <c r="J34" s="195">
        <f>T36_WKK!F48</f>
        <v>0</v>
      </c>
      <c r="K34">
        <f t="shared" si="3"/>
        <v>0</v>
      </c>
      <c r="L34" s="195">
        <f t="shared" si="4"/>
        <v>0</v>
      </c>
      <c r="M34" s="195">
        <f>T36_WKK!H48</f>
        <v>0</v>
      </c>
      <c r="N34" s="195">
        <f>T36_WKK!J48</f>
        <v>0</v>
      </c>
      <c r="O34" s="195">
        <f>T36_WKK!I48</f>
        <v>0</v>
      </c>
      <c r="P34" s="195">
        <f t="shared" si="0"/>
        <v>0</v>
      </c>
      <c r="Q34" s="195">
        <f>T36_WKK!K48</f>
        <v>0</v>
      </c>
      <c r="R34" s="195"/>
      <c r="S34" s="195">
        <f>T06_Einfuhr!M67</f>
        <v>0</v>
      </c>
      <c r="T34" s="195">
        <f t="shared" si="5"/>
        <v>0</v>
      </c>
    </row>
    <row r="35" spans="1:20">
      <c r="A35" s="197"/>
    </row>
    <row r="36" spans="1:20">
      <c r="A36" s="197"/>
    </row>
    <row r="37" spans="1:20">
      <c r="A37" s="197"/>
    </row>
    <row r="38" spans="1:20">
      <c r="A38" s="197"/>
    </row>
    <row r="39" spans="1:20">
      <c r="A39" s="197"/>
    </row>
    <row r="40" spans="1:20">
      <c r="A40" s="197"/>
    </row>
    <row r="41" spans="1:20">
      <c r="A41" s="197"/>
    </row>
    <row r="42" spans="1:20">
      <c r="A42" s="197"/>
    </row>
    <row r="43" spans="1:20">
      <c r="A43" s="197"/>
    </row>
    <row r="44" spans="1:20">
      <c r="A44" s="197"/>
    </row>
    <row r="45" spans="1:20">
      <c r="A45" s="197"/>
    </row>
    <row r="46" spans="1:20">
      <c r="A46" s="197"/>
    </row>
    <row r="47" spans="1:20">
      <c r="A47" s="197"/>
    </row>
    <row r="48" spans="1:20">
      <c r="A48" s="197"/>
    </row>
    <row r="49" spans="1:1">
      <c r="A49" s="197"/>
    </row>
    <row r="50" spans="1:1">
      <c r="A50" s="197"/>
    </row>
    <row r="51" spans="1:1">
      <c r="A51" s="197"/>
    </row>
    <row r="52" spans="1:1">
      <c r="A52" s="197"/>
    </row>
    <row r="53" spans="1:1">
      <c r="A53" s="197"/>
    </row>
    <row r="54" spans="1:1">
      <c r="A54" s="197"/>
    </row>
    <row r="55" spans="1:1">
      <c r="A55" s="197"/>
    </row>
    <row r="56" spans="1:1">
      <c r="A56" s="197"/>
    </row>
    <row r="57" spans="1:1">
      <c r="A57" s="197"/>
    </row>
    <row r="58" spans="1:1">
      <c r="A58" s="197"/>
    </row>
    <row r="59" spans="1:1">
      <c r="A59" s="197"/>
    </row>
    <row r="60" spans="1:1">
      <c r="A60" s="197"/>
    </row>
    <row r="61" spans="1:1">
      <c r="A61" s="197"/>
    </row>
    <row r="62" spans="1:1">
      <c r="A62" s="197"/>
    </row>
    <row r="63" spans="1:1">
      <c r="A63" s="197"/>
    </row>
    <row r="64" spans="1:1">
      <c r="A64" s="197"/>
    </row>
    <row r="65" spans="1:1">
      <c r="A65" s="197"/>
    </row>
    <row r="66" spans="1:1">
      <c r="A66" s="197"/>
    </row>
    <row r="67" spans="1:1">
      <c r="A67" s="197"/>
    </row>
    <row r="68" spans="1:1">
      <c r="A68" s="197"/>
    </row>
    <row r="69" spans="1:1">
      <c r="A69" s="19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06AF0-03E4-4B14-AED0-ABCFDA8A8953}">
  <sheetPr codeName="Tabelle17">
    <tabColor rgb="FFFF0000"/>
  </sheetPr>
  <dimension ref="A1:AO145"/>
  <sheetViews>
    <sheetView workbookViewId="0">
      <selection activeCell="C8" sqref="C8"/>
    </sheetView>
  </sheetViews>
  <sheetFormatPr defaultColWidth="11.54296875" defaultRowHeight="12.5"/>
  <cols>
    <col min="1" max="1" width="8.7265625" style="4" customWidth="1"/>
    <col min="2" max="16" width="11.7265625" style="4" customWidth="1"/>
    <col min="17" max="17" width="11.54296875" style="4"/>
    <col min="18" max="20" width="11.54296875" style="34"/>
    <col min="21" max="21" width="11.81640625" style="34" customWidth="1"/>
    <col min="22" max="41" width="11.54296875" style="34"/>
    <col min="42" max="16384" width="11.54296875" style="4"/>
  </cols>
  <sheetData>
    <row r="1" spans="1:41" ht="13">
      <c r="A1" s="3" t="s">
        <v>188</v>
      </c>
      <c r="P1" s="5" t="s">
        <v>189</v>
      </c>
      <c r="R1" s="4"/>
      <c r="S1" s="4"/>
      <c r="T1" s="4"/>
      <c r="U1" s="4"/>
      <c r="V1" s="4"/>
      <c r="W1" s="4"/>
      <c r="X1" s="4"/>
      <c r="Y1" s="4"/>
      <c r="Z1" s="4"/>
      <c r="AA1" s="4"/>
      <c r="AB1" s="4"/>
      <c r="AC1" s="4"/>
      <c r="AD1" s="4"/>
      <c r="AE1" s="4"/>
      <c r="AF1" s="4"/>
      <c r="AG1" s="4"/>
      <c r="AH1" s="4"/>
      <c r="AI1" s="4"/>
      <c r="AJ1" s="4"/>
      <c r="AK1" s="4"/>
      <c r="AL1" s="4"/>
      <c r="AM1" s="4"/>
      <c r="AN1" s="4"/>
      <c r="AO1" s="4"/>
    </row>
    <row r="2" spans="1:41" ht="13">
      <c r="A2" s="3" t="s">
        <v>190</v>
      </c>
      <c r="P2" s="5" t="s">
        <v>191</v>
      </c>
      <c r="R2" s="4"/>
      <c r="S2" s="4"/>
      <c r="T2" s="4"/>
      <c r="U2" s="4"/>
      <c r="V2" s="4"/>
      <c r="W2" s="4"/>
      <c r="X2" s="4"/>
      <c r="Y2" s="4"/>
      <c r="Z2" s="4"/>
      <c r="AA2" s="4"/>
      <c r="AB2" s="4"/>
      <c r="AC2" s="4"/>
      <c r="AD2" s="4"/>
      <c r="AE2" s="4"/>
      <c r="AF2" s="4"/>
      <c r="AG2" s="4"/>
      <c r="AH2" s="4"/>
      <c r="AI2" s="4"/>
      <c r="AJ2" s="4"/>
      <c r="AK2" s="4"/>
      <c r="AL2" s="4"/>
      <c r="AM2" s="4"/>
      <c r="AN2" s="4"/>
      <c r="AO2" s="4"/>
    </row>
    <row r="3" spans="1:41">
      <c r="R3" s="4"/>
      <c r="S3" s="4"/>
      <c r="T3" s="4"/>
      <c r="U3" s="4"/>
      <c r="V3" s="4"/>
      <c r="W3" s="4"/>
      <c r="X3" s="4"/>
      <c r="Y3" s="4"/>
      <c r="Z3" s="4"/>
      <c r="AA3" s="4"/>
      <c r="AB3" s="4"/>
      <c r="AC3" s="4"/>
      <c r="AD3" s="4"/>
      <c r="AE3" s="4"/>
      <c r="AF3" s="4"/>
      <c r="AG3" s="4"/>
      <c r="AH3" s="4"/>
      <c r="AI3" s="4"/>
      <c r="AJ3" s="4"/>
      <c r="AK3" s="4"/>
      <c r="AL3" s="4"/>
      <c r="AM3" s="4"/>
      <c r="AN3" s="4"/>
      <c r="AO3" s="4"/>
    </row>
    <row r="4" spans="1:41" s="95" customFormat="1" ht="15" customHeight="1">
      <c r="A4" s="258" t="s">
        <v>55</v>
      </c>
      <c r="B4" s="259" t="s">
        <v>116</v>
      </c>
      <c r="C4" s="260"/>
      <c r="D4" s="261"/>
      <c r="E4" s="258" t="s">
        <v>161</v>
      </c>
      <c r="F4" s="258" t="s">
        <v>192</v>
      </c>
      <c r="G4" s="258" t="s">
        <v>83</v>
      </c>
      <c r="H4" s="258" t="s">
        <v>193</v>
      </c>
      <c r="I4" s="258" t="s">
        <v>194</v>
      </c>
      <c r="J4" s="258" t="s">
        <v>195</v>
      </c>
      <c r="K4" s="259" t="s">
        <v>196</v>
      </c>
      <c r="L4" s="260"/>
      <c r="M4" s="260"/>
      <c r="N4" s="260"/>
      <c r="O4" s="261"/>
      <c r="P4" s="258" t="s">
        <v>61</v>
      </c>
    </row>
    <row r="5" spans="1:41" ht="24.75" customHeight="1">
      <c r="A5" s="253"/>
      <c r="B5" s="96" t="s">
        <v>197</v>
      </c>
      <c r="C5" s="97" t="s">
        <v>198</v>
      </c>
      <c r="D5" s="42" t="s">
        <v>61</v>
      </c>
      <c r="E5" s="253"/>
      <c r="F5" s="253"/>
      <c r="G5" s="253"/>
      <c r="H5" s="253"/>
      <c r="I5" s="253"/>
      <c r="J5" s="253"/>
      <c r="K5" s="98" t="s">
        <v>199</v>
      </c>
      <c r="L5" s="99" t="s">
        <v>200</v>
      </c>
      <c r="M5" s="99" t="s">
        <v>201</v>
      </c>
      <c r="N5" s="99" t="s">
        <v>202</v>
      </c>
      <c r="O5" s="42" t="s">
        <v>61</v>
      </c>
      <c r="P5" s="253"/>
      <c r="R5" s="4"/>
      <c r="S5" s="4"/>
      <c r="T5" s="4"/>
      <c r="U5" s="4"/>
      <c r="V5" s="4"/>
      <c r="W5" s="4"/>
      <c r="X5" s="4"/>
      <c r="Y5" s="4"/>
      <c r="Z5" s="4"/>
      <c r="AA5" s="4"/>
      <c r="AB5" s="4"/>
      <c r="AC5" s="4"/>
      <c r="AD5" s="4"/>
      <c r="AE5" s="4"/>
      <c r="AF5" s="4"/>
      <c r="AG5" s="4"/>
      <c r="AH5" s="4"/>
      <c r="AI5" s="4"/>
      <c r="AJ5" s="4"/>
      <c r="AK5" s="4"/>
      <c r="AL5" s="4"/>
      <c r="AM5" s="4"/>
      <c r="AN5" s="4"/>
      <c r="AO5" s="4"/>
    </row>
    <row r="6" spans="1:41" ht="15" customHeight="1">
      <c r="A6" s="253" t="s">
        <v>62</v>
      </c>
      <c r="B6" s="255" t="s">
        <v>119</v>
      </c>
      <c r="C6" s="256"/>
      <c r="D6" s="257"/>
      <c r="E6" s="253" t="s">
        <v>164</v>
      </c>
      <c r="F6" s="253" t="s">
        <v>66</v>
      </c>
      <c r="G6" s="253" t="s">
        <v>92</v>
      </c>
      <c r="H6" s="253" t="s">
        <v>203</v>
      </c>
      <c r="I6" s="253" t="s">
        <v>204</v>
      </c>
      <c r="J6" s="253" t="s">
        <v>205</v>
      </c>
      <c r="K6" s="255" t="s">
        <v>206</v>
      </c>
      <c r="L6" s="256"/>
      <c r="M6" s="256"/>
      <c r="N6" s="256"/>
      <c r="O6" s="257"/>
      <c r="P6" s="253" t="s">
        <v>61</v>
      </c>
      <c r="R6" s="4"/>
      <c r="S6" s="4"/>
      <c r="T6" s="4"/>
      <c r="U6" s="4"/>
      <c r="V6" s="4"/>
      <c r="W6" s="4"/>
      <c r="X6" s="4"/>
      <c r="Y6" s="4"/>
      <c r="Z6" s="4"/>
      <c r="AA6" s="4"/>
      <c r="AB6" s="4"/>
      <c r="AC6" s="4"/>
      <c r="AD6" s="4"/>
      <c r="AE6" s="4"/>
      <c r="AF6" s="4"/>
      <c r="AG6" s="4"/>
      <c r="AH6" s="4"/>
      <c r="AI6" s="4"/>
      <c r="AJ6" s="4"/>
      <c r="AK6" s="4"/>
      <c r="AL6" s="4"/>
      <c r="AM6" s="4"/>
      <c r="AN6" s="4"/>
      <c r="AO6" s="4"/>
    </row>
    <row r="7" spans="1:41" ht="24.75" customHeight="1">
      <c r="A7" s="254"/>
      <c r="B7" s="89" t="s">
        <v>207</v>
      </c>
      <c r="C7" s="12" t="s">
        <v>208</v>
      </c>
      <c r="D7" s="100" t="s">
        <v>61</v>
      </c>
      <c r="E7" s="254"/>
      <c r="F7" s="254"/>
      <c r="G7" s="254"/>
      <c r="H7" s="254"/>
      <c r="I7" s="254"/>
      <c r="J7" s="254"/>
      <c r="K7" s="101" t="s">
        <v>209</v>
      </c>
      <c r="L7" s="102" t="s">
        <v>210</v>
      </c>
      <c r="M7" s="102" t="s">
        <v>211</v>
      </c>
      <c r="N7" s="102" t="s">
        <v>212</v>
      </c>
      <c r="O7" s="100" t="s">
        <v>61</v>
      </c>
      <c r="P7" s="254"/>
      <c r="R7" s="4"/>
      <c r="S7" s="4"/>
      <c r="T7" s="4"/>
      <c r="U7" s="4"/>
      <c r="V7" s="4"/>
      <c r="W7" s="4"/>
      <c r="X7" s="4"/>
      <c r="Y7" s="4"/>
      <c r="Z7" s="4"/>
      <c r="AA7" s="4"/>
      <c r="AB7" s="4"/>
      <c r="AC7" s="4"/>
      <c r="AD7" s="4"/>
      <c r="AE7" s="4"/>
      <c r="AF7" s="4"/>
      <c r="AG7" s="4"/>
      <c r="AH7" s="4"/>
      <c r="AI7" s="4"/>
      <c r="AJ7" s="4"/>
      <c r="AK7" s="4"/>
      <c r="AL7" s="4"/>
      <c r="AM7" s="4"/>
      <c r="AN7" s="4"/>
      <c r="AO7" s="4"/>
    </row>
    <row r="8" spans="1:41">
      <c r="A8" s="19">
        <v>1910</v>
      </c>
      <c r="B8" s="15">
        <v>240</v>
      </c>
      <c r="C8" s="83">
        <v>500</v>
      </c>
      <c r="D8" s="92">
        <v>740</v>
      </c>
      <c r="E8" s="63">
        <v>3530</v>
      </c>
      <c r="F8" s="63">
        <v>2220</v>
      </c>
      <c r="G8" s="63">
        <v>76310</v>
      </c>
      <c r="H8" s="63">
        <v>17190</v>
      </c>
      <c r="I8" s="23" t="s">
        <v>68</v>
      </c>
      <c r="J8" s="23" t="s">
        <v>68</v>
      </c>
      <c r="K8" s="21" t="s">
        <v>68</v>
      </c>
      <c r="L8" s="21" t="s">
        <v>68</v>
      </c>
      <c r="M8" s="21" t="s">
        <v>68</v>
      </c>
      <c r="N8" s="21" t="s">
        <v>68</v>
      </c>
      <c r="O8" s="22" t="s">
        <v>68</v>
      </c>
      <c r="P8" s="82">
        <v>99990</v>
      </c>
      <c r="R8" s="4"/>
      <c r="S8" s="4"/>
      <c r="T8" s="4"/>
      <c r="U8" s="4"/>
      <c r="V8" s="4"/>
      <c r="W8" s="4"/>
      <c r="X8" s="4"/>
      <c r="Y8" s="4"/>
      <c r="Z8" s="4"/>
      <c r="AA8" s="4"/>
      <c r="AB8" s="4"/>
      <c r="AC8" s="4"/>
      <c r="AD8" s="4"/>
      <c r="AE8" s="4"/>
      <c r="AF8" s="4"/>
      <c r="AG8" s="4"/>
      <c r="AH8" s="4"/>
      <c r="AI8" s="4"/>
      <c r="AJ8" s="4"/>
      <c r="AK8" s="4"/>
      <c r="AL8" s="4"/>
      <c r="AM8" s="4"/>
      <c r="AN8" s="4"/>
      <c r="AO8" s="4"/>
    </row>
    <row r="9" spans="1:41">
      <c r="A9" s="19">
        <v>1911</v>
      </c>
      <c r="B9" s="59">
        <v>340</v>
      </c>
      <c r="C9" s="83">
        <v>620</v>
      </c>
      <c r="D9" s="92">
        <v>960</v>
      </c>
      <c r="E9" s="63">
        <v>4330</v>
      </c>
      <c r="F9" s="63">
        <v>2350</v>
      </c>
      <c r="G9" s="63">
        <v>84660</v>
      </c>
      <c r="H9" s="63">
        <v>17190</v>
      </c>
      <c r="I9" s="23" t="s">
        <v>68</v>
      </c>
      <c r="J9" s="23" t="s">
        <v>68</v>
      </c>
      <c r="K9" s="21" t="s">
        <v>68</v>
      </c>
      <c r="L9" s="21" t="s">
        <v>68</v>
      </c>
      <c r="M9" s="21" t="s">
        <v>68</v>
      </c>
      <c r="N9" s="21" t="s">
        <v>68</v>
      </c>
      <c r="O9" s="22" t="s">
        <v>68</v>
      </c>
      <c r="P9" s="63">
        <v>109490</v>
      </c>
      <c r="R9" s="4"/>
      <c r="S9" s="4"/>
      <c r="T9" s="4"/>
      <c r="U9" s="4"/>
      <c r="V9" s="4"/>
      <c r="W9" s="4"/>
      <c r="X9" s="4"/>
      <c r="Y9" s="4"/>
      <c r="Z9" s="4"/>
      <c r="AA9" s="4"/>
      <c r="AB9" s="4"/>
      <c r="AC9" s="4"/>
      <c r="AD9" s="4"/>
      <c r="AE9" s="4"/>
      <c r="AF9" s="4"/>
      <c r="AG9" s="4"/>
      <c r="AH9" s="4"/>
      <c r="AI9" s="4"/>
      <c r="AJ9" s="4"/>
      <c r="AK9" s="4"/>
      <c r="AL9" s="4"/>
      <c r="AM9" s="4"/>
      <c r="AN9" s="4"/>
      <c r="AO9" s="4"/>
    </row>
    <row r="10" spans="1:41">
      <c r="A10" s="19">
        <v>1912</v>
      </c>
      <c r="B10" s="59">
        <v>350</v>
      </c>
      <c r="C10" s="83">
        <v>660</v>
      </c>
      <c r="D10" s="92">
        <v>1010</v>
      </c>
      <c r="E10" s="63">
        <v>5040</v>
      </c>
      <c r="F10" s="63">
        <v>2570</v>
      </c>
      <c r="G10" s="63">
        <v>85380</v>
      </c>
      <c r="H10" s="63">
        <v>17190</v>
      </c>
      <c r="I10" s="23" t="s">
        <v>68</v>
      </c>
      <c r="J10" s="23" t="s">
        <v>68</v>
      </c>
      <c r="K10" s="21" t="s">
        <v>68</v>
      </c>
      <c r="L10" s="21" t="s">
        <v>68</v>
      </c>
      <c r="M10" s="21" t="s">
        <v>68</v>
      </c>
      <c r="N10" s="21" t="s">
        <v>68</v>
      </c>
      <c r="O10" s="22" t="s">
        <v>68</v>
      </c>
      <c r="P10" s="63">
        <v>111190</v>
      </c>
      <c r="R10" s="4"/>
      <c r="S10" s="4"/>
      <c r="T10" s="4"/>
      <c r="U10" s="4"/>
      <c r="V10" s="4"/>
      <c r="W10" s="4"/>
      <c r="X10" s="4"/>
      <c r="Y10" s="4"/>
      <c r="Z10" s="4"/>
      <c r="AA10" s="4"/>
      <c r="AB10" s="4"/>
      <c r="AC10" s="4"/>
      <c r="AD10" s="4"/>
      <c r="AE10" s="4"/>
      <c r="AF10" s="4"/>
      <c r="AG10" s="4"/>
      <c r="AH10" s="4"/>
      <c r="AI10" s="4"/>
      <c r="AJ10" s="4"/>
      <c r="AK10" s="4"/>
      <c r="AL10" s="4"/>
      <c r="AM10" s="4"/>
      <c r="AN10" s="4"/>
      <c r="AO10" s="4"/>
    </row>
    <row r="11" spans="1:41">
      <c r="A11" s="19">
        <v>1913</v>
      </c>
      <c r="B11" s="59">
        <v>340</v>
      </c>
      <c r="C11" s="83">
        <v>690</v>
      </c>
      <c r="D11" s="92">
        <v>1030</v>
      </c>
      <c r="E11" s="63">
        <v>5450</v>
      </c>
      <c r="F11" s="63">
        <v>2550</v>
      </c>
      <c r="G11" s="63">
        <v>89450</v>
      </c>
      <c r="H11" s="63">
        <v>17190</v>
      </c>
      <c r="I11" s="23" t="s">
        <v>68</v>
      </c>
      <c r="J11" s="23" t="s">
        <v>68</v>
      </c>
      <c r="K11" s="21" t="s">
        <v>68</v>
      </c>
      <c r="L11" s="21" t="s">
        <v>68</v>
      </c>
      <c r="M11" s="21" t="s">
        <v>68</v>
      </c>
      <c r="N11" s="21" t="s">
        <v>68</v>
      </c>
      <c r="O11" s="22" t="s">
        <v>68</v>
      </c>
      <c r="P11" s="63">
        <v>115670</v>
      </c>
      <c r="R11" s="4"/>
      <c r="S11" s="4"/>
      <c r="T11" s="4"/>
      <c r="U11" s="4"/>
      <c r="V11" s="4"/>
      <c r="W11" s="4"/>
      <c r="X11" s="4"/>
      <c r="Y11" s="4"/>
      <c r="Z11" s="4"/>
      <c r="AA11" s="4"/>
      <c r="AB11" s="4"/>
      <c r="AC11" s="4"/>
      <c r="AD11" s="4"/>
      <c r="AE11" s="4"/>
      <c r="AF11" s="4"/>
      <c r="AG11" s="4"/>
      <c r="AH11" s="4"/>
      <c r="AI11" s="4"/>
      <c r="AJ11" s="4"/>
      <c r="AK11" s="4"/>
      <c r="AL11" s="4"/>
      <c r="AM11" s="4"/>
      <c r="AN11" s="4"/>
      <c r="AO11" s="4"/>
    </row>
    <row r="12" spans="1:41">
      <c r="A12" s="19">
        <v>1914</v>
      </c>
      <c r="B12" s="59">
        <v>150</v>
      </c>
      <c r="C12" s="83">
        <v>520</v>
      </c>
      <c r="D12" s="92">
        <v>670</v>
      </c>
      <c r="E12" s="63">
        <v>5670</v>
      </c>
      <c r="F12" s="63">
        <v>2570</v>
      </c>
      <c r="G12" s="63">
        <v>86900</v>
      </c>
      <c r="H12" s="63">
        <v>16830</v>
      </c>
      <c r="I12" s="23" t="s">
        <v>68</v>
      </c>
      <c r="J12" s="23" t="s">
        <v>68</v>
      </c>
      <c r="K12" s="21" t="s">
        <v>68</v>
      </c>
      <c r="L12" s="21" t="s">
        <v>68</v>
      </c>
      <c r="M12" s="21" t="s">
        <v>68</v>
      </c>
      <c r="N12" s="21" t="s">
        <v>68</v>
      </c>
      <c r="O12" s="22" t="s">
        <v>68</v>
      </c>
      <c r="P12" s="63">
        <v>112640</v>
      </c>
      <c r="R12" s="4"/>
      <c r="S12" s="4"/>
      <c r="T12" s="4"/>
      <c r="U12" s="4"/>
      <c r="V12" s="4"/>
      <c r="W12" s="4"/>
      <c r="X12" s="4"/>
      <c r="Y12" s="4"/>
      <c r="Z12" s="4"/>
      <c r="AA12" s="4"/>
      <c r="AB12" s="4"/>
      <c r="AC12" s="4"/>
      <c r="AD12" s="4"/>
      <c r="AE12" s="4"/>
      <c r="AF12" s="4"/>
      <c r="AG12" s="4"/>
      <c r="AH12" s="4"/>
      <c r="AI12" s="4"/>
      <c r="AJ12" s="4"/>
      <c r="AK12" s="4"/>
      <c r="AL12" s="4"/>
      <c r="AM12" s="4"/>
      <c r="AN12" s="4"/>
      <c r="AO12" s="4"/>
    </row>
    <row r="13" spans="1:41">
      <c r="A13" s="19">
        <v>1915</v>
      </c>
      <c r="B13" s="59">
        <v>41</v>
      </c>
      <c r="C13" s="83">
        <v>450</v>
      </c>
      <c r="D13" s="92">
        <v>491</v>
      </c>
      <c r="E13" s="63">
        <v>6240</v>
      </c>
      <c r="F13" s="63">
        <v>2660</v>
      </c>
      <c r="G13" s="63">
        <v>87740</v>
      </c>
      <c r="H13" s="63">
        <v>14930</v>
      </c>
      <c r="I13" s="23" t="s">
        <v>68</v>
      </c>
      <c r="J13" s="23" t="s">
        <v>68</v>
      </c>
      <c r="K13" s="21" t="s">
        <v>68</v>
      </c>
      <c r="L13" s="21" t="s">
        <v>68</v>
      </c>
      <c r="M13" s="21" t="s">
        <v>68</v>
      </c>
      <c r="N13" s="21" t="s">
        <v>68</v>
      </c>
      <c r="O13" s="22" t="s">
        <v>68</v>
      </c>
      <c r="P13" s="63">
        <v>112061</v>
      </c>
      <c r="R13" s="4"/>
      <c r="S13" s="4"/>
      <c r="T13" s="4"/>
      <c r="U13" s="4"/>
      <c r="V13" s="4"/>
      <c r="W13" s="4"/>
      <c r="X13" s="4"/>
      <c r="Y13" s="4"/>
      <c r="Z13" s="4"/>
      <c r="AA13" s="4"/>
      <c r="AB13" s="4"/>
      <c r="AC13" s="4"/>
      <c r="AD13" s="4"/>
      <c r="AE13" s="4"/>
      <c r="AF13" s="4"/>
      <c r="AG13" s="4"/>
      <c r="AH13" s="4"/>
      <c r="AI13" s="4"/>
      <c r="AJ13" s="4"/>
      <c r="AK13" s="4"/>
      <c r="AL13" s="4"/>
      <c r="AM13" s="4"/>
      <c r="AN13" s="4"/>
      <c r="AO13" s="4"/>
    </row>
    <row r="14" spans="1:41">
      <c r="A14" s="19">
        <v>1916</v>
      </c>
      <c r="B14" s="59">
        <v>12</v>
      </c>
      <c r="C14" s="83">
        <v>170</v>
      </c>
      <c r="D14" s="92">
        <v>182</v>
      </c>
      <c r="E14" s="63">
        <v>6840</v>
      </c>
      <c r="F14" s="63">
        <v>2900</v>
      </c>
      <c r="G14" s="63">
        <v>82780</v>
      </c>
      <c r="H14" s="63">
        <v>12590</v>
      </c>
      <c r="I14" s="23" t="s">
        <v>68</v>
      </c>
      <c r="J14" s="23" t="s">
        <v>68</v>
      </c>
      <c r="K14" s="21" t="s">
        <v>68</v>
      </c>
      <c r="L14" s="21" t="s">
        <v>68</v>
      </c>
      <c r="M14" s="21" t="s">
        <v>68</v>
      </c>
      <c r="N14" s="21" t="s">
        <v>68</v>
      </c>
      <c r="O14" s="22" t="s">
        <v>68</v>
      </c>
      <c r="P14" s="63">
        <v>105292</v>
      </c>
      <c r="R14" s="4"/>
      <c r="S14" s="4"/>
      <c r="T14" s="4"/>
      <c r="U14" s="4"/>
      <c r="V14" s="4"/>
      <c r="W14" s="4"/>
      <c r="X14" s="4"/>
      <c r="Y14" s="4"/>
      <c r="Z14" s="4"/>
      <c r="AA14" s="4"/>
      <c r="AB14" s="4"/>
      <c r="AC14" s="4"/>
      <c r="AD14" s="4"/>
      <c r="AE14" s="4"/>
      <c r="AF14" s="4"/>
      <c r="AG14" s="4"/>
      <c r="AH14" s="4"/>
      <c r="AI14" s="4"/>
      <c r="AJ14" s="4"/>
      <c r="AK14" s="4"/>
      <c r="AL14" s="4"/>
      <c r="AM14" s="4"/>
      <c r="AN14" s="4"/>
      <c r="AO14" s="4"/>
    </row>
    <row r="15" spans="1:41">
      <c r="A15" s="19">
        <v>1917</v>
      </c>
      <c r="B15" s="59">
        <v>3</v>
      </c>
      <c r="C15" s="83">
        <v>310</v>
      </c>
      <c r="D15" s="92">
        <v>313</v>
      </c>
      <c r="E15" s="63">
        <v>7560</v>
      </c>
      <c r="F15" s="63">
        <v>2190</v>
      </c>
      <c r="G15" s="63">
        <v>68380</v>
      </c>
      <c r="H15" s="63">
        <v>13580</v>
      </c>
      <c r="I15" s="23" t="s">
        <v>68</v>
      </c>
      <c r="J15" s="23" t="s">
        <v>68</v>
      </c>
      <c r="K15" s="21" t="s">
        <v>68</v>
      </c>
      <c r="L15" s="21" t="s">
        <v>68</v>
      </c>
      <c r="M15" s="21" t="s">
        <v>68</v>
      </c>
      <c r="N15" s="21" t="s">
        <v>68</v>
      </c>
      <c r="O15" s="22" t="s">
        <v>68</v>
      </c>
      <c r="P15" s="63">
        <v>92023</v>
      </c>
      <c r="R15" s="4"/>
      <c r="S15" s="4"/>
      <c r="T15" s="4"/>
      <c r="U15" s="4"/>
      <c r="V15" s="4"/>
      <c r="W15" s="4"/>
      <c r="X15" s="4"/>
      <c r="Y15" s="4"/>
      <c r="Z15" s="4"/>
      <c r="AA15" s="4"/>
      <c r="AB15" s="4"/>
      <c r="AC15" s="4"/>
      <c r="AD15" s="4"/>
      <c r="AE15" s="4"/>
      <c r="AF15" s="4"/>
      <c r="AG15" s="4"/>
      <c r="AH15" s="4"/>
      <c r="AI15" s="4"/>
      <c r="AJ15" s="4"/>
      <c r="AK15" s="4"/>
      <c r="AL15" s="4"/>
      <c r="AM15" s="4"/>
      <c r="AN15" s="4"/>
      <c r="AO15" s="4"/>
    </row>
    <row r="16" spans="1:41">
      <c r="A16" s="19">
        <v>1918</v>
      </c>
      <c r="B16" s="59">
        <v>10</v>
      </c>
      <c r="C16" s="83">
        <v>290</v>
      </c>
      <c r="D16" s="92">
        <v>300</v>
      </c>
      <c r="E16" s="63">
        <v>8390</v>
      </c>
      <c r="F16" s="63">
        <v>1920</v>
      </c>
      <c r="G16" s="63">
        <v>63880</v>
      </c>
      <c r="H16" s="63">
        <v>18330</v>
      </c>
      <c r="I16" s="23" t="s">
        <v>68</v>
      </c>
      <c r="J16" s="23" t="s">
        <v>68</v>
      </c>
      <c r="K16" s="21" t="s">
        <v>68</v>
      </c>
      <c r="L16" s="21" t="s">
        <v>68</v>
      </c>
      <c r="M16" s="21" t="s">
        <v>68</v>
      </c>
      <c r="N16" s="21" t="s">
        <v>68</v>
      </c>
      <c r="O16" s="22" t="s">
        <v>68</v>
      </c>
      <c r="P16" s="63">
        <v>92820</v>
      </c>
      <c r="R16" s="4"/>
      <c r="S16" s="4"/>
      <c r="T16" s="4"/>
      <c r="U16" s="4"/>
      <c r="V16" s="4"/>
      <c r="W16" s="4"/>
      <c r="X16" s="4"/>
      <c r="Y16" s="4"/>
      <c r="Z16" s="4"/>
      <c r="AA16" s="4"/>
      <c r="AB16" s="4"/>
      <c r="AC16" s="4"/>
      <c r="AD16" s="4"/>
      <c r="AE16" s="4"/>
      <c r="AF16" s="4"/>
      <c r="AG16" s="4"/>
      <c r="AH16" s="4"/>
      <c r="AI16" s="4"/>
      <c r="AJ16" s="4"/>
      <c r="AK16" s="4"/>
      <c r="AL16" s="4"/>
      <c r="AM16" s="4"/>
      <c r="AN16" s="4"/>
      <c r="AO16" s="4"/>
    </row>
    <row r="17" spans="1:41">
      <c r="A17" s="19">
        <v>1919</v>
      </c>
      <c r="B17" s="59">
        <v>49</v>
      </c>
      <c r="C17" s="83">
        <v>590</v>
      </c>
      <c r="D17" s="92">
        <v>639</v>
      </c>
      <c r="E17" s="63">
        <v>8140</v>
      </c>
      <c r="F17" s="63">
        <v>1850</v>
      </c>
      <c r="G17" s="63">
        <v>48610</v>
      </c>
      <c r="H17" s="63">
        <v>19750</v>
      </c>
      <c r="I17" s="23" t="s">
        <v>68</v>
      </c>
      <c r="J17" s="23" t="s">
        <v>68</v>
      </c>
      <c r="K17" s="21" t="s">
        <v>68</v>
      </c>
      <c r="L17" s="21" t="s">
        <v>68</v>
      </c>
      <c r="M17" s="21" t="s">
        <v>68</v>
      </c>
      <c r="N17" s="21" t="s">
        <v>68</v>
      </c>
      <c r="O17" s="22" t="s">
        <v>68</v>
      </c>
      <c r="P17" s="63">
        <v>78989</v>
      </c>
      <c r="R17" s="4"/>
      <c r="S17" s="4"/>
      <c r="T17" s="4"/>
      <c r="U17" s="4"/>
      <c r="V17" s="4"/>
      <c r="W17" s="4"/>
      <c r="X17" s="4"/>
      <c r="Y17" s="4"/>
      <c r="Z17" s="4"/>
      <c r="AA17" s="4"/>
      <c r="AB17" s="4"/>
      <c r="AC17" s="4"/>
      <c r="AD17" s="4"/>
      <c r="AE17" s="4"/>
      <c r="AF17" s="4"/>
      <c r="AG17" s="4"/>
      <c r="AH17" s="4"/>
      <c r="AI17" s="4"/>
      <c r="AJ17" s="4"/>
      <c r="AK17" s="4"/>
      <c r="AL17" s="4"/>
      <c r="AM17" s="4"/>
      <c r="AN17" s="4"/>
      <c r="AO17" s="4"/>
    </row>
    <row r="18" spans="1:41">
      <c r="A18" s="19">
        <v>1920</v>
      </c>
      <c r="B18" s="59">
        <v>370</v>
      </c>
      <c r="C18" s="83">
        <v>1490</v>
      </c>
      <c r="D18" s="92">
        <v>1860</v>
      </c>
      <c r="E18" s="63">
        <v>7630</v>
      </c>
      <c r="F18" s="63">
        <v>2000</v>
      </c>
      <c r="G18" s="63">
        <v>64140</v>
      </c>
      <c r="H18" s="63">
        <v>17490</v>
      </c>
      <c r="I18" s="23" t="s">
        <v>68</v>
      </c>
      <c r="J18" s="23" t="s">
        <v>68</v>
      </c>
      <c r="K18" s="21" t="s">
        <v>68</v>
      </c>
      <c r="L18" s="21" t="s">
        <v>68</v>
      </c>
      <c r="M18" s="21" t="s">
        <v>68</v>
      </c>
      <c r="N18" s="21" t="s">
        <v>68</v>
      </c>
      <c r="O18" s="22" t="s">
        <v>68</v>
      </c>
      <c r="P18" s="63">
        <v>93120</v>
      </c>
      <c r="R18" s="4"/>
      <c r="S18" s="4"/>
      <c r="T18" s="4"/>
      <c r="U18" s="4"/>
      <c r="V18" s="4"/>
      <c r="W18" s="4"/>
      <c r="X18" s="4"/>
      <c r="Y18" s="4"/>
      <c r="Z18" s="4"/>
      <c r="AA18" s="4"/>
      <c r="AB18" s="4"/>
      <c r="AC18" s="4"/>
      <c r="AD18" s="4"/>
      <c r="AE18" s="4"/>
      <c r="AF18" s="4"/>
      <c r="AG18" s="4"/>
      <c r="AH18" s="4"/>
      <c r="AI18" s="4"/>
      <c r="AJ18" s="4"/>
      <c r="AK18" s="4"/>
      <c r="AL18" s="4"/>
      <c r="AM18" s="4"/>
      <c r="AN18" s="4"/>
      <c r="AO18" s="4"/>
    </row>
    <row r="19" spans="1:41">
      <c r="A19" s="19">
        <v>1921</v>
      </c>
      <c r="B19" s="59">
        <v>390</v>
      </c>
      <c r="C19" s="83">
        <v>960</v>
      </c>
      <c r="D19" s="92">
        <v>1350</v>
      </c>
      <c r="E19" s="63">
        <v>7200</v>
      </c>
      <c r="F19" s="63">
        <v>2000</v>
      </c>
      <c r="G19" s="63">
        <v>48510</v>
      </c>
      <c r="H19" s="63">
        <v>16760</v>
      </c>
      <c r="I19" s="23" t="s">
        <v>68</v>
      </c>
      <c r="J19" s="23" t="s">
        <v>68</v>
      </c>
      <c r="K19" s="21" t="s">
        <v>68</v>
      </c>
      <c r="L19" s="21" t="s">
        <v>68</v>
      </c>
      <c r="M19" s="21" t="s">
        <v>68</v>
      </c>
      <c r="N19" s="21" t="s">
        <v>68</v>
      </c>
      <c r="O19" s="22" t="s">
        <v>68</v>
      </c>
      <c r="P19" s="63">
        <v>75820</v>
      </c>
      <c r="R19" s="4"/>
      <c r="S19" s="4"/>
      <c r="T19" s="4"/>
      <c r="U19" s="4"/>
      <c r="V19" s="4"/>
      <c r="W19" s="4"/>
      <c r="X19" s="4"/>
      <c r="Y19" s="4"/>
      <c r="Z19" s="4"/>
      <c r="AA19" s="4"/>
      <c r="AB19" s="4"/>
      <c r="AC19" s="4"/>
      <c r="AD19" s="4"/>
      <c r="AE19" s="4"/>
      <c r="AF19" s="4"/>
      <c r="AG19" s="4"/>
      <c r="AH19" s="4"/>
      <c r="AI19" s="4"/>
      <c r="AJ19" s="4"/>
      <c r="AK19" s="4"/>
      <c r="AL19" s="4"/>
      <c r="AM19" s="4"/>
      <c r="AN19" s="4"/>
      <c r="AO19" s="4"/>
    </row>
    <row r="20" spans="1:41">
      <c r="A20" s="19">
        <v>1922</v>
      </c>
      <c r="B20" s="59">
        <v>1010</v>
      </c>
      <c r="C20" s="83">
        <v>1640</v>
      </c>
      <c r="D20" s="92">
        <v>2650</v>
      </c>
      <c r="E20" s="63">
        <v>7850</v>
      </c>
      <c r="F20" s="63">
        <v>2110</v>
      </c>
      <c r="G20" s="63">
        <v>60480</v>
      </c>
      <c r="H20" s="63">
        <v>18990</v>
      </c>
      <c r="I20" s="23" t="s">
        <v>68</v>
      </c>
      <c r="J20" s="23" t="s">
        <v>68</v>
      </c>
      <c r="K20" s="21" t="s">
        <v>68</v>
      </c>
      <c r="L20" s="21" t="s">
        <v>68</v>
      </c>
      <c r="M20" s="21" t="s">
        <v>68</v>
      </c>
      <c r="N20" s="21" t="s">
        <v>68</v>
      </c>
      <c r="O20" s="22" t="s">
        <v>68</v>
      </c>
      <c r="P20" s="63">
        <v>92080</v>
      </c>
      <c r="R20" s="4"/>
      <c r="S20" s="4"/>
      <c r="T20" s="4"/>
      <c r="U20" s="4"/>
      <c r="V20" s="4"/>
      <c r="W20" s="4"/>
      <c r="X20" s="4"/>
      <c r="Y20" s="4"/>
      <c r="Z20" s="4"/>
      <c r="AA20" s="4"/>
      <c r="AB20" s="4"/>
      <c r="AC20" s="4"/>
      <c r="AD20" s="4"/>
      <c r="AE20" s="4"/>
      <c r="AF20" s="4"/>
      <c r="AG20" s="4"/>
      <c r="AH20" s="4"/>
      <c r="AI20" s="4"/>
      <c r="AJ20" s="4"/>
      <c r="AK20" s="4"/>
      <c r="AL20" s="4"/>
      <c r="AM20" s="4"/>
      <c r="AN20" s="4"/>
      <c r="AO20" s="4"/>
    </row>
    <row r="21" spans="1:41">
      <c r="A21" s="19">
        <v>1923</v>
      </c>
      <c r="B21" s="59">
        <v>1200</v>
      </c>
      <c r="C21" s="83">
        <v>1870</v>
      </c>
      <c r="D21" s="92">
        <v>3070</v>
      </c>
      <c r="E21" s="63">
        <v>8570</v>
      </c>
      <c r="F21" s="63">
        <v>2260</v>
      </c>
      <c r="G21" s="63">
        <v>75480</v>
      </c>
      <c r="H21" s="63">
        <v>21880</v>
      </c>
      <c r="I21" s="23" t="s">
        <v>68</v>
      </c>
      <c r="J21" s="23" t="s">
        <v>68</v>
      </c>
      <c r="K21" s="21" t="s">
        <v>68</v>
      </c>
      <c r="L21" s="21" t="s">
        <v>68</v>
      </c>
      <c r="M21" s="21" t="s">
        <v>68</v>
      </c>
      <c r="N21" s="21" t="s">
        <v>68</v>
      </c>
      <c r="O21" s="22" t="s">
        <v>68</v>
      </c>
      <c r="P21" s="63">
        <v>111260</v>
      </c>
      <c r="R21" s="4"/>
      <c r="S21" s="4"/>
      <c r="T21" s="4"/>
      <c r="U21" s="4"/>
      <c r="V21" s="4"/>
      <c r="W21" s="4"/>
      <c r="X21" s="4"/>
      <c r="Y21" s="4"/>
      <c r="Z21" s="4"/>
      <c r="AA21" s="4"/>
      <c r="AB21" s="4"/>
      <c r="AC21" s="4"/>
      <c r="AD21" s="4"/>
      <c r="AE21" s="4"/>
      <c r="AF21" s="4"/>
      <c r="AG21" s="4"/>
      <c r="AH21" s="4"/>
      <c r="AI21" s="4"/>
      <c r="AJ21" s="4"/>
      <c r="AK21" s="4"/>
      <c r="AL21" s="4"/>
      <c r="AM21" s="4"/>
      <c r="AN21" s="4"/>
      <c r="AO21" s="4"/>
    </row>
    <row r="22" spans="1:41">
      <c r="A22" s="19">
        <v>1924</v>
      </c>
      <c r="B22" s="59">
        <v>1520</v>
      </c>
      <c r="C22" s="83">
        <v>2000</v>
      </c>
      <c r="D22" s="92">
        <v>3520</v>
      </c>
      <c r="E22" s="63">
        <v>9760</v>
      </c>
      <c r="F22" s="63">
        <v>2400</v>
      </c>
      <c r="G22" s="63">
        <v>70060</v>
      </c>
      <c r="H22" s="63">
        <v>21070</v>
      </c>
      <c r="I22" s="23" t="s">
        <v>68</v>
      </c>
      <c r="J22" s="23" t="s">
        <v>68</v>
      </c>
      <c r="K22" s="21" t="s">
        <v>68</v>
      </c>
      <c r="L22" s="21" t="s">
        <v>68</v>
      </c>
      <c r="M22" s="21" t="s">
        <v>68</v>
      </c>
      <c r="N22" s="21" t="s">
        <v>68</v>
      </c>
      <c r="O22" s="22" t="s">
        <v>68</v>
      </c>
      <c r="P22" s="63">
        <v>106810</v>
      </c>
      <c r="R22" s="4"/>
      <c r="S22" s="4"/>
      <c r="T22" s="4"/>
      <c r="U22" s="4"/>
      <c r="V22" s="4"/>
      <c r="W22" s="4"/>
      <c r="X22" s="4"/>
      <c r="Y22" s="4"/>
      <c r="Z22" s="4"/>
      <c r="AA22" s="4"/>
      <c r="AB22" s="4"/>
      <c r="AC22" s="4"/>
      <c r="AD22" s="4"/>
      <c r="AE22" s="4"/>
      <c r="AF22" s="4"/>
      <c r="AG22" s="4"/>
      <c r="AH22" s="4"/>
      <c r="AI22" s="4"/>
      <c r="AJ22" s="4"/>
      <c r="AK22" s="4"/>
      <c r="AL22" s="4"/>
      <c r="AM22" s="4"/>
      <c r="AN22" s="4"/>
      <c r="AO22" s="4"/>
    </row>
    <row r="23" spans="1:41">
      <c r="A23" s="19">
        <v>1925</v>
      </c>
      <c r="B23" s="59">
        <v>1560</v>
      </c>
      <c r="C23" s="83">
        <v>2920</v>
      </c>
      <c r="D23" s="92">
        <v>4480</v>
      </c>
      <c r="E23" s="63">
        <v>10330</v>
      </c>
      <c r="F23" s="63">
        <v>2570</v>
      </c>
      <c r="G23" s="63">
        <v>72650</v>
      </c>
      <c r="H23" s="63">
        <v>19930</v>
      </c>
      <c r="I23" s="23" t="s">
        <v>68</v>
      </c>
      <c r="J23" s="23" t="s">
        <v>68</v>
      </c>
      <c r="K23" s="21" t="s">
        <v>68</v>
      </c>
      <c r="L23" s="21" t="s">
        <v>68</v>
      </c>
      <c r="M23" s="21" t="s">
        <v>68</v>
      </c>
      <c r="N23" s="21" t="s">
        <v>68</v>
      </c>
      <c r="O23" s="22" t="s">
        <v>68</v>
      </c>
      <c r="P23" s="63">
        <v>109960</v>
      </c>
      <c r="R23" s="4"/>
      <c r="S23" s="4"/>
      <c r="T23" s="4"/>
      <c r="U23" s="4"/>
      <c r="V23" s="4"/>
      <c r="W23" s="4"/>
      <c r="X23" s="4"/>
      <c r="Y23" s="4"/>
      <c r="Z23" s="4"/>
      <c r="AA23" s="4"/>
      <c r="AB23" s="4"/>
      <c r="AC23" s="4"/>
      <c r="AD23" s="4"/>
      <c r="AE23" s="4"/>
      <c r="AF23" s="4"/>
      <c r="AG23" s="4"/>
      <c r="AH23" s="4"/>
      <c r="AI23" s="4"/>
      <c r="AJ23" s="4"/>
      <c r="AK23" s="4"/>
      <c r="AL23" s="4"/>
      <c r="AM23" s="4"/>
      <c r="AN23" s="4"/>
      <c r="AO23" s="4"/>
    </row>
    <row r="24" spans="1:41">
      <c r="A24" s="19">
        <v>1926</v>
      </c>
      <c r="B24" s="59">
        <v>1760</v>
      </c>
      <c r="C24" s="83">
        <v>3190</v>
      </c>
      <c r="D24" s="92">
        <v>4950</v>
      </c>
      <c r="E24" s="63">
        <v>10870</v>
      </c>
      <c r="F24" s="63">
        <v>2720</v>
      </c>
      <c r="G24" s="63">
        <v>71980</v>
      </c>
      <c r="H24" s="63">
        <v>20010</v>
      </c>
      <c r="I24" s="23" t="s">
        <v>68</v>
      </c>
      <c r="J24" s="23" t="s">
        <v>68</v>
      </c>
      <c r="K24" s="21" t="s">
        <v>68</v>
      </c>
      <c r="L24" s="21" t="s">
        <v>68</v>
      </c>
      <c r="M24" s="21" t="s">
        <v>68</v>
      </c>
      <c r="N24" s="21" t="s">
        <v>68</v>
      </c>
      <c r="O24" s="22" t="s">
        <v>68</v>
      </c>
      <c r="P24" s="63">
        <v>110530</v>
      </c>
      <c r="R24" s="4"/>
      <c r="S24" s="4"/>
      <c r="T24" s="4"/>
      <c r="U24" s="4"/>
      <c r="V24" s="4"/>
      <c r="W24" s="4"/>
      <c r="X24" s="4"/>
      <c r="Y24" s="4"/>
      <c r="Z24" s="4"/>
      <c r="AA24" s="4"/>
      <c r="AB24" s="4"/>
      <c r="AC24" s="4"/>
      <c r="AD24" s="4"/>
      <c r="AE24" s="4"/>
      <c r="AF24" s="4"/>
      <c r="AG24" s="4"/>
      <c r="AH24" s="4"/>
      <c r="AI24" s="4"/>
      <c r="AJ24" s="4"/>
      <c r="AK24" s="4"/>
      <c r="AL24" s="4"/>
      <c r="AM24" s="4"/>
      <c r="AN24" s="4"/>
      <c r="AO24" s="4"/>
    </row>
    <row r="25" spans="1:41">
      <c r="A25" s="19">
        <v>1927</v>
      </c>
      <c r="B25" s="59">
        <v>2010</v>
      </c>
      <c r="C25" s="83">
        <v>3980</v>
      </c>
      <c r="D25" s="92">
        <v>5990</v>
      </c>
      <c r="E25" s="63">
        <v>11560</v>
      </c>
      <c r="F25" s="63">
        <v>2900</v>
      </c>
      <c r="G25" s="63">
        <v>81560</v>
      </c>
      <c r="H25" s="63">
        <v>19110</v>
      </c>
      <c r="I25" s="23" t="s">
        <v>68</v>
      </c>
      <c r="J25" s="23" t="s">
        <v>68</v>
      </c>
      <c r="K25" s="21" t="s">
        <v>68</v>
      </c>
      <c r="L25" s="21" t="s">
        <v>68</v>
      </c>
      <c r="M25" s="21" t="s">
        <v>68</v>
      </c>
      <c r="N25" s="21" t="s">
        <v>68</v>
      </c>
      <c r="O25" s="22" t="s">
        <v>68</v>
      </c>
      <c r="P25" s="63">
        <v>121120</v>
      </c>
      <c r="R25" s="4"/>
      <c r="S25" s="4"/>
      <c r="T25" s="4"/>
      <c r="U25" s="4"/>
      <c r="V25" s="4"/>
      <c r="W25" s="4"/>
      <c r="X25" s="4"/>
      <c r="Y25" s="4"/>
      <c r="Z25" s="4"/>
      <c r="AA25" s="4"/>
      <c r="AB25" s="4"/>
      <c r="AC25" s="4"/>
      <c r="AD25" s="4"/>
      <c r="AE25" s="4"/>
      <c r="AF25" s="4"/>
      <c r="AG25" s="4"/>
      <c r="AH25" s="4"/>
      <c r="AI25" s="4"/>
      <c r="AJ25" s="4"/>
      <c r="AK25" s="4"/>
      <c r="AL25" s="4"/>
      <c r="AM25" s="4"/>
      <c r="AN25" s="4"/>
      <c r="AO25" s="4"/>
    </row>
    <row r="26" spans="1:41">
      <c r="A26" s="19">
        <v>1928</v>
      </c>
      <c r="B26" s="59">
        <v>2370</v>
      </c>
      <c r="C26" s="83">
        <v>4950</v>
      </c>
      <c r="D26" s="92">
        <v>7320</v>
      </c>
      <c r="E26" s="63">
        <v>12240</v>
      </c>
      <c r="F26" s="63">
        <v>3100</v>
      </c>
      <c r="G26" s="63">
        <v>80710</v>
      </c>
      <c r="H26" s="63">
        <v>19420</v>
      </c>
      <c r="I26" s="23" t="s">
        <v>68</v>
      </c>
      <c r="J26" s="23" t="s">
        <v>68</v>
      </c>
      <c r="K26" s="21" t="s">
        <v>68</v>
      </c>
      <c r="L26" s="21" t="s">
        <v>68</v>
      </c>
      <c r="M26" s="21" t="s">
        <v>68</v>
      </c>
      <c r="N26" s="21" t="s">
        <v>68</v>
      </c>
      <c r="O26" s="22" t="s">
        <v>68</v>
      </c>
      <c r="P26" s="63">
        <v>122790</v>
      </c>
      <c r="R26" s="4"/>
      <c r="S26" s="4"/>
      <c r="T26" s="4"/>
      <c r="U26" s="4"/>
      <c r="V26" s="4"/>
      <c r="W26" s="4"/>
      <c r="X26" s="4"/>
      <c r="Y26" s="4"/>
      <c r="Z26" s="4"/>
      <c r="AA26" s="4"/>
      <c r="AB26" s="4"/>
      <c r="AC26" s="4"/>
      <c r="AD26" s="4"/>
      <c r="AE26" s="4"/>
      <c r="AF26" s="4"/>
      <c r="AG26" s="4"/>
      <c r="AH26" s="4"/>
      <c r="AI26" s="4"/>
      <c r="AJ26" s="4"/>
      <c r="AK26" s="4"/>
      <c r="AL26" s="4"/>
      <c r="AM26" s="4"/>
      <c r="AN26" s="4"/>
      <c r="AO26" s="4"/>
    </row>
    <row r="27" spans="1:41">
      <c r="A27" s="19">
        <v>1929</v>
      </c>
      <c r="B27" s="59">
        <v>2980</v>
      </c>
      <c r="C27" s="83">
        <v>5860</v>
      </c>
      <c r="D27" s="92">
        <v>8840</v>
      </c>
      <c r="E27" s="63">
        <v>13050</v>
      </c>
      <c r="F27" s="63">
        <v>3330</v>
      </c>
      <c r="G27" s="63">
        <v>94010</v>
      </c>
      <c r="H27" s="63">
        <v>20060</v>
      </c>
      <c r="I27" s="23" t="s">
        <v>68</v>
      </c>
      <c r="J27" s="23" t="s">
        <v>68</v>
      </c>
      <c r="K27" s="21" t="s">
        <v>68</v>
      </c>
      <c r="L27" s="21" t="s">
        <v>68</v>
      </c>
      <c r="M27" s="21" t="s">
        <v>68</v>
      </c>
      <c r="N27" s="21" t="s">
        <v>68</v>
      </c>
      <c r="O27" s="22" t="s">
        <v>68</v>
      </c>
      <c r="P27" s="63">
        <v>139290</v>
      </c>
      <c r="R27" s="4"/>
      <c r="S27" s="4"/>
      <c r="T27" s="4"/>
      <c r="U27" s="4"/>
      <c r="V27" s="4"/>
      <c r="W27" s="4"/>
      <c r="X27" s="4"/>
      <c r="Y27" s="4"/>
      <c r="Z27" s="4"/>
      <c r="AA27" s="4"/>
      <c r="AB27" s="4"/>
      <c r="AC27" s="4"/>
      <c r="AD27" s="4"/>
      <c r="AE27" s="4"/>
      <c r="AF27" s="4"/>
      <c r="AG27" s="4"/>
      <c r="AH27" s="4"/>
      <c r="AI27" s="4"/>
      <c r="AJ27" s="4"/>
      <c r="AK27" s="4"/>
      <c r="AL27" s="4"/>
      <c r="AM27" s="4"/>
      <c r="AN27" s="4"/>
      <c r="AO27" s="4"/>
    </row>
    <row r="28" spans="1:41">
      <c r="A28" s="19">
        <v>1930</v>
      </c>
      <c r="B28" s="59">
        <v>3310</v>
      </c>
      <c r="C28" s="83">
        <v>6690</v>
      </c>
      <c r="D28" s="92">
        <v>10000</v>
      </c>
      <c r="E28" s="63">
        <v>12830</v>
      </c>
      <c r="F28" s="63">
        <v>3470</v>
      </c>
      <c r="G28" s="63">
        <v>84870</v>
      </c>
      <c r="H28" s="63">
        <v>19310</v>
      </c>
      <c r="I28" s="23" t="s">
        <v>68</v>
      </c>
      <c r="J28" s="23" t="s">
        <v>68</v>
      </c>
      <c r="K28" s="21" t="s">
        <v>68</v>
      </c>
      <c r="L28" s="21" t="s">
        <v>68</v>
      </c>
      <c r="M28" s="21" t="s">
        <v>68</v>
      </c>
      <c r="N28" s="21" t="s">
        <v>68</v>
      </c>
      <c r="O28" s="22" t="s">
        <v>68</v>
      </c>
      <c r="P28" s="63">
        <v>130480</v>
      </c>
      <c r="R28" s="4"/>
      <c r="S28" s="4"/>
      <c r="T28" s="4"/>
      <c r="U28" s="4"/>
      <c r="V28" s="4"/>
      <c r="W28" s="4"/>
      <c r="X28" s="4"/>
      <c r="Y28" s="4"/>
      <c r="Z28" s="4"/>
      <c r="AA28" s="4"/>
      <c r="AB28" s="4"/>
      <c r="AC28" s="4"/>
      <c r="AD28" s="4"/>
      <c r="AE28" s="4"/>
      <c r="AF28" s="4"/>
      <c r="AG28" s="4"/>
      <c r="AH28" s="4"/>
      <c r="AI28" s="4"/>
      <c r="AJ28" s="4"/>
      <c r="AK28" s="4"/>
      <c r="AL28" s="4"/>
      <c r="AM28" s="4"/>
      <c r="AN28" s="4"/>
      <c r="AO28" s="4"/>
    </row>
    <row r="29" spans="1:41">
      <c r="A29" s="19">
        <v>1931</v>
      </c>
      <c r="B29" s="59">
        <v>3880</v>
      </c>
      <c r="C29" s="83">
        <v>7730</v>
      </c>
      <c r="D29" s="92">
        <v>11610</v>
      </c>
      <c r="E29" s="63">
        <v>12070</v>
      </c>
      <c r="F29" s="63">
        <v>3640</v>
      </c>
      <c r="G29" s="63">
        <v>87290</v>
      </c>
      <c r="H29" s="63">
        <v>20390</v>
      </c>
      <c r="I29" s="23" t="s">
        <v>68</v>
      </c>
      <c r="J29" s="23" t="s">
        <v>68</v>
      </c>
      <c r="K29" s="21" t="s">
        <v>68</v>
      </c>
      <c r="L29" s="21" t="s">
        <v>68</v>
      </c>
      <c r="M29" s="21" t="s">
        <v>68</v>
      </c>
      <c r="N29" s="21" t="s">
        <v>68</v>
      </c>
      <c r="O29" s="22" t="s">
        <v>68</v>
      </c>
      <c r="P29" s="63">
        <v>135000</v>
      </c>
      <c r="R29" s="4"/>
      <c r="S29" s="4"/>
      <c r="T29" s="4"/>
      <c r="U29" s="4"/>
      <c r="V29" s="4"/>
      <c r="W29" s="4"/>
      <c r="X29" s="4"/>
      <c r="Y29" s="4"/>
      <c r="Z29" s="4"/>
      <c r="AA29" s="4"/>
      <c r="AB29" s="4"/>
      <c r="AC29" s="4"/>
      <c r="AD29" s="4"/>
      <c r="AE29" s="4"/>
      <c r="AF29" s="4"/>
      <c r="AG29" s="4"/>
      <c r="AH29" s="4"/>
      <c r="AI29" s="4"/>
      <c r="AJ29" s="4"/>
      <c r="AK29" s="4"/>
      <c r="AL29" s="4"/>
      <c r="AM29" s="4"/>
      <c r="AN29" s="4"/>
      <c r="AO29" s="4"/>
    </row>
    <row r="30" spans="1:41">
      <c r="A30" s="19">
        <v>1932</v>
      </c>
      <c r="B30" s="59">
        <v>5170</v>
      </c>
      <c r="C30" s="83">
        <v>8770</v>
      </c>
      <c r="D30" s="92">
        <v>13940</v>
      </c>
      <c r="E30" s="63">
        <v>11550</v>
      </c>
      <c r="F30" s="63">
        <v>3800</v>
      </c>
      <c r="G30" s="63">
        <v>86080</v>
      </c>
      <c r="H30" s="63">
        <v>19260</v>
      </c>
      <c r="I30" s="23" t="s">
        <v>68</v>
      </c>
      <c r="J30" s="23" t="s">
        <v>68</v>
      </c>
      <c r="K30" s="21" t="s">
        <v>68</v>
      </c>
      <c r="L30" s="21" t="s">
        <v>68</v>
      </c>
      <c r="M30" s="21" t="s">
        <v>68</v>
      </c>
      <c r="N30" s="21" t="s">
        <v>68</v>
      </c>
      <c r="O30" s="22" t="s">
        <v>68</v>
      </c>
      <c r="P30" s="63">
        <v>134630</v>
      </c>
      <c r="R30" s="4"/>
      <c r="S30" s="4"/>
      <c r="T30" s="4"/>
      <c r="U30" s="4"/>
      <c r="V30" s="4"/>
      <c r="W30" s="4"/>
      <c r="X30" s="4"/>
      <c r="Y30" s="4"/>
      <c r="Z30" s="4"/>
      <c r="AA30" s="4"/>
      <c r="AB30" s="4"/>
      <c r="AC30" s="4"/>
      <c r="AD30" s="4"/>
      <c r="AE30" s="4"/>
      <c r="AF30" s="4"/>
      <c r="AG30" s="4"/>
      <c r="AH30" s="4"/>
      <c r="AI30" s="4"/>
      <c r="AJ30" s="4"/>
      <c r="AK30" s="4"/>
      <c r="AL30" s="4"/>
      <c r="AM30" s="4"/>
      <c r="AN30" s="4"/>
      <c r="AO30" s="4"/>
    </row>
    <row r="31" spans="1:41">
      <c r="A31" s="19">
        <v>1933</v>
      </c>
      <c r="B31" s="59">
        <v>6070</v>
      </c>
      <c r="C31" s="83">
        <v>8470</v>
      </c>
      <c r="D31" s="92">
        <v>14540</v>
      </c>
      <c r="E31" s="63">
        <v>12270</v>
      </c>
      <c r="F31" s="63">
        <v>3820</v>
      </c>
      <c r="G31" s="63">
        <v>81390</v>
      </c>
      <c r="H31" s="63">
        <v>19000</v>
      </c>
      <c r="I31" s="23" t="s">
        <v>68</v>
      </c>
      <c r="J31" s="23" t="s">
        <v>68</v>
      </c>
      <c r="K31" s="21" t="s">
        <v>68</v>
      </c>
      <c r="L31" s="21" t="s">
        <v>68</v>
      </c>
      <c r="M31" s="21" t="s">
        <v>68</v>
      </c>
      <c r="N31" s="21" t="s">
        <v>68</v>
      </c>
      <c r="O31" s="22" t="s">
        <v>68</v>
      </c>
      <c r="P31" s="63">
        <v>131020</v>
      </c>
      <c r="R31" s="4"/>
      <c r="S31" s="4"/>
      <c r="T31" s="4"/>
      <c r="U31" s="4"/>
      <c r="V31" s="4"/>
      <c r="W31" s="4"/>
      <c r="X31" s="4"/>
      <c r="Y31" s="4"/>
      <c r="Z31" s="4"/>
      <c r="AA31" s="4"/>
      <c r="AB31" s="4"/>
      <c r="AC31" s="4"/>
      <c r="AD31" s="4"/>
      <c r="AE31" s="4"/>
      <c r="AF31" s="4"/>
      <c r="AG31" s="4"/>
      <c r="AH31" s="4"/>
      <c r="AI31" s="4"/>
      <c r="AJ31" s="4"/>
      <c r="AK31" s="4"/>
      <c r="AL31" s="4"/>
      <c r="AM31" s="4"/>
      <c r="AN31" s="4"/>
      <c r="AO31" s="4"/>
    </row>
    <row r="32" spans="1:41">
      <c r="A32" s="19">
        <v>1934</v>
      </c>
      <c r="B32" s="59">
        <v>6430</v>
      </c>
      <c r="C32" s="83">
        <v>9510</v>
      </c>
      <c r="D32" s="92">
        <v>15940</v>
      </c>
      <c r="E32" s="63">
        <v>12800</v>
      </c>
      <c r="F32" s="63">
        <v>3880</v>
      </c>
      <c r="G32" s="63">
        <v>80970</v>
      </c>
      <c r="H32" s="63">
        <v>19060</v>
      </c>
      <c r="I32" s="23" t="s">
        <v>68</v>
      </c>
      <c r="J32" s="23" t="s">
        <v>68</v>
      </c>
      <c r="K32" s="21" t="s">
        <v>68</v>
      </c>
      <c r="L32" s="21" t="s">
        <v>68</v>
      </c>
      <c r="M32" s="21" t="s">
        <v>68</v>
      </c>
      <c r="N32" s="21" t="s">
        <v>68</v>
      </c>
      <c r="O32" s="22" t="s">
        <v>68</v>
      </c>
      <c r="P32" s="63">
        <v>132650</v>
      </c>
      <c r="R32" s="4"/>
      <c r="S32" s="4"/>
      <c r="T32" s="4"/>
      <c r="U32" s="4"/>
      <c r="V32" s="4"/>
      <c r="W32" s="4"/>
      <c r="X32" s="4"/>
      <c r="Y32" s="4"/>
      <c r="Z32" s="4"/>
      <c r="AA32" s="4"/>
      <c r="AB32" s="4"/>
      <c r="AC32" s="4"/>
      <c r="AD32" s="4"/>
      <c r="AE32" s="4"/>
      <c r="AF32" s="4"/>
      <c r="AG32" s="4"/>
      <c r="AH32" s="4"/>
      <c r="AI32" s="4"/>
      <c r="AJ32" s="4"/>
      <c r="AK32" s="4"/>
      <c r="AL32" s="4"/>
      <c r="AM32" s="4"/>
      <c r="AN32" s="4"/>
      <c r="AO32" s="4"/>
    </row>
    <row r="33" spans="1:41">
      <c r="A33" s="19">
        <v>1935</v>
      </c>
      <c r="B33" s="59">
        <v>6760</v>
      </c>
      <c r="C33" s="83">
        <v>9290</v>
      </c>
      <c r="D33" s="92">
        <v>16050</v>
      </c>
      <c r="E33" s="63">
        <v>13530</v>
      </c>
      <c r="F33" s="63">
        <v>3870</v>
      </c>
      <c r="G33" s="63">
        <v>79800</v>
      </c>
      <c r="H33" s="63">
        <v>19830</v>
      </c>
      <c r="I33" s="23" t="s">
        <v>68</v>
      </c>
      <c r="J33" s="23" t="s">
        <v>68</v>
      </c>
      <c r="K33" s="21" t="s">
        <v>68</v>
      </c>
      <c r="L33" s="21" t="s">
        <v>68</v>
      </c>
      <c r="M33" s="21" t="s">
        <v>68</v>
      </c>
      <c r="N33" s="21" t="s">
        <v>68</v>
      </c>
      <c r="O33" s="22" t="s">
        <v>68</v>
      </c>
      <c r="P33" s="63">
        <v>133080</v>
      </c>
      <c r="R33" s="4"/>
      <c r="S33" s="4"/>
      <c r="T33" s="4"/>
      <c r="U33" s="4"/>
      <c r="V33" s="4"/>
      <c r="W33" s="4"/>
      <c r="X33" s="4"/>
      <c r="Y33" s="4"/>
      <c r="Z33" s="4"/>
      <c r="AA33" s="4"/>
      <c r="AB33" s="4"/>
      <c r="AC33" s="4"/>
      <c r="AD33" s="4"/>
      <c r="AE33" s="4"/>
      <c r="AF33" s="4"/>
      <c r="AG33" s="4"/>
      <c r="AH33" s="4"/>
      <c r="AI33" s="4"/>
      <c r="AJ33" s="4"/>
      <c r="AK33" s="4"/>
      <c r="AL33" s="4"/>
      <c r="AM33" s="4"/>
      <c r="AN33" s="4"/>
      <c r="AO33" s="4"/>
    </row>
    <row r="34" spans="1:41">
      <c r="A34" s="19">
        <v>1936</v>
      </c>
      <c r="B34" s="59">
        <v>6970</v>
      </c>
      <c r="C34" s="83">
        <v>8520</v>
      </c>
      <c r="D34" s="92">
        <v>15490</v>
      </c>
      <c r="E34" s="63">
        <v>14460</v>
      </c>
      <c r="F34" s="63">
        <v>3850</v>
      </c>
      <c r="G34" s="63">
        <v>82030</v>
      </c>
      <c r="H34" s="63">
        <v>18100</v>
      </c>
      <c r="I34" s="23" t="s">
        <v>68</v>
      </c>
      <c r="J34" s="23" t="s">
        <v>68</v>
      </c>
      <c r="K34" s="21" t="s">
        <v>68</v>
      </c>
      <c r="L34" s="21" t="s">
        <v>68</v>
      </c>
      <c r="M34" s="21" t="s">
        <v>68</v>
      </c>
      <c r="N34" s="21" t="s">
        <v>68</v>
      </c>
      <c r="O34" s="22" t="s">
        <v>68</v>
      </c>
      <c r="P34" s="63">
        <v>133930</v>
      </c>
      <c r="R34" s="4"/>
      <c r="S34" s="4"/>
      <c r="T34" s="4"/>
      <c r="U34" s="4"/>
      <c r="V34" s="4"/>
      <c r="W34" s="4"/>
      <c r="X34" s="4"/>
      <c r="Y34" s="4"/>
      <c r="Z34" s="4"/>
      <c r="AA34" s="4"/>
      <c r="AB34" s="4"/>
      <c r="AC34" s="4"/>
      <c r="AD34" s="4"/>
      <c r="AE34" s="4"/>
      <c r="AF34" s="4"/>
      <c r="AG34" s="4"/>
      <c r="AH34" s="4"/>
      <c r="AI34" s="4"/>
      <c r="AJ34" s="4"/>
      <c r="AK34" s="4"/>
      <c r="AL34" s="4"/>
      <c r="AM34" s="4"/>
      <c r="AN34" s="4"/>
      <c r="AO34" s="4"/>
    </row>
    <row r="35" spans="1:41">
      <c r="A35" s="19">
        <v>1937</v>
      </c>
      <c r="B35" s="59">
        <v>6450</v>
      </c>
      <c r="C35" s="83">
        <v>8660</v>
      </c>
      <c r="D35" s="92">
        <v>15110</v>
      </c>
      <c r="E35" s="63">
        <v>16960</v>
      </c>
      <c r="F35" s="63">
        <v>3920</v>
      </c>
      <c r="G35" s="63">
        <v>85220</v>
      </c>
      <c r="H35" s="63">
        <v>18020</v>
      </c>
      <c r="I35" s="23" t="s">
        <v>68</v>
      </c>
      <c r="J35" s="23" t="s">
        <v>68</v>
      </c>
      <c r="K35" s="21" t="s">
        <v>68</v>
      </c>
      <c r="L35" s="21" t="s">
        <v>68</v>
      </c>
      <c r="M35" s="21" t="s">
        <v>68</v>
      </c>
      <c r="N35" s="21" t="s">
        <v>68</v>
      </c>
      <c r="O35" s="22" t="s">
        <v>68</v>
      </c>
      <c r="P35" s="63">
        <v>139230</v>
      </c>
      <c r="R35" s="4"/>
      <c r="S35" s="4"/>
      <c r="T35" s="4"/>
      <c r="U35" s="4"/>
      <c r="V35" s="4"/>
      <c r="W35" s="4"/>
      <c r="X35" s="4"/>
      <c r="Y35" s="4"/>
      <c r="Z35" s="4"/>
      <c r="AA35" s="4"/>
      <c r="AB35" s="4"/>
      <c r="AC35" s="4"/>
      <c r="AD35" s="4"/>
      <c r="AE35" s="4"/>
      <c r="AF35" s="4"/>
      <c r="AG35" s="4"/>
      <c r="AH35" s="4"/>
      <c r="AI35" s="4"/>
      <c r="AJ35" s="4"/>
      <c r="AK35" s="4"/>
      <c r="AL35" s="4"/>
      <c r="AM35" s="4"/>
      <c r="AN35" s="4"/>
      <c r="AO35" s="4"/>
    </row>
    <row r="36" spans="1:41">
      <c r="A36" s="19">
        <v>1938</v>
      </c>
      <c r="B36" s="59">
        <v>6770</v>
      </c>
      <c r="C36" s="83">
        <v>9150</v>
      </c>
      <c r="D36" s="92">
        <v>15920</v>
      </c>
      <c r="E36" s="63">
        <v>16900</v>
      </c>
      <c r="F36" s="63">
        <v>4020</v>
      </c>
      <c r="G36" s="63">
        <v>85190</v>
      </c>
      <c r="H36" s="63">
        <v>17950</v>
      </c>
      <c r="I36" s="23" t="s">
        <v>68</v>
      </c>
      <c r="J36" s="23" t="s">
        <v>68</v>
      </c>
      <c r="K36" s="21" t="s">
        <v>68</v>
      </c>
      <c r="L36" s="21" t="s">
        <v>68</v>
      </c>
      <c r="M36" s="21" t="s">
        <v>68</v>
      </c>
      <c r="N36" s="21" t="s">
        <v>68</v>
      </c>
      <c r="O36" s="22" t="s">
        <v>68</v>
      </c>
      <c r="P36" s="63">
        <v>139980</v>
      </c>
      <c r="R36" s="4"/>
      <c r="S36" s="4"/>
      <c r="T36" s="4"/>
      <c r="U36" s="4"/>
      <c r="V36" s="4"/>
      <c r="W36" s="4"/>
      <c r="X36" s="4"/>
      <c r="Y36" s="4"/>
      <c r="Z36" s="4"/>
      <c r="AA36" s="4"/>
      <c r="AB36" s="4"/>
      <c r="AC36" s="4"/>
      <c r="AD36" s="4"/>
      <c r="AE36" s="4"/>
      <c r="AF36" s="4"/>
      <c r="AG36" s="4"/>
      <c r="AH36" s="4"/>
      <c r="AI36" s="4"/>
      <c r="AJ36" s="4"/>
      <c r="AK36" s="4"/>
      <c r="AL36" s="4"/>
      <c r="AM36" s="4"/>
      <c r="AN36" s="4"/>
      <c r="AO36" s="4"/>
    </row>
    <row r="37" spans="1:41">
      <c r="A37" s="19">
        <v>1939</v>
      </c>
      <c r="B37" s="59">
        <v>7700</v>
      </c>
      <c r="C37" s="83">
        <v>8640</v>
      </c>
      <c r="D37" s="92">
        <v>16340</v>
      </c>
      <c r="E37" s="63">
        <v>18390</v>
      </c>
      <c r="F37" s="63">
        <v>4020</v>
      </c>
      <c r="G37" s="63">
        <v>86450</v>
      </c>
      <c r="H37" s="63">
        <v>18160</v>
      </c>
      <c r="I37" s="23" t="s">
        <v>68</v>
      </c>
      <c r="J37" s="23" t="s">
        <v>68</v>
      </c>
      <c r="K37" s="21" t="s">
        <v>68</v>
      </c>
      <c r="L37" s="21" t="s">
        <v>68</v>
      </c>
      <c r="M37" s="21" t="s">
        <v>68</v>
      </c>
      <c r="N37" s="21" t="s">
        <v>68</v>
      </c>
      <c r="O37" s="22" t="s">
        <v>68</v>
      </c>
      <c r="P37" s="63">
        <v>143360</v>
      </c>
      <c r="R37" s="4"/>
      <c r="S37" s="4"/>
      <c r="T37" s="4"/>
      <c r="U37" s="4"/>
      <c r="V37" s="4"/>
      <c r="W37" s="4"/>
      <c r="X37" s="4"/>
      <c r="Y37" s="4"/>
      <c r="Z37" s="4"/>
      <c r="AA37" s="4"/>
      <c r="AB37" s="4"/>
      <c r="AC37" s="4"/>
      <c r="AD37" s="4"/>
      <c r="AE37" s="4"/>
      <c r="AF37" s="4"/>
      <c r="AG37" s="4"/>
      <c r="AH37" s="4"/>
      <c r="AI37" s="4"/>
      <c r="AJ37" s="4"/>
      <c r="AK37" s="4"/>
      <c r="AL37" s="4"/>
      <c r="AM37" s="4"/>
      <c r="AN37" s="4"/>
      <c r="AO37" s="4"/>
    </row>
    <row r="38" spans="1:41">
      <c r="A38" s="19">
        <v>1940</v>
      </c>
      <c r="B38" s="59">
        <v>4800</v>
      </c>
      <c r="C38" s="83">
        <v>5760</v>
      </c>
      <c r="D38" s="92">
        <v>10560</v>
      </c>
      <c r="E38" s="63">
        <v>19630</v>
      </c>
      <c r="F38" s="63">
        <v>4240</v>
      </c>
      <c r="G38" s="63">
        <v>70500</v>
      </c>
      <c r="H38" s="63">
        <v>23120</v>
      </c>
      <c r="I38" s="23" t="s">
        <v>68</v>
      </c>
      <c r="J38" s="23" t="s">
        <v>68</v>
      </c>
      <c r="K38" s="21" t="s">
        <v>68</v>
      </c>
      <c r="L38" s="21" t="s">
        <v>68</v>
      </c>
      <c r="M38" s="21" t="s">
        <v>68</v>
      </c>
      <c r="N38" s="21" t="s">
        <v>68</v>
      </c>
      <c r="O38" s="22" t="s">
        <v>68</v>
      </c>
      <c r="P38" s="63">
        <v>128050</v>
      </c>
      <c r="R38" s="4"/>
      <c r="S38" s="4"/>
      <c r="T38" s="4"/>
      <c r="U38" s="4"/>
      <c r="V38" s="4"/>
      <c r="W38" s="4"/>
      <c r="X38" s="4"/>
      <c r="Y38" s="4"/>
      <c r="Z38" s="4"/>
      <c r="AA38" s="4"/>
      <c r="AB38" s="4"/>
      <c r="AC38" s="4"/>
      <c r="AD38" s="4"/>
      <c r="AE38" s="4"/>
      <c r="AF38" s="4"/>
      <c r="AG38" s="4"/>
      <c r="AH38" s="4"/>
      <c r="AI38" s="4"/>
      <c r="AJ38" s="4"/>
      <c r="AK38" s="4"/>
      <c r="AL38" s="4"/>
      <c r="AM38" s="4"/>
      <c r="AN38" s="4"/>
      <c r="AO38" s="4"/>
    </row>
    <row r="39" spans="1:41">
      <c r="A39" s="19">
        <v>1941</v>
      </c>
      <c r="B39" s="59">
        <v>1940</v>
      </c>
      <c r="C39" s="83">
        <v>2140</v>
      </c>
      <c r="D39" s="92">
        <v>4080</v>
      </c>
      <c r="E39" s="63">
        <v>20570</v>
      </c>
      <c r="F39" s="63">
        <v>3490</v>
      </c>
      <c r="G39" s="63">
        <v>62460</v>
      </c>
      <c r="H39" s="63">
        <v>31270</v>
      </c>
      <c r="I39" s="23" t="s">
        <v>68</v>
      </c>
      <c r="J39" s="23" t="s">
        <v>68</v>
      </c>
      <c r="K39" s="21" t="s">
        <v>68</v>
      </c>
      <c r="L39" s="21" t="s">
        <v>68</v>
      </c>
      <c r="M39" s="21" t="s">
        <v>68</v>
      </c>
      <c r="N39" s="21" t="s">
        <v>68</v>
      </c>
      <c r="O39" s="22" t="s">
        <v>68</v>
      </c>
      <c r="P39" s="63">
        <v>121870</v>
      </c>
      <c r="R39" s="4"/>
      <c r="S39" s="4"/>
      <c r="T39" s="4"/>
      <c r="U39" s="4"/>
      <c r="V39" s="4"/>
      <c r="W39" s="4"/>
      <c r="X39" s="4"/>
      <c r="Y39" s="4"/>
      <c r="Z39" s="4"/>
      <c r="AA39" s="4"/>
      <c r="AB39" s="4"/>
      <c r="AC39" s="4"/>
      <c r="AD39" s="4"/>
      <c r="AE39" s="4"/>
      <c r="AF39" s="4"/>
      <c r="AG39" s="4"/>
      <c r="AH39" s="4"/>
      <c r="AI39" s="4"/>
      <c r="AJ39" s="4"/>
      <c r="AK39" s="4"/>
      <c r="AL39" s="4"/>
      <c r="AM39" s="4"/>
      <c r="AN39" s="4"/>
      <c r="AO39" s="4"/>
    </row>
    <row r="40" spans="1:41">
      <c r="A40" s="19">
        <v>1942</v>
      </c>
      <c r="B40" s="59">
        <v>1510</v>
      </c>
      <c r="C40" s="83">
        <v>1480</v>
      </c>
      <c r="D40" s="92">
        <v>2990</v>
      </c>
      <c r="E40" s="63">
        <v>20490</v>
      </c>
      <c r="F40" s="63">
        <v>3390</v>
      </c>
      <c r="G40" s="63">
        <v>58460</v>
      </c>
      <c r="H40" s="63">
        <v>30830</v>
      </c>
      <c r="I40" s="23" t="s">
        <v>68</v>
      </c>
      <c r="J40" s="23" t="s">
        <v>68</v>
      </c>
      <c r="K40" s="21" t="s">
        <v>68</v>
      </c>
      <c r="L40" s="21" t="s">
        <v>68</v>
      </c>
      <c r="M40" s="21" t="s">
        <v>68</v>
      </c>
      <c r="N40" s="21" t="s">
        <v>68</v>
      </c>
      <c r="O40" s="22" t="s">
        <v>68</v>
      </c>
      <c r="P40" s="63">
        <v>116160</v>
      </c>
      <c r="R40" s="4"/>
      <c r="S40" s="4"/>
      <c r="T40" s="4"/>
      <c r="U40" s="4"/>
      <c r="V40" s="4"/>
      <c r="W40" s="4"/>
      <c r="X40" s="4"/>
      <c r="Y40" s="4"/>
      <c r="Z40" s="4"/>
      <c r="AA40" s="4"/>
      <c r="AB40" s="4"/>
      <c r="AC40" s="4"/>
      <c r="AD40" s="4"/>
      <c r="AE40" s="4"/>
      <c r="AF40" s="4"/>
      <c r="AG40" s="4"/>
      <c r="AH40" s="4"/>
      <c r="AI40" s="4"/>
      <c r="AJ40" s="4"/>
      <c r="AK40" s="4"/>
      <c r="AL40" s="4"/>
      <c r="AM40" s="4"/>
      <c r="AN40" s="4"/>
      <c r="AO40" s="4"/>
    </row>
    <row r="41" spans="1:41">
      <c r="A41" s="19">
        <v>1943</v>
      </c>
      <c r="B41" s="59">
        <v>1320</v>
      </c>
      <c r="C41" s="83">
        <v>1280</v>
      </c>
      <c r="D41" s="92">
        <v>2600</v>
      </c>
      <c r="E41" s="63">
        <v>22450</v>
      </c>
      <c r="F41" s="63">
        <v>3350</v>
      </c>
      <c r="G41" s="63">
        <v>51740</v>
      </c>
      <c r="H41" s="63">
        <v>31270</v>
      </c>
      <c r="I41" s="23" t="s">
        <v>68</v>
      </c>
      <c r="J41" s="23" t="s">
        <v>68</v>
      </c>
      <c r="K41" s="21" t="s">
        <v>68</v>
      </c>
      <c r="L41" s="21" t="s">
        <v>68</v>
      </c>
      <c r="M41" s="21" t="s">
        <v>68</v>
      </c>
      <c r="N41" s="21" t="s">
        <v>68</v>
      </c>
      <c r="O41" s="22" t="s">
        <v>68</v>
      </c>
      <c r="P41" s="63">
        <v>111410</v>
      </c>
      <c r="R41" s="4"/>
      <c r="S41" s="4"/>
      <c r="T41" s="4"/>
      <c r="U41" s="4"/>
      <c r="V41" s="4"/>
      <c r="W41" s="4"/>
      <c r="X41" s="4"/>
      <c r="Y41" s="4"/>
      <c r="Z41" s="4"/>
      <c r="AA41" s="4"/>
      <c r="AB41" s="4"/>
      <c r="AC41" s="4"/>
      <c r="AD41" s="4"/>
      <c r="AE41" s="4"/>
      <c r="AF41" s="4"/>
      <c r="AG41" s="4"/>
      <c r="AH41" s="4"/>
      <c r="AI41" s="4"/>
      <c r="AJ41" s="4"/>
      <c r="AK41" s="4"/>
      <c r="AL41" s="4"/>
      <c r="AM41" s="4"/>
      <c r="AN41" s="4"/>
      <c r="AO41" s="4"/>
    </row>
    <row r="42" spans="1:41">
      <c r="A42" s="19">
        <v>1944</v>
      </c>
      <c r="B42" s="59">
        <v>650</v>
      </c>
      <c r="C42" s="83">
        <v>1510</v>
      </c>
      <c r="D42" s="92">
        <v>2160</v>
      </c>
      <c r="E42" s="63">
        <v>24200</v>
      </c>
      <c r="F42" s="63">
        <v>3480</v>
      </c>
      <c r="G42" s="63">
        <v>41320</v>
      </c>
      <c r="H42" s="63">
        <v>30260</v>
      </c>
      <c r="I42" s="23" t="s">
        <v>68</v>
      </c>
      <c r="J42" s="23" t="s">
        <v>68</v>
      </c>
      <c r="K42" s="21" t="s">
        <v>68</v>
      </c>
      <c r="L42" s="21" t="s">
        <v>68</v>
      </c>
      <c r="M42" s="21" t="s">
        <v>68</v>
      </c>
      <c r="N42" s="21" t="s">
        <v>68</v>
      </c>
      <c r="O42" s="22" t="s">
        <v>68</v>
      </c>
      <c r="P42" s="63">
        <v>101420</v>
      </c>
      <c r="R42" s="4"/>
      <c r="S42" s="4"/>
      <c r="T42" s="4"/>
      <c r="U42" s="4"/>
      <c r="V42" s="4"/>
      <c r="W42" s="4"/>
      <c r="X42" s="4"/>
      <c r="Y42" s="4"/>
      <c r="Z42" s="4"/>
      <c r="AA42" s="4"/>
      <c r="AB42" s="4"/>
      <c r="AC42" s="4"/>
      <c r="AD42" s="4"/>
      <c r="AE42" s="4"/>
      <c r="AF42" s="4"/>
      <c r="AG42" s="4"/>
      <c r="AH42" s="4"/>
      <c r="AI42" s="4"/>
      <c r="AJ42" s="4"/>
      <c r="AK42" s="4"/>
      <c r="AL42" s="4"/>
      <c r="AM42" s="4"/>
      <c r="AN42" s="4"/>
      <c r="AO42" s="4"/>
    </row>
    <row r="43" spans="1:41">
      <c r="A43" s="19">
        <v>1945</v>
      </c>
      <c r="B43" s="59">
        <v>670</v>
      </c>
      <c r="C43" s="83">
        <v>480</v>
      </c>
      <c r="D43" s="92">
        <v>1150</v>
      </c>
      <c r="E43" s="63">
        <v>27550</v>
      </c>
      <c r="F43" s="63">
        <v>2430</v>
      </c>
      <c r="G43" s="63">
        <v>42620</v>
      </c>
      <c r="H43" s="63">
        <v>32920</v>
      </c>
      <c r="I43" s="23" t="s">
        <v>68</v>
      </c>
      <c r="J43" s="23" t="s">
        <v>68</v>
      </c>
      <c r="K43" s="21" t="s">
        <v>68</v>
      </c>
      <c r="L43" s="21" t="s">
        <v>68</v>
      </c>
      <c r="M43" s="21" t="s">
        <v>68</v>
      </c>
      <c r="N43" s="21" t="s">
        <v>68</v>
      </c>
      <c r="O43" s="22" t="s">
        <v>68</v>
      </c>
      <c r="P43" s="63">
        <v>106670</v>
      </c>
      <c r="R43" s="4"/>
      <c r="S43" s="4"/>
      <c r="T43" s="4"/>
      <c r="U43" s="4"/>
      <c r="V43" s="4"/>
      <c r="W43" s="4"/>
      <c r="X43" s="4"/>
      <c r="Y43" s="4"/>
      <c r="Z43" s="4"/>
      <c r="AA43" s="4"/>
      <c r="AB43" s="4"/>
      <c r="AC43" s="4"/>
      <c r="AD43" s="4"/>
      <c r="AE43" s="4"/>
      <c r="AF43" s="4"/>
      <c r="AG43" s="4"/>
      <c r="AH43" s="4"/>
      <c r="AI43" s="4"/>
      <c r="AJ43" s="4"/>
      <c r="AK43" s="4"/>
      <c r="AL43" s="4"/>
      <c r="AM43" s="4"/>
      <c r="AN43" s="4"/>
      <c r="AO43" s="4"/>
    </row>
    <row r="44" spans="1:41">
      <c r="A44" s="19">
        <v>1946</v>
      </c>
      <c r="B44" s="59">
        <v>8690</v>
      </c>
      <c r="C44" s="83">
        <v>6300</v>
      </c>
      <c r="D44" s="92">
        <v>14990</v>
      </c>
      <c r="E44" s="63">
        <v>29650</v>
      </c>
      <c r="F44" s="63">
        <v>2820</v>
      </c>
      <c r="G44" s="63">
        <v>44940</v>
      </c>
      <c r="H44" s="63">
        <v>34230</v>
      </c>
      <c r="I44" s="23" t="s">
        <v>68</v>
      </c>
      <c r="J44" s="23" t="s">
        <v>68</v>
      </c>
      <c r="K44" s="21" t="s">
        <v>68</v>
      </c>
      <c r="L44" s="21" t="s">
        <v>68</v>
      </c>
      <c r="M44" s="21" t="s">
        <v>68</v>
      </c>
      <c r="N44" s="21" t="s">
        <v>68</v>
      </c>
      <c r="O44" s="22" t="s">
        <v>68</v>
      </c>
      <c r="P44" s="63">
        <v>126630</v>
      </c>
      <c r="R44" s="4"/>
      <c r="S44" s="4"/>
      <c r="T44" s="4"/>
      <c r="U44" s="4"/>
      <c r="V44" s="4"/>
      <c r="W44" s="4"/>
      <c r="X44" s="4"/>
      <c r="Y44" s="4"/>
      <c r="Z44" s="4"/>
      <c r="AA44" s="4"/>
      <c r="AB44" s="4"/>
      <c r="AC44" s="4"/>
      <c r="AD44" s="4"/>
      <c r="AE44" s="4"/>
      <c r="AF44" s="4"/>
      <c r="AG44" s="4"/>
      <c r="AH44" s="4"/>
      <c r="AI44" s="4"/>
      <c r="AJ44" s="4"/>
      <c r="AK44" s="4"/>
      <c r="AL44" s="4"/>
      <c r="AM44" s="4"/>
      <c r="AN44" s="4"/>
      <c r="AO44" s="4"/>
    </row>
    <row r="45" spans="1:41">
      <c r="A45" s="19">
        <v>1947</v>
      </c>
      <c r="B45" s="59">
        <v>17450</v>
      </c>
      <c r="C45" s="83">
        <v>10910</v>
      </c>
      <c r="D45" s="92">
        <v>28360</v>
      </c>
      <c r="E45" s="63">
        <v>28220</v>
      </c>
      <c r="F45" s="63">
        <v>3300</v>
      </c>
      <c r="G45" s="63">
        <v>56480</v>
      </c>
      <c r="H45" s="63">
        <v>22310</v>
      </c>
      <c r="I45" s="23" t="s">
        <v>68</v>
      </c>
      <c r="J45" s="23" t="s">
        <v>68</v>
      </c>
      <c r="K45" s="21" t="s">
        <v>68</v>
      </c>
      <c r="L45" s="21" t="s">
        <v>68</v>
      </c>
      <c r="M45" s="21" t="s">
        <v>68</v>
      </c>
      <c r="N45" s="21" t="s">
        <v>68</v>
      </c>
      <c r="O45" s="22" t="s">
        <v>68</v>
      </c>
      <c r="P45" s="63">
        <v>138670</v>
      </c>
      <c r="R45" s="4"/>
      <c r="S45" s="4"/>
      <c r="T45" s="4"/>
      <c r="U45" s="4"/>
      <c r="V45" s="4"/>
      <c r="W45" s="4"/>
      <c r="X45" s="4"/>
      <c r="Y45" s="4"/>
      <c r="Z45" s="4"/>
      <c r="AA45" s="4"/>
      <c r="AB45" s="4"/>
      <c r="AC45" s="4"/>
      <c r="AD45" s="4"/>
      <c r="AE45" s="4"/>
      <c r="AF45" s="4"/>
      <c r="AG45" s="4"/>
      <c r="AH45" s="4"/>
      <c r="AI45" s="4"/>
      <c r="AJ45" s="4"/>
      <c r="AK45" s="4"/>
      <c r="AL45" s="4"/>
      <c r="AM45" s="4"/>
      <c r="AN45" s="4"/>
      <c r="AO45" s="4"/>
    </row>
    <row r="46" spans="1:41">
      <c r="A46" s="19">
        <v>1948</v>
      </c>
      <c r="B46" s="59">
        <v>16060</v>
      </c>
      <c r="C46" s="83">
        <v>13630</v>
      </c>
      <c r="D46" s="92">
        <v>29690</v>
      </c>
      <c r="E46" s="63">
        <v>31950</v>
      </c>
      <c r="F46" s="63">
        <v>3650</v>
      </c>
      <c r="G46" s="63">
        <v>59670</v>
      </c>
      <c r="H46" s="63">
        <v>23030</v>
      </c>
      <c r="I46" s="23" t="s">
        <v>68</v>
      </c>
      <c r="J46" s="23" t="s">
        <v>68</v>
      </c>
      <c r="K46" s="21" t="s">
        <v>68</v>
      </c>
      <c r="L46" s="21" t="s">
        <v>68</v>
      </c>
      <c r="M46" s="21" t="s">
        <v>68</v>
      </c>
      <c r="N46" s="21" t="s">
        <v>68</v>
      </c>
      <c r="O46" s="22" t="s">
        <v>68</v>
      </c>
      <c r="P46" s="63">
        <v>147990</v>
      </c>
      <c r="R46" s="4"/>
      <c r="S46" s="4"/>
      <c r="T46" s="4"/>
      <c r="U46" s="4"/>
      <c r="V46" s="4"/>
      <c r="W46" s="4"/>
      <c r="X46" s="4"/>
      <c r="Y46" s="4"/>
      <c r="Z46" s="4"/>
      <c r="AA46" s="4"/>
      <c r="AB46" s="4"/>
      <c r="AC46" s="4"/>
      <c r="AD46" s="4"/>
      <c r="AE46" s="4"/>
      <c r="AF46" s="4"/>
      <c r="AG46" s="4"/>
      <c r="AH46" s="4"/>
      <c r="AI46" s="4"/>
      <c r="AJ46" s="4"/>
      <c r="AK46" s="4"/>
      <c r="AL46" s="4"/>
      <c r="AM46" s="4"/>
      <c r="AN46" s="4"/>
      <c r="AO46" s="4"/>
    </row>
    <row r="47" spans="1:41">
      <c r="A47" s="19">
        <v>1949</v>
      </c>
      <c r="B47" s="59">
        <v>19360</v>
      </c>
      <c r="C47" s="83">
        <v>13870</v>
      </c>
      <c r="D47" s="92">
        <v>33230</v>
      </c>
      <c r="E47" s="63">
        <v>28330</v>
      </c>
      <c r="F47" s="63">
        <v>3740</v>
      </c>
      <c r="G47" s="63">
        <v>59780</v>
      </c>
      <c r="H47" s="63">
        <v>20730</v>
      </c>
      <c r="I47" s="23" t="s">
        <v>68</v>
      </c>
      <c r="J47" s="23" t="s">
        <v>68</v>
      </c>
      <c r="K47" s="21" t="s">
        <v>68</v>
      </c>
      <c r="L47" s="21" t="s">
        <v>68</v>
      </c>
      <c r="M47" s="21" t="s">
        <v>68</v>
      </c>
      <c r="N47" s="21" t="s">
        <v>68</v>
      </c>
      <c r="O47" s="22" t="s">
        <v>68</v>
      </c>
      <c r="P47" s="63">
        <v>145810</v>
      </c>
      <c r="R47" s="4"/>
      <c r="S47" s="4"/>
      <c r="T47" s="4"/>
      <c r="U47" s="4"/>
      <c r="V47" s="4"/>
      <c r="W47" s="4"/>
      <c r="X47" s="4"/>
      <c r="Y47" s="4"/>
      <c r="Z47" s="4"/>
      <c r="AA47" s="4"/>
      <c r="AB47" s="4"/>
      <c r="AC47" s="4"/>
      <c r="AD47" s="4"/>
      <c r="AE47" s="4"/>
      <c r="AF47" s="4"/>
      <c r="AG47" s="4"/>
      <c r="AH47" s="4"/>
      <c r="AI47" s="4"/>
      <c r="AJ47" s="4"/>
      <c r="AK47" s="4"/>
      <c r="AL47" s="4"/>
      <c r="AM47" s="4"/>
      <c r="AN47" s="4"/>
      <c r="AO47" s="4"/>
    </row>
    <row r="48" spans="1:41">
      <c r="A48" s="19">
        <v>1950</v>
      </c>
      <c r="B48" s="59">
        <v>23670</v>
      </c>
      <c r="C48" s="83">
        <v>19070</v>
      </c>
      <c r="D48" s="92">
        <v>42740</v>
      </c>
      <c r="E48" s="63">
        <v>31780</v>
      </c>
      <c r="F48" s="63">
        <v>3770</v>
      </c>
      <c r="G48" s="63">
        <v>67690</v>
      </c>
      <c r="H48" s="63">
        <v>21720</v>
      </c>
      <c r="I48" s="23" t="s">
        <v>68</v>
      </c>
      <c r="J48" s="23" t="s">
        <v>68</v>
      </c>
      <c r="K48" s="21" t="s">
        <v>68</v>
      </c>
      <c r="L48" s="21" t="s">
        <v>68</v>
      </c>
      <c r="M48" s="21" t="s">
        <v>68</v>
      </c>
      <c r="N48" s="21" t="s">
        <v>68</v>
      </c>
      <c r="O48" s="22" t="s">
        <v>68</v>
      </c>
      <c r="P48" s="63">
        <v>167700</v>
      </c>
      <c r="R48" s="4"/>
      <c r="S48" s="4"/>
      <c r="T48" s="4"/>
      <c r="U48" s="4"/>
      <c r="V48" s="4"/>
      <c r="W48" s="4"/>
      <c r="X48" s="4"/>
      <c r="Y48" s="4"/>
      <c r="Z48" s="4"/>
      <c r="AA48" s="4"/>
      <c r="AB48" s="4"/>
      <c r="AC48" s="4"/>
      <c r="AD48" s="4"/>
      <c r="AE48" s="4"/>
      <c r="AF48" s="4"/>
      <c r="AG48" s="4"/>
      <c r="AH48" s="4"/>
      <c r="AI48" s="4"/>
      <c r="AJ48" s="4"/>
      <c r="AK48" s="4"/>
      <c r="AL48" s="4"/>
      <c r="AM48" s="4"/>
      <c r="AN48" s="4"/>
      <c r="AO48" s="4"/>
    </row>
    <row r="49" spans="1:41">
      <c r="A49" s="19">
        <v>1951</v>
      </c>
      <c r="B49" s="59">
        <v>26470</v>
      </c>
      <c r="C49" s="83">
        <v>19860</v>
      </c>
      <c r="D49" s="92">
        <v>46330</v>
      </c>
      <c r="E49" s="63">
        <v>36780</v>
      </c>
      <c r="F49" s="63">
        <v>3870</v>
      </c>
      <c r="G49" s="63">
        <v>70750</v>
      </c>
      <c r="H49" s="63">
        <v>21550</v>
      </c>
      <c r="I49" s="23" t="s">
        <v>68</v>
      </c>
      <c r="J49" s="23" t="s">
        <v>68</v>
      </c>
      <c r="K49" s="21" t="s">
        <v>68</v>
      </c>
      <c r="L49" s="21" t="s">
        <v>68</v>
      </c>
      <c r="M49" s="21" t="s">
        <v>68</v>
      </c>
      <c r="N49" s="21" t="s">
        <v>68</v>
      </c>
      <c r="O49" s="22" t="s">
        <v>68</v>
      </c>
      <c r="P49" s="63">
        <v>179280</v>
      </c>
      <c r="R49" s="4"/>
      <c r="S49" s="4"/>
      <c r="T49" s="4"/>
      <c r="U49" s="4"/>
      <c r="V49" s="4"/>
      <c r="W49" s="4"/>
      <c r="X49" s="4"/>
      <c r="Y49" s="4"/>
      <c r="Z49" s="4"/>
      <c r="AA49" s="4"/>
      <c r="AB49" s="4"/>
      <c r="AC49" s="4"/>
      <c r="AD49" s="4"/>
      <c r="AE49" s="4"/>
      <c r="AF49" s="4"/>
      <c r="AG49" s="4"/>
      <c r="AH49" s="4"/>
      <c r="AI49" s="4"/>
      <c r="AJ49" s="4"/>
      <c r="AK49" s="4"/>
      <c r="AL49" s="4"/>
      <c r="AM49" s="4"/>
      <c r="AN49" s="4"/>
      <c r="AO49" s="4"/>
    </row>
    <row r="50" spans="1:41">
      <c r="A50" s="19">
        <v>1952</v>
      </c>
      <c r="B50" s="59">
        <v>27580</v>
      </c>
      <c r="C50" s="83">
        <v>22820</v>
      </c>
      <c r="D50" s="92">
        <v>50400</v>
      </c>
      <c r="E50" s="63">
        <v>37770</v>
      </c>
      <c r="F50" s="63">
        <v>3930</v>
      </c>
      <c r="G50" s="63">
        <v>74120</v>
      </c>
      <c r="H50" s="63">
        <v>21320</v>
      </c>
      <c r="I50" s="23" t="s">
        <v>68</v>
      </c>
      <c r="J50" s="23" t="s">
        <v>68</v>
      </c>
      <c r="K50" s="21" t="s">
        <v>68</v>
      </c>
      <c r="L50" s="21" t="s">
        <v>68</v>
      </c>
      <c r="M50" s="21" t="s">
        <v>68</v>
      </c>
      <c r="N50" s="21" t="s">
        <v>68</v>
      </c>
      <c r="O50" s="22" t="s">
        <v>68</v>
      </c>
      <c r="P50" s="63">
        <v>187540</v>
      </c>
      <c r="R50" s="4"/>
      <c r="S50" s="4"/>
      <c r="T50" s="4"/>
      <c r="U50" s="4"/>
      <c r="V50" s="4"/>
      <c r="W50" s="4"/>
      <c r="X50" s="4"/>
      <c r="Y50" s="4"/>
      <c r="Z50" s="4"/>
      <c r="AA50" s="4"/>
      <c r="AB50" s="4"/>
      <c r="AC50" s="4"/>
      <c r="AD50" s="4"/>
      <c r="AE50" s="4"/>
      <c r="AF50" s="4"/>
      <c r="AG50" s="4"/>
      <c r="AH50" s="4"/>
      <c r="AI50" s="4"/>
      <c r="AJ50" s="4"/>
      <c r="AK50" s="4"/>
      <c r="AL50" s="4"/>
      <c r="AM50" s="4"/>
      <c r="AN50" s="4"/>
      <c r="AO50" s="4"/>
    </row>
    <row r="51" spans="1:41">
      <c r="A51" s="19">
        <v>1953</v>
      </c>
      <c r="B51" s="59">
        <v>30410</v>
      </c>
      <c r="C51" s="83">
        <v>24480</v>
      </c>
      <c r="D51" s="92">
        <v>54890</v>
      </c>
      <c r="E51" s="63">
        <v>39200</v>
      </c>
      <c r="F51" s="63">
        <v>3970</v>
      </c>
      <c r="G51" s="63">
        <v>61560</v>
      </c>
      <c r="H51" s="63">
        <v>19940</v>
      </c>
      <c r="I51" s="23" t="s">
        <v>68</v>
      </c>
      <c r="J51" s="23" t="s">
        <v>68</v>
      </c>
      <c r="K51" s="21" t="s">
        <v>68</v>
      </c>
      <c r="L51" s="21" t="s">
        <v>68</v>
      </c>
      <c r="M51" s="21" t="s">
        <v>68</v>
      </c>
      <c r="N51" s="21" t="s">
        <v>68</v>
      </c>
      <c r="O51" s="22" t="s">
        <v>68</v>
      </c>
      <c r="P51" s="63">
        <v>179560</v>
      </c>
      <c r="R51" s="4"/>
      <c r="S51" s="4"/>
      <c r="T51" s="4"/>
      <c r="U51" s="4"/>
      <c r="V51" s="4"/>
      <c r="W51" s="4"/>
      <c r="X51" s="4"/>
      <c r="Y51" s="4"/>
      <c r="Z51" s="4"/>
      <c r="AA51" s="4"/>
      <c r="AB51" s="4"/>
      <c r="AC51" s="4"/>
      <c r="AD51" s="4"/>
      <c r="AE51" s="4"/>
      <c r="AF51" s="4"/>
      <c r="AG51" s="4"/>
      <c r="AH51" s="4"/>
      <c r="AI51" s="4"/>
      <c r="AJ51" s="4"/>
      <c r="AK51" s="4"/>
      <c r="AL51" s="4"/>
      <c r="AM51" s="4"/>
      <c r="AN51" s="4"/>
      <c r="AO51" s="4"/>
    </row>
    <row r="52" spans="1:41">
      <c r="A52" s="19">
        <v>1954</v>
      </c>
      <c r="B52" s="59">
        <v>40680</v>
      </c>
      <c r="C52" s="83">
        <v>26590</v>
      </c>
      <c r="D52" s="92">
        <v>67270</v>
      </c>
      <c r="E52" s="63">
        <v>40560</v>
      </c>
      <c r="F52" s="63">
        <v>4050</v>
      </c>
      <c r="G52" s="63">
        <v>71990</v>
      </c>
      <c r="H52" s="63">
        <v>18280</v>
      </c>
      <c r="I52" s="23" t="s">
        <v>68</v>
      </c>
      <c r="J52" s="23" t="s">
        <v>68</v>
      </c>
      <c r="K52" s="21" t="s">
        <v>68</v>
      </c>
      <c r="L52" s="21" t="s">
        <v>68</v>
      </c>
      <c r="M52" s="21" t="s">
        <v>68</v>
      </c>
      <c r="N52" s="21" t="s">
        <v>68</v>
      </c>
      <c r="O52" s="22" t="s">
        <v>68</v>
      </c>
      <c r="P52" s="63">
        <v>202150</v>
      </c>
      <c r="R52" s="4"/>
      <c r="S52" s="4"/>
      <c r="T52" s="4"/>
      <c r="U52" s="4"/>
      <c r="V52" s="4"/>
      <c r="W52" s="4"/>
      <c r="X52" s="4"/>
      <c r="Y52" s="4"/>
      <c r="Z52" s="4"/>
      <c r="AA52" s="4"/>
      <c r="AB52" s="4"/>
      <c r="AC52" s="4"/>
      <c r="AD52" s="4"/>
      <c r="AE52" s="4"/>
      <c r="AF52" s="4"/>
      <c r="AG52" s="4"/>
      <c r="AH52" s="4"/>
      <c r="AI52" s="4"/>
      <c r="AJ52" s="4"/>
      <c r="AK52" s="4"/>
      <c r="AL52" s="4"/>
      <c r="AM52" s="4"/>
      <c r="AN52" s="4"/>
      <c r="AO52" s="4"/>
    </row>
    <row r="53" spans="1:41">
      <c r="A53" s="19">
        <v>1955</v>
      </c>
      <c r="B53" s="59">
        <v>47690</v>
      </c>
      <c r="C53" s="83">
        <v>30750</v>
      </c>
      <c r="D53" s="92">
        <v>78440</v>
      </c>
      <c r="E53" s="63">
        <v>44780</v>
      </c>
      <c r="F53" s="63">
        <v>4030</v>
      </c>
      <c r="G53" s="63">
        <v>75330</v>
      </c>
      <c r="H53" s="63">
        <v>18120</v>
      </c>
      <c r="I53" s="23" t="s">
        <v>68</v>
      </c>
      <c r="J53" s="23" t="s">
        <v>68</v>
      </c>
      <c r="K53" s="21" t="s">
        <v>68</v>
      </c>
      <c r="L53" s="21" t="s">
        <v>68</v>
      </c>
      <c r="M53" s="21" t="s">
        <v>68</v>
      </c>
      <c r="N53" s="21" t="s">
        <v>68</v>
      </c>
      <c r="O53" s="22" t="s">
        <v>68</v>
      </c>
      <c r="P53" s="63">
        <v>220700</v>
      </c>
      <c r="R53" s="4"/>
      <c r="S53" s="4"/>
      <c r="T53" s="4"/>
      <c r="U53" s="4"/>
      <c r="V53" s="4"/>
      <c r="W53" s="4"/>
      <c r="X53" s="4"/>
      <c r="Y53" s="4"/>
      <c r="Z53" s="4"/>
      <c r="AA53" s="4"/>
      <c r="AB53" s="4"/>
      <c r="AC53" s="4"/>
      <c r="AD53" s="4"/>
      <c r="AE53" s="4"/>
      <c r="AF53" s="4"/>
      <c r="AG53" s="4"/>
      <c r="AH53" s="4"/>
      <c r="AI53" s="4"/>
      <c r="AJ53" s="4"/>
      <c r="AK53" s="4"/>
      <c r="AL53" s="4"/>
      <c r="AM53" s="4"/>
      <c r="AN53" s="4"/>
      <c r="AO53" s="4"/>
    </row>
    <row r="54" spans="1:41">
      <c r="A54" s="19">
        <v>1956</v>
      </c>
      <c r="B54" s="59">
        <v>64000</v>
      </c>
      <c r="C54" s="83">
        <v>37070</v>
      </c>
      <c r="D54" s="92">
        <v>101070</v>
      </c>
      <c r="E54" s="63">
        <v>46120</v>
      </c>
      <c r="F54" s="63">
        <v>4190</v>
      </c>
      <c r="G54" s="63">
        <v>81280</v>
      </c>
      <c r="H54" s="63">
        <v>17250</v>
      </c>
      <c r="I54" s="23" t="s">
        <v>68</v>
      </c>
      <c r="J54" s="23" t="s">
        <v>68</v>
      </c>
      <c r="K54" s="21" t="s">
        <v>68</v>
      </c>
      <c r="L54" s="21" t="s">
        <v>68</v>
      </c>
      <c r="M54" s="21" t="s">
        <v>68</v>
      </c>
      <c r="N54" s="21" t="s">
        <v>68</v>
      </c>
      <c r="O54" s="22" t="s">
        <v>68</v>
      </c>
      <c r="P54" s="63">
        <v>249910</v>
      </c>
      <c r="R54" s="4"/>
      <c r="S54" s="4"/>
      <c r="T54" s="4"/>
      <c r="U54" s="4"/>
      <c r="V54" s="4"/>
      <c r="W54" s="4"/>
      <c r="X54" s="4"/>
      <c r="Y54" s="4"/>
      <c r="Z54" s="4"/>
      <c r="AA54" s="4"/>
      <c r="AB54" s="4"/>
      <c r="AC54" s="4"/>
      <c r="AD54" s="4"/>
      <c r="AE54" s="4"/>
      <c r="AF54" s="4"/>
      <c r="AG54" s="4"/>
      <c r="AH54" s="4"/>
      <c r="AI54" s="4"/>
      <c r="AJ54" s="4"/>
      <c r="AK54" s="4"/>
      <c r="AL54" s="4"/>
      <c r="AM54" s="4"/>
      <c r="AN54" s="4"/>
      <c r="AO54" s="4"/>
    </row>
    <row r="55" spans="1:41">
      <c r="A55" s="19">
        <v>1957</v>
      </c>
      <c r="B55" s="59">
        <v>62490</v>
      </c>
      <c r="C55" s="83">
        <v>37800</v>
      </c>
      <c r="D55" s="92">
        <v>100290</v>
      </c>
      <c r="E55" s="63">
        <v>48120</v>
      </c>
      <c r="F55" s="63">
        <v>4130</v>
      </c>
      <c r="G55" s="63">
        <v>74920</v>
      </c>
      <c r="H55" s="63">
        <v>17820</v>
      </c>
      <c r="I55" s="23" t="s">
        <v>68</v>
      </c>
      <c r="J55" s="23" t="s">
        <v>68</v>
      </c>
      <c r="K55" s="21" t="s">
        <v>68</v>
      </c>
      <c r="L55" s="21" t="s">
        <v>68</v>
      </c>
      <c r="M55" s="21" t="s">
        <v>68</v>
      </c>
      <c r="N55" s="21" t="s">
        <v>68</v>
      </c>
      <c r="O55" s="22" t="s">
        <v>68</v>
      </c>
      <c r="P55" s="63">
        <v>245280</v>
      </c>
      <c r="R55" s="4"/>
      <c r="S55" s="4"/>
      <c r="T55" s="4"/>
      <c r="U55" s="4"/>
      <c r="V55" s="4"/>
      <c r="W55" s="4"/>
      <c r="X55" s="4"/>
      <c r="Y55" s="4"/>
      <c r="Z55" s="4"/>
      <c r="AA55" s="4"/>
      <c r="AB55" s="4"/>
      <c r="AC55" s="4"/>
      <c r="AD55" s="4"/>
      <c r="AE55" s="4"/>
      <c r="AF55" s="4"/>
      <c r="AG55" s="4"/>
      <c r="AH55" s="4"/>
      <c r="AI55" s="4"/>
      <c r="AJ55" s="4"/>
      <c r="AK55" s="4"/>
      <c r="AL55" s="4"/>
      <c r="AM55" s="4"/>
      <c r="AN55" s="4"/>
      <c r="AO55" s="4"/>
    </row>
    <row r="56" spans="1:41">
      <c r="A56" s="19">
        <v>1958</v>
      </c>
      <c r="B56" s="59">
        <v>74750</v>
      </c>
      <c r="C56" s="83">
        <v>43180</v>
      </c>
      <c r="D56" s="92">
        <v>117930</v>
      </c>
      <c r="E56" s="63">
        <v>50120</v>
      </c>
      <c r="F56" s="63">
        <v>4100</v>
      </c>
      <c r="G56" s="63">
        <v>67360</v>
      </c>
      <c r="H56" s="63">
        <v>16560</v>
      </c>
      <c r="I56" s="23" t="s">
        <v>68</v>
      </c>
      <c r="J56" s="23" t="s">
        <v>68</v>
      </c>
      <c r="K56" s="21" t="s">
        <v>68</v>
      </c>
      <c r="L56" s="21" t="s">
        <v>68</v>
      </c>
      <c r="M56" s="21" t="s">
        <v>68</v>
      </c>
      <c r="N56" s="21" t="s">
        <v>68</v>
      </c>
      <c r="O56" s="22" t="s">
        <v>68</v>
      </c>
      <c r="P56" s="63">
        <v>256070</v>
      </c>
      <c r="R56" s="4"/>
      <c r="S56" s="4"/>
      <c r="T56" s="4"/>
      <c r="U56" s="4"/>
      <c r="V56" s="4"/>
      <c r="W56" s="4"/>
      <c r="X56" s="4"/>
      <c r="Y56" s="4"/>
      <c r="Z56" s="4"/>
      <c r="AA56" s="4"/>
      <c r="AB56" s="4"/>
      <c r="AC56" s="4"/>
      <c r="AD56" s="4"/>
      <c r="AE56" s="4"/>
      <c r="AF56" s="4"/>
      <c r="AG56" s="4"/>
      <c r="AH56" s="4"/>
      <c r="AI56" s="4"/>
      <c r="AJ56" s="4"/>
      <c r="AK56" s="4"/>
      <c r="AL56" s="4"/>
      <c r="AM56" s="4"/>
      <c r="AN56" s="4"/>
      <c r="AO56" s="4"/>
    </row>
    <row r="57" spans="1:41">
      <c r="A57" s="19">
        <v>1959</v>
      </c>
      <c r="B57" s="59">
        <v>77190</v>
      </c>
      <c r="C57" s="83">
        <v>48790</v>
      </c>
      <c r="D57" s="92">
        <v>125980</v>
      </c>
      <c r="E57" s="63">
        <v>51780</v>
      </c>
      <c r="F57" s="63">
        <v>4060</v>
      </c>
      <c r="G57" s="63">
        <v>68510</v>
      </c>
      <c r="H57" s="63">
        <v>15110</v>
      </c>
      <c r="I57" s="23" t="s">
        <v>68</v>
      </c>
      <c r="J57" s="23" t="s">
        <v>68</v>
      </c>
      <c r="K57" s="21" t="s">
        <v>68</v>
      </c>
      <c r="L57" s="21" t="s">
        <v>68</v>
      </c>
      <c r="M57" s="21" t="s">
        <v>68</v>
      </c>
      <c r="N57" s="21" t="s">
        <v>68</v>
      </c>
      <c r="O57" s="22" t="s">
        <v>68</v>
      </c>
      <c r="P57" s="63">
        <v>265440</v>
      </c>
      <c r="R57" s="4"/>
      <c r="S57" s="4"/>
      <c r="T57" s="4"/>
      <c r="U57" s="4"/>
      <c r="V57" s="4"/>
      <c r="W57" s="4"/>
      <c r="X57" s="4"/>
      <c r="Y57" s="4"/>
      <c r="Z57" s="4"/>
      <c r="AA57" s="4"/>
      <c r="AB57" s="4"/>
      <c r="AC57" s="4"/>
      <c r="AD57" s="4"/>
      <c r="AE57" s="4"/>
      <c r="AF57" s="4"/>
      <c r="AG57" s="4"/>
      <c r="AH57" s="4"/>
      <c r="AI57" s="4"/>
      <c r="AJ57" s="4"/>
      <c r="AK57" s="4"/>
      <c r="AL57" s="4"/>
      <c r="AM57" s="4"/>
      <c r="AN57" s="4"/>
      <c r="AO57" s="4"/>
    </row>
    <row r="58" spans="1:41">
      <c r="A58" s="19">
        <v>1960</v>
      </c>
      <c r="B58" s="59">
        <v>95300</v>
      </c>
      <c r="C58" s="83">
        <v>55310</v>
      </c>
      <c r="D58" s="92">
        <v>150610</v>
      </c>
      <c r="E58" s="63">
        <v>57210</v>
      </c>
      <c r="F58" s="63">
        <v>4120</v>
      </c>
      <c r="G58" s="63">
        <v>68080</v>
      </c>
      <c r="H58" s="63">
        <v>14520</v>
      </c>
      <c r="I58" s="23" t="s">
        <v>68</v>
      </c>
      <c r="J58" s="23" t="s">
        <v>68</v>
      </c>
      <c r="K58" s="21" t="s">
        <v>68</v>
      </c>
      <c r="L58" s="21" t="s">
        <v>68</v>
      </c>
      <c r="M58" s="21" t="s">
        <v>68</v>
      </c>
      <c r="N58" s="21" t="s">
        <v>68</v>
      </c>
      <c r="O58" s="22" t="s">
        <v>68</v>
      </c>
      <c r="P58" s="63">
        <v>294540</v>
      </c>
      <c r="R58" s="4"/>
      <c r="S58" s="4"/>
      <c r="T58" s="4"/>
      <c r="U58" s="4"/>
      <c r="V58" s="4"/>
      <c r="W58" s="4"/>
      <c r="X58" s="4"/>
      <c r="Y58" s="4"/>
      <c r="Z58" s="4"/>
      <c r="AA58" s="4"/>
      <c r="AB58" s="4"/>
      <c r="AC58" s="4"/>
      <c r="AD58" s="4"/>
      <c r="AE58" s="4"/>
      <c r="AF58" s="4"/>
      <c r="AG58" s="4"/>
      <c r="AH58" s="4"/>
      <c r="AI58" s="4"/>
      <c r="AJ58" s="4"/>
      <c r="AK58" s="4"/>
      <c r="AL58" s="4"/>
      <c r="AM58" s="4"/>
      <c r="AN58" s="4"/>
      <c r="AO58" s="4"/>
    </row>
    <row r="59" spans="1:41">
      <c r="A59" s="19">
        <v>1961</v>
      </c>
      <c r="B59" s="59">
        <v>103560</v>
      </c>
      <c r="C59" s="83">
        <v>66090</v>
      </c>
      <c r="D59" s="92">
        <v>169650</v>
      </c>
      <c r="E59" s="63">
        <v>60270</v>
      </c>
      <c r="F59" s="63">
        <v>4090</v>
      </c>
      <c r="G59" s="63">
        <v>63270</v>
      </c>
      <c r="H59" s="63">
        <v>14170</v>
      </c>
      <c r="I59" s="23" t="s">
        <v>68</v>
      </c>
      <c r="J59" s="23" t="s">
        <v>68</v>
      </c>
      <c r="K59" s="21" t="s">
        <v>68</v>
      </c>
      <c r="L59" s="21" t="s">
        <v>68</v>
      </c>
      <c r="M59" s="21" t="s">
        <v>68</v>
      </c>
      <c r="N59" s="21" t="s">
        <v>68</v>
      </c>
      <c r="O59" s="22" t="s">
        <v>68</v>
      </c>
      <c r="P59" s="63">
        <v>311450</v>
      </c>
      <c r="R59" s="4"/>
      <c r="S59" s="4"/>
      <c r="T59" s="4"/>
      <c r="U59" s="4"/>
      <c r="V59" s="4"/>
      <c r="W59" s="4"/>
      <c r="X59" s="4"/>
      <c r="Y59" s="4"/>
      <c r="Z59" s="4"/>
      <c r="AA59" s="4"/>
      <c r="AB59" s="4"/>
      <c r="AC59" s="4"/>
      <c r="AD59" s="4"/>
      <c r="AE59" s="4"/>
      <c r="AF59" s="4"/>
      <c r="AG59" s="4"/>
      <c r="AH59" s="4"/>
      <c r="AI59" s="4"/>
      <c r="AJ59" s="4"/>
      <c r="AK59" s="4"/>
      <c r="AL59" s="4"/>
      <c r="AM59" s="4"/>
      <c r="AN59" s="4"/>
      <c r="AO59" s="4"/>
    </row>
    <row r="60" spans="1:41">
      <c r="A60" s="19">
        <v>1962</v>
      </c>
      <c r="B60" s="59">
        <v>134470</v>
      </c>
      <c r="C60" s="83">
        <v>71260</v>
      </c>
      <c r="D60" s="92">
        <v>205730</v>
      </c>
      <c r="E60" s="63">
        <v>63780</v>
      </c>
      <c r="F60" s="63">
        <v>4210</v>
      </c>
      <c r="G60" s="63">
        <v>68490</v>
      </c>
      <c r="H60" s="63">
        <v>16150</v>
      </c>
      <c r="I60" s="23" t="s">
        <v>68</v>
      </c>
      <c r="J60" s="23" t="s">
        <v>68</v>
      </c>
      <c r="K60" s="21" t="s">
        <v>68</v>
      </c>
      <c r="L60" s="21" t="s">
        <v>68</v>
      </c>
      <c r="M60" s="21" t="s">
        <v>68</v>
      </c>
      <c r="N60" s="21" t="s">
        <v>68</v>
      </c>
      <c r="O60" s="22" t="s">
        <v>68</v>
      </c>
      <c r="P60" s="63">
        <v>358360</v>
      </c>
      <c r="R60" s="4"/>
      <c r="S60" s="4"/>
      <c r="T60" s="4"/>
      <c r="U60" s="4"/>
      <c r="V60" s="4"/>
      <c r="W60" s="4"/>
      <c r="X60" s="4"/>
      <c r="Y60" s="4"/>
      <c r="Z60" s="4"/>
      <c r="AA60" s="4"/>
      <c r="AB60" s="4"/>
      <c r="AC60" s="4"/>
      <c r="AD60" s="4"/>
      <c r="AE60" s="4"/>
      <c r="AF60" s="4"/>
      <c r="AG60" s="4"/>
      <c r="AH60" s="4"/>
      <c r="AI60" s="4"/>
      <c r="AJ60" s="4"/>
      <c r="AK60" s="4"/>
      <c r="AL60" s="4"/>
      <c r="AM60" s="4"/>
      <c r="AN60" s="4"/>
      <c r="AO60" s="4"/>
    </row>
    <row r="61" spans="1:41">
      <c r="A61" s="19">
        <v>1963</v>
      </c>
      <c r="B61" s="59">
        <v>169340</v>
      </c>
      <c r="C61" s="83">
        <v>82790</v>
      </c>
      <c r="D61" s="92">
        <v>252130</v>
      </c>
      <c r="E61" s="63">
        <v>66540</v>
      </c>
      <c r="F61" s="63">
        <v>4400</v>
      </c>
      <c r="G61" s="63">
        <v>68150</v>
      </c>
      <c r="H61" s="63">
        <v>16180</v>
      </c>
      <c r="I61" s="23" t="s">
        <v>68</v>
      </c>
      <c r="J61" s="23" t="s">
        <v>68</v>
      </c>
      <c r="K61" s="21" t="s">
        <v>68</v>
      </c>
      <c r="L61" s="21" t="s">
        <v>68</v>
      </c>
      <c r="M61" s="21" t="s">
        <v>68</v>
      </c>
      <c r="N61" s="21" t="s">
        <v>68</v>
      </c>
      <c r="O61" s="22" t="s">
        <v>68</v>
      </c>
      <c r="P61" s="63">
        <v>407400</v>
      </c>
      <c r="R61" s="4"/>
      <c r="S61" s="4"/>
      <c r="T61" s="4"/>
      <c r="U61" s="4"/>
      <c r="V61" s="4"/>
      <c r="W61" s="4"/>
      <c r="X61" s="4"/>
      <c r="Y61" s="4"/>
      <c r="Z61" s="4"/>
      <c r="AA61" s="4"/>
      <c r="AB61" s="4"/>
      <c r="AC61" s="4"/>
      <c r="AD61" s="4"/>
      <c r="AE61" s="4"/>
      <c r="AF61" s="4"/>
      <c r="AG61" s="4"/>
      <c r="AH61" s="4"/>
      <c r="AI61" s="4"/>
      <c r="AJ61" s="4"/>
      <c r="AK61" s="4"/>
      <c r="AL61" s="4"/>
      <c r="AM61" s="4"/>
      <c r="AN61" s="4"/>
      <c r="AO61" s="4"/>
    </row>
    <row r="62" spans="1:41">
      <c r="A62" s="19">
        <v>1964</v>
      </c>
      <c r="B62" s="59">
        <v>182220</v>
      </c>
      <c r="C62" s="83">
        <v>91490</v>
      </c>
      <c r="D62" s="92">
        <v>273710</v>
      </c>
      <c r="E62" s="63">
        <v>69650</v>
      </c>
      <c r="F62" s="63">
        <v>4280</v>
      </c>
      <c r="G62" s="63">
        <v>54510</v>
      </c>
      <c r="H62" s="63">
        <v>16220</v>
      </c>
      <c r="I62" s="23" t="s">
        <v>68</v>
      </c>
      <c r="J62" s="23" t="s">
        <v>68</v>
      </c>
      <c r="K62" s="21" t="s">
        <v>68</v>
      </c>
      <c r="L62" s="21" t="s">
        <v>68</v>
      </c>
      <c r="M62" s="21" t="s">
        <v>68</v>
      </c>
      <c r="N62" s="21" t="s">
        <v>68</v>
      </c>
      <c r="O62" s="22" t="s">
        <v>68</v>
      </c>
      <c r="P62" s="63">
        <v>418370</v>
      </c>
      <c r="R62" s="4"/>
      <c r="S62" s="4"/>
      <c r="T62" s="4"/>
      <c r="U62" s="4"/>
      <c r="V62" s="4"/>
      <c r="W62" s="4"/>
      <c r="X62" s="4"/>
      <c r="Y62" s="4"/>
      <c r="Z62" s="4"/>
      <c r="AA62" s="4"/>
      <c r="AB62" s="4"/>
      <c r="AC62" s="4"/>
      <c r="AD62" s="4"/>
      <c r="AE62" s="4"/>
      <c r="AF62" s="4"/>
      <c r="AG62" s="4"/>
      <c r="AH62" s="4"/>
      <c r="AI62" s="4"/>
      <c r="AJ62" s="4"/>
      <c r="AK62" s="4"/>
      <c r="AL62" s="4"/>
      <c r="AM62" s="4"/>
      <c r="AN62" s="4"/>
      <c r="AO62" s="4"/>
    </row>
    <row r="63" spans="1:41">
      <c r="A63" s="19">
        <v>1965</v>
      </c>
      <c r="B63" s="59">
        <v>212980</v>
      </c>
      <c r="C63" s="83">
        <v>96710</v>
      </c>
      <c r="D63" s="92">
        <v>309690</v>
      </c>
      <c r="E63" s="63">
        <v>72800</v>
      </c>
      <c r="F63" s="63">
        <v>4360</v>
      </c>
      <c r="G63" s="63">
        <v>43980</v>
      </c>
      <c r="H63" s="63">
        <v>16830</v>
      </c>
      <c r="I63" s="23" t="s">
        <v>68</v>
      </c>
      <c r="J63" s="23" t="s">
        <v>68</v>
      </c>
      <c r="K63" s="21" t="s">
        <v>68</v>
      </c>
      <c r="L63" s="21" t="s">
        <v>68</v>
      </c>
      <c r="M63" s="21" t="s">
        <v>68</v>
      </c>
      <c r="N63" s="21" t="s">
        <v>68</v>
      </c>
      <c r="O63" s="22" t="s">
        <v>68</v>
      </c>
      <c r="P63" s="63">
        <v>447660</v>
      </c>
      <c r="R63" s="4"/>
      <c r="S63" s="4"/>
      <c r="T63" s="4"/>
      <c r="U63" s="4"/>
      <c r="V63" s="4"/>
      <c r="W63" s="4"/>
      <c r="X63" s="4"/>
      <c r="Y63" s="4"/>
      <c r="Z63" s="4"/>
      <c r="AA63" s="4"/>
      <c r="AB63" s="4"/>
      <c r="AC63" s="4"/>
      <c r="AD63" s="4"/>
      <c r="AE63" s="4"/>
      <c r="AF63" s="4"/>
      <c r="AG63" s="4"/>
      <c r="AH63" s="4"/>
      <c r="AI63" s="4"/>
      <c r="AJ63" s="4"/>
      <c r="AK63" s="4"/>
      <c r="AL63" s="4"/>
      <c r="AM63" s="4"/>
      <c r="AN63" s="4"/>
      <c r="AO63" s="4"/>
    </row>
    <row r="64" spans="1:41">
      <c r="A64" s="19">
        <v>1966</v>
      </c>
      <c r="B64" s="59">
        <v>216960</v>
      </c>
      <c r="C64" s="83">
        <v>104020</v>
      </c>
      <c r="D64" s="92">
        <v>320980</v>
      </c>
      <c r="E64" s="63">
        <v>74550</v>
      </c>
      <c r="F64" s="63">
        <v>4350</v>
      </c>
      <c r="G64" s="63">
        <v>36070</v>
      </c>
      <c r="H64" s="63">
        <v>14730</v>
      </c>
      <c r="I64" s="23" t="s">
        <v>68</v>
      </c>
      <c r="J64" s="23" t="s">
        <v>68</v>
      </c>
      <c r="K64" s="21" t="s">
        <v>68</v>
      </c>
      <c r="L64" s="21" t="s">
        <v>68</v>
      </c>
      <c r="M64" s="21" t="s">
        <v>68</v>
      </c>
      <c r="N64" s="21" t="s">
        <v>68</v>
      </c>
      <c r="O64" s="22" t="s">
        <v>68</v>
      </c>
      <c r="P64" s="63">
        <v>450680</v>
      </c>
      <c r="R64" s="4"/>
      <c r="S64" s="4"/>
      <c r="T64" s="4"/>
      <c r="U64" s="4"/>
      <c r="V64" s="4"/>
      <c r="W64" s="4"/>
      <c r="X64" s="4"/>
      <c r="Y64" s="4"/>
      <c r="Z64" s="4"/>
      <c r="AA64" s="4"/>
      <c r="AB64" s="4"/>
      <c r="AC64" s="4"/>
      <c r="AD64" s="4"/>
      <c r="AE64" s="4"/>
      <c r="AF64" s="4"/>
      <c r="AG64" s="4"/>
      <c r="AH64" s="4"/>
      <c r="AI64" s="4"/>
      <c r="AJ64" s="4"/>
      <c r="AK64" s="4"/>
      <c r="AL64" s="4"/>
      <c r="AM64" s="4"/>
      <c r="AN64" s="4"/>
      <c r="AO64" s="4"/>
    </row>
    <row r="65" spans="1:41">
      <c r="A65" s="19">
        <v>1967</v>
      </c>
      <c r="B65" s="59">
        <v>235220</v>
      </c>
      <c r="C65" s="83">
        <v>108470</v>
      </c>
      <c r="D65" s="92">
        <v>343690</v>
      </c>
      <c r="E65" s="63">
        <v>77500</v>
      </c>
      <c r="F65" s="63">
        <v>4470</v>
      </c>
      <c r="G65" s="63">
        <v>30700</v>
      </c>
      <c r="H65" s="63">
        <v>14290</v>
      </c>
      <c r="I65" s="23" t="s">
        <v>68</v>
      </c>
      <c r="J65" s="23" t="s">
        <v>68</v>
      </c>
      <c r="K65" s="21" t="s">
        <v>68</v>
      </c>
      <c r="L65" s="21" t="s">
        <v>68</v>
      </c>
      <c r="M65" s="21" t="s">
        <v>68</v>
      </c>
      <c r="N65" s="21" t="s">
        <v>68</v>
      </c>
      <c r="O65" s="22" t="s">
        <v>68</v>
      </c>
      <c r="P65" s="63">
        <v>470650</v>
      </c>
      <c r="R65" s="4"/>
      <c r="S65" s="4"/>
      <c r="T65" s="4"/>
      <c r="U65" s="4"/>
      <c r="V65" s="4"/>
      <c r="W65" s="4"/>
      <c r="X65" s="4"/>
      <c r="Y65" s="4"/>
      <c r="Z65" s="4"/>
      <c r="AA65" s="4"/>
      <c r="AB65" s="4"/>
      <c r="AC65" s="4"/>
      <c r="AD65" s="4"/>
      <c r="AE65" s="4"/>
      <c r="AF65" s="4"/>
      <c r="AG65" s="4"/>
      <c r="AH65" s="4"/>
      <c r="AI65" s="4"/>
      <c r="AJ65" s="4"/>
      <c r="AK65" s="4"/>
      <c r="AL65" s="4"/>
      <c r="AM65" s="4"/>
      <c r="AN65" s="4"/>
      <c r="AO65" s="4"/>
    </row>
    <row r="66" spans="1:41">
      <c r="A66" s="19">
        <v>1968</v>
      </c>
      <c r="B66" s="59">
        <v>261550</v>
      </c>
      <c r="C66" s="83">
        <v>115580</v>
      </c>
      <c r="D66" s="92">
        <v>377130</v>
      </c>
      <c r="E66" s="63">
        <v>80770</v>
      </c>
      <c r="F66" s="63">
        <v>4700</v>
      </c>
      <c r="G66" s="63">
        <v>29930</v>
      </c>
      <c r="H66" s="63">
        <v>13630</v>
      </c>
      <c r="I66" s="23" t="s">
        <v>68</v>
      </c>
      <c r="J66" s="23" t="s">
        <v>68</v>
      </c>
      <c r="K66" s="21" t="s">
        <v>68</v>
      </c>
      <c r="L66" s="21" t="s">
        <v>68</v>
      </c>
      <c r="M66" s="21" t="s">
        <v>68</v>
      </c>
      <c r="N66" s="21" t="s">
        <v>68</v>
      </c>
      <c r="O66" s="22" t="s">
        <v>68</v>
      </c>
      <c r="P66" s="63">
        <v>506160</v>
      </c>
      <c r="R66" s="4"/>
      <c r="S66" s="4"/>
      <c r="T66" s="4"/>
      <c r="U66" s="4"/>
      <c r="V66" s="4"/>
      <c r="W66" s="4"/>
      <c r="X66" s="4"/>
      <c r="Y66" s="4"/>
      <c r="Z66" s="4"/>
      <c r="AA66" s="4"/>
      <c r="AB66" s="4"/>
      <c r="AC66" s="4"/>
      <c r="AD66" s="4"/>
      <c r="AE66" s="4"/>
      <c r="AF66" s="4"/>
      <c r="AG66" s="4"/>
      <c r="AH66" s="4"/>
      <c r="AI66" s="4"/>
      <c r="AJ66" s="4"/>
      <c r="AK66" s="4"/>
      <c r="AL66" s="4"/>
      <c r="AM66" s="4"/>
      <c r="AN66" s="4"/>
      <c r="AO66" s="4"/>
    </row>
    <row r="67" spans="1:41">
      <c r="A67" s="19">
        <v>1969</v>
      </c>
      <c r="B67" s="59">
        <v>291150</v>
      </c>
      <c r="C67" s="83">
        <v>125130</v>
      </c>
      <c r="D67" s="92">
        <v>416280</v>
      </c>
      <c r="E67" s="63">
        <v>85320</v>
      </c>
      <c r="F67" s="63">
        <v>5950</v>
      </c>
      <c r="G67" s="63">
        <v>27230</v>
      </c>
      <c r="H67" s="63">
        <v>12310</v>
      </c>
      <c r="I67" s="23" t="s">
        <v>68</v>
      </c>
      <c r="J67" s="23" t="s">
        <v>68</v>
      </c>
      <c r="K67" s="21" t="s">
        <v>68</v>
      </c>
      <c r="L67" s="21" t="s">
        <v>68</v>
      </c>
      <c r="M67" s="21" t="s">
        <v>68</v>
      </c>
      <c r="N67" s="21" t="s">
        <v>68</v>
      </c>
      <c r="O67" s="22" t="s">
        <v>68</v>
      </c>
      <c r="P67" s="63">
        <v>547090</v>
      </c>
      <c r="R67" s="4"/>
      <c r="S67" s="4"/>
      <c r="T67" s="4"/>
      <c r="U67" s="4"/>
      <c r="V67" s="4"/>
      <c r="W67" s="4"/>
      <c r="X67" s="4"/>
      <c r="Y67" s="4"/>
      <c r="Z67" s="4"/>
      <c r="AA67" s="4"/>
      <c r="AB67" s="4"/>
      <c r="AC67" s="4"/>
      <c r="AD67" s="4"/>
      <c r="AE67" s="4"/>
      <c r="AF67" s="4"/>
      <c r="AG67" s="4"/>
      <c r="AH67" s="4"/>
      <c r="AI67" s="4"/>
      <c r="AJ67" s="4"/>
      <c r="AK67" s="4"/>
      <c r="AL67" s="4"/>
      <c r="AM67" s="4"/>
      <c r="AN67" s="4"/>
      <c r="AO67" s="4"/>
    </row>
    <row r="68" spans="1:41">
      <c r="A68" s="19">
        <v>1970</v>
      </c>
      <c r="B68" s="59">
        <v>316510</v>
      </c>
      <c r="C68" s="83">
        <v>138060</v>
      </c>
      <c r="D68" s="92">
        <v>454570</v>
      </c>
      <c r="E68" s="63">
        <v>90310</v>
      </c>
      <c r="F68" s="63">
        <v>6620</v>
      </c>
      <c r="G68" s="63">
        <v>24440</v>
      </c>
      <c r="H68" s="63">
        <v>10110</v>
      </c>
      <c r="I68" s="23" t="s">
        <v>68</v>
      </c>
      <c r="J68" s="23" t="s">
        <v>68</v>
      </c>
      <c r="K68" s="21" t="s">
        <v>68</v>
      </c>
      <c r="L68" s="21" t="s">
        <v>68</v>
      </c>
      <c r="M68" s="21" t="s">
        <v>68</v>
      </c>
      <c r="N68" s="21" t="s">
        <v>68</v>
      </c>
      <c r="O68" s="22" t="s">
        <v>68</v>
      </c>
      <c r="P68" s="63">
        <v>586050</v>
      </c>
      <c r="R68" s="4"/>
      <c r="S68" s="4"/>
      <c r="T68" s="4"/>
      <c r="U68" s="4"/>
      <c r="V68" s="4"/>
      <c r="W68" s="4"/>
      <c r="X68" s="4"/>
      <c r="Y68" s="4"/>
      <c r="Z68" s="4"/>
      <c r="AA68" s="4"/>
      <c r="AB68" s="4"/>
      <c r="AC68" s="4"/>
      <c r="AD68" s="4"/>
      <c r="AE68" s="4"/>
      <c r="AF68" s="4"/>
      <c r="AG68" s="4"/>
      <c r="AH68" s="4"/>
      <c r="AI68" s="4"/>
      <c r="AJ68" s="4"/>
      <c r="AK68" s="4"/>
      <c r="AL68" s="4"/>
      <c r="AM68" s="4"/>
      <c r="AN68" s="4"/>
      <c r="AO68" s="4"/>
    </row>
    <row r="69" spans="1:41">
      <c r="A69" s="19">
        <v>1971</v>
      </c>
      <c r="B69" s="59">
        <v>334490</v>
      </c>
      <c r="C69" s="83">
        <v>150260</v>
      </c>
      <c r="D69" s="92">
        <v>484750</v>
      </c>
      <c r="E69" s="63">
        <v>94490</v>
      </c>
      <c r="F69" s="63">
        <v>7600</v>
      </c>
      <c r="G69" s="63">
        <v>16500</v>
      </c>
      <c r="H69" s="63">
        <v>9670</v>
      </c>
      <c r="I69" s="23" t="s">
        <v>68</v>
      </c>
      <c r="J69" s="23" t="s">
        <v>68</v>
      </c>
      <c r="K69" s="21" t="s">
        <v>68</v>
      </c>
      <c r="L69" s="21" t="s">
        <v>68</v>
      </c>
      <c r="M69" s="21" t="s">
        <v>68</v>
      </c>
      <c r="N69" s="21" t="s">
        <v>68</v>
      </c>
      <c r="O69" s="22" t="s">
        <v>68</v>
      </c>
      <c r="P69" s="63">
        <v>613010</v>
      </c>
      <c r="R69" s="4"/>
      <c r="S69" s="4"/>
      <c r="T69" s="4"/>
      <c r="U69" s="4"/>
      <c r="V69" s="4"/>
      <c r="W69" s="4"/>
      <c r="X69" s="4"/>
      <c r="Y69" s="4"/>
      <c r="Z69" s="4"/>
      <c r="AA69" s="4"/>
      <c r="AB69" s="4"/>
      <c r="AC69" s="4"/>
      <c r="AD69" s="4"/>
      <c r="AE69" s="4"/>
      <c r="AF69" s="4"/>
      <c r="AG69" s="4"/>
      <c r="AH69" s="4"/>
      <c r="AI69" s="4"/>
      <c r="AJ69" s="4"/>
      <c r="AK69" s="4"/>
      <c r="AL69" s="4"/>
      <c r="AM69" s="4"/>
      <c r="AN69" s="4"/>
      <c r="AO69" s="4"/>
    </row>
    <row r="70" spans="1:41">
      <c r="A70" s="19">
        <v>1972</v>
      </c>
      <c r="B70" s="59">
        <v>336470</v>
      </c>
      <c r="C70" s="83">
        <v>160720</v>
      </c>
      <c r="D70" s="92">
        <v>497190</v>
      </c>
      <c r="E70" s="63">
        <v>97710</v>
      </c>
      <c r="F70" s="63">
        <v>8200</v>
      </c>
      <c r="G70" s="63">
        <v>13790</v>
      </c>
      <c r="H70" s="63">
        <v>9230</v>
      </c>
      <c r="I70" s="23" t="s">
        <v>68</v>
      </c>
      <c r="J70" s="23" t="s">
        <v>68</v>
      </c>
      <c r="K70" s="21" t="s">
        <v>68</v>
      </c>
      <c r="L70" s="21" t="s">
        <v>68</v>
      </c>
      <c r="M70" s="21" t="s">
        <v>68</v>
      </c>
      <c r="N70" s="21" t="s">
        <v>68</v>
      </c>
      <c r="O70" s="22" t="s">
        <v>68</v>
      </c>
      <c r="P70" s="63">
        <v>626120</v>
      </c>
      <c r="R70" s="4"/>
      <c r="S70" s="4"/>
      <c r="T70" s="4"/>
      <c r="U70" s="4"/>
      <c r="V70" s="4"/>
      <c r="W70" s="4"/>
      <c r="X70" s="4"/>
      <c r="Y70" s="4"/>
      <c r="Z70" s="4"/>
      <c r="AA70" s="4"/>
      <c r="AB70" s="4"/>
      <c r="AC70" s="4"/>
      <c r="AD70" s="4"/>
      <c r="AE70" s="4"/>
      <c r="AF70" s="4"/>
      <c r="AG70" s="4"/>
      <c r="AH70" s="4"/>
      <c r="AI70" s="4"/>
      <c r="AJ70" s="4"/>
      <c r="AK70" s="4"/>
      <c r="AL70" s="4"/>
      <c r="AM70" s="4"/>
      <c r="AN70" s="4"/>
      <c r="AO70" s="4"/>
    </row>
    <row r="71" spans="1:41">
      <c r="A71" s="19">
        <v>1973</v>
      </c>
      <c r="B71" s="59">
        <v>371150</v>
      </c>
      <c r="C71" s="83">
        <v>165330</v>
      </c>
      <c r="D71" s="92">
        <v>536480</v>
      </c>
      <c r="E71" s="63">
        <v>103590</v>
      </c>
      <c r="F71" s="63">
        <v>9550</v>
      </c>
      <c r="G71" s="63">
        <v>12960</v>
      </c>
      <c r="H71" s="63">
        <v>10110</v>
      </c>
      <c r="I71" s="23" t="s">
        <v>68</v>
      </c>
      <c r="J71" s="23" t="s">
        <v>68</v>
      </c>
      <c r="K71" s="21" t="s">
        <v>68</v>
      </c>
      <c r="L71" s="21" t="s">
        <v>68</v>
      </c>
      <c r="M71" s="21" t="s">
        <v>68</v>
      </c>
      <c r="N71" s="21" t="s">
        <v>68</v>
      </c>
      <c r="O71" s="22" t="s">
        <v>68</v>
      </c>
      <c r="P71" s="63">
        <v>672690</v>
      </c>
      <c r="R71" s="4"/>
      <c r="S71" s="4"/>
      <c r="T71" s="4"/>
      <c r="U71" s="4"/>
      <c r="V71" s="4"/>
      <c r="W71" s="4"/>
      <c r="X71" s="4"/>
      <c r="Y71" s="4"/>
      <c r="Z71" s="4"/>
      <c r="AA71" s="4"/>
      <c r="AB71" s="4"/>
      <c r="AC71" s="4"/>
      <c r="AD71" s="4"/>
      <c r="AE71" s="4"/>
      <c r="AF71" s="4"/>
      <c r="AG71" s="4"/>
      <c r="AH71" s="4"/>
      <c r="AI71" s="4"/>
      <c r="AJ71" s="4"/>
      <c r="AK71" s="4"/>
      <c r="AL71" s="4"/>
      <c r="AM71" s="4"/>
      <c r="AN71" s="4"/>
      <c r="AO71" s="4"/>
    </row>
    <row r="72" spans="1:41">
      <c r="A72" s="19">
        <v>1974</v>
      </c>
      <c r="B72" s="59">
        <v>325810</v>
      </c>
      <c r="C72" s="83">
        <v>155760</v>
      </c>
      <c r="D72" s="92">
        <v>481570</v>
      </c>
      <c r="E72" s="63">
        <v>106440</v>
      </c>
      <c r="F72" s="63">
        <v>13550</v>
      </c>
      <c r="G72" s="63">
        <v>12130</v>
      </c>
      <c r="H72" s="63">
        <v>8350</v>
      </c>
      <c r="I72" s="23" t="s">
        <v>68</v>
      </c>
      <c r="J72" s="23" t="s">
        <v>68</v>
      </c>
      <c r="K72" s="21" t="s">
        <v>68</v>
      </c>
      <c r="L72" s="21" t="s">
        <v>68</v>
      </c>
      <c r="M72" s="21" t="s">
        <v>68</v>
      </c>
      <c r="N72" s="21" t="s">
        <v>68</v>
      </c>
      <c r="O72" s="22" t="s">
        <v>68</v>
      </c>
      <c r="P72" s="63">
        <v>622040</v>
      </c>
      <c r="R72" s="4"/>
      <c r="S72" s="4"/>
      <c r="T72" s="4"/>
      <c r="U72" s="4"/>
      <c r="V72" s="4"/>
      <c r="W72" s="4"/>
      <c r="X72" s="4"/>
      <c r="Y72" s="4"/>
      <c r="Z72" s="4"/>
      <c r="AA72" s="4"/>
      <c r="AB72" s="4"/>
      <c r="AC72" s="4"/>
      <c r="AD72" s="4"/>
      <c r="AE72" s="4"/>
      <c r="AF72" s="4"/>
      <c r="AG72" s="4"/>
      <c r="AH72" s="4"/>
      <c r="AI72" s="4"/>
      <c r="AJ72" s="4"/>
      <c r="AK72" s="4"/>
      <c r="AL72" s="4"/>
      <c r="AM72" s="4"/>
      <c r="AN72" s="4"/>
      <c r="AO72" s="4"/>
    </row>
    <row r="73" spans="1:41">
      <c r="A73" s="19">
        <v>1975</v>
      </c>
      <c r="B73" s="59">
        <v>314830</v>
      </c>
      <c r="C73" s="83">
        <v>156070</v>
      </c>
      <c r="D73" s="92">
        <v>470900</v>
      </c>
      <c r="E73" s="63">
        <v>104050</v>
      </c>
      <c r="F73" s="63">
        <v>18870</v>
      </c>
      <c r="G73" s="63">
        <v>9580</v>
      </c>
      <c r="H73" s="63">
        <v>8350</v>
      </c>
      <c r="I73" s="23" t="s">
        <v>68</v>
      </c>
      <c r="J73" s="23" t="s">
        <v>68</v>
      </c>
      <c r="K73" s="21" t="s">
        <v>68</v>
      </c>
      <c r="L73" s="21" t="s">
        <v>68</v>
      </c>
      <c r="M73" s="21" t="s">
        <v>68</v>
      </c>
      <c r="N73" s="21" t="s">
        <v>68</v>
      </c>
      <c r="O73" s="22" t="s">
        <v>68</v>
      </c>
      <c r="P73" s="63">
        <v>611750</v>
      </c>
      <c r="R73" s="4"/>
      <c r="S73" s="4"/>
      <c r="T73" s="4"/>
      <c r="U73" s="4"/>
      <c r="V73" s="4"/>
      <c r="W73" s="4"/>
      <c r="X73" s="4"/>
      <c r="Y73" s="4"/>
      <c r="Z73" s="4"/>
      <c r="AA73" s="4"/>
      <c r="AB73" s="4"/>
      <c r="AC73" s="4"/>
      <c r="AD73" s="4"/>
      <c r="AE73" s="4"/>
      <c r="AF73" s="4"/>
      <c r="AG73" s="4"/>
      <c r="AH73" s="4"/>
      <c r="AI73" s="4"/>
      <c r="AJ73" s="4"/>
      <c r="AK73" s="4"/>
      <c r="AL73" s="4"/>
      <c r="AM73" s="4"/>
      <c r="AN73" s="4"/>
      <c r="AO73" s="4"/>
    </row>
    <row r="74" spans="1:41">
      <c r="A74" s="19">
        <v>1976</v>
      </c>
      <c r="B74" s="59">
        <v>320700</v>
      </c>
      <c r="C74" s="83">
        <v>157000</v>
      </c>
      <c r="D74" s="92">
        <v>477700</v>
      </c>
      <c r="E74" s="63">
        <v>107650</v>
      </c>
      <c r="F74" s="63">
        <v>20430</v>
      </c>
      <c r="G74" s="63">
        <v>8600</v>
      </c>
      <c r="H74" s="63">
        <v>8350</v>
      </c>
      <c r="I74" s="23" t="s">
        <v>68</v>
      </c>
      <c r="J74" s="23" t="s">
        <v>68</v>
      </c>
      <c r="K74" s="21" t="s">
        <v>68</v>
      </c>
      <c r="L74" s="21" t="s">
        <v>68</v>
      </c>
      <c r="M74" s="21" t="s">
        <v>68</v>
      </c>
      <c r="N74" s="21" t="s">
        <v>68</v>
      </c>
      <c r="O74" s="22" t="s">
        <v>68</v>
      </c>
      <c r="P74" s="63">
        <v>622730</v>
      </c>
      <c r="R74" s="4"/>
      <c r="S74" s="4"/>
      <c r="T74" s="4"/>
      <c r="U74" s="4"/>
      <c r="V74" s="4"/>
      <c r="W74" s="4"/>
      <c r="X74" s="4"/>
      <c r="Y74" s="4"/>
      <c r="Z74" s="4"/>
      <c r="AA74" s="4"/>
      <c r="AB74" s="4"/>
      <c r="AC74" s="4"/>
      <c r="AD74" s="4"/>
      <c r="AE74" s="4"/>
      <c r="AF74" s="4"/>
      <c r="AG74" s="4"/>
      <c r="AH74" s="4"/>
      <c r="AI74" s="4"/>
      <c r="AJ74" s="4"/>
      <c r="AK74" s="4"/>
      <c r="AL74" s="4"/>
      <c r="AM74" s="4"/>
      <c r="AN74" s="4"/>
      <c r="AO74" s="4"/>
    </row>
    <row r="75" spans="1:41">
      <c r="A75" s="19">
        <v>1977</v>
      </c>
      <c r="B75" s="59">
        <v>313400</v>
      </c>
      <c r="C75" s="83">
        <v>167200</v>
      </c>
      <c r="D75" s="92">
        <v>480600</v>
      </c>
      <c r="E75" s="63">
        <v>112640</v>
      </c>
      <c r="F75" s="63">
        <v>24120</v>
      </c>
      <c r="G75" s="63">
        <v>10500</v>
      </c>
      <c r="H75" s="63">
        <v>8350</v>
      </c>
      <c r="I75" s="23" t="s">
        <v>68</v>
      </c>
      <c r="J75" s="23" t="s">
        <v>68</v>
      </c>
      <c r="K75" s="21" t="s">
        <v>68</v>
      </c>
      <c r="L75" s="21" t="s">
        <v>68</v>
      </c>
      <c r="M75" s="21" t="s">
        <v>68</v>
      </c>
      <c r="N75" s="21" t="s">
        <v>68</v>
      </c>
      <c r="O75" s="22" t="s">
        <v>68</v>
      </c>
      <c r="P75" s="63">
        <v>636210</v>
      </c>
      <c r="R75" s="4"/>
      <c r="S75" s="4"/>
      <c r="T75" s="4"/>
      <c r="U75" s="4"/>
      <c r="V75" s="4"/>
      <c r="W75" s="4"/>
      <c r="X75" s="4"/>
      <c r="Y75" s="4"/>
      <c r="Z75" s="4"/>
      <c r="AA75" s="4"/>
      <c r="AB75" s="4"/>
      <c r="AC75" s="4"/>
      <c r="AD75" s="4"/>
      <c r="AE75" s="4"/>
      <c r="AF75" s="4"/>
      <c r="AG75" s="4"/>
      <c r="AH75" s="4"/>
      <c r="AI75" s="4"/>
      <c r="AJ75" s="4"/>
      <c r="AK75" s="4"/>
      <c r="AL75" s="4"/>
      <c r="AM75" s="4"/>
      <c r="AN75" s="4"/>
      <c r="AO75" s="4"/>
    </row>
    <row r="76" spans="1:41">
      <c r="A76" s="19">
        <v>1978</v>
      </c>
      <c r="B76" s="59">
        <v>335600</v>
      </c>
      <c r="C76" s="83">
        <v>170000</v>
      </c>
      <c r="D76" s="92">
        <v>505600</v>
      </c>
      <c r="E76" s="63">
        <v>116870</v>
      </c>
      <c r="F76" s="63">
        <v>22450</v>
      </c>
      <c r="G76" s="63">
        <v>9200</v>
      </c>
      <c r="H76" s="63">
        <v>7910</v>
      </c>
      <c r="I76" s="63">
        <v>5760</v>
      </c>
      <c r="J76" s="63">
        <v>3600</v>
      </c>
      <c r="K76" s="21" t="s">
        <v>68</v>
      </c>
      <c r="L76" s="21" t="s">
        <v>68</v>
      </c>
      <c r="M76" s="21" t="s">
        <v>68</v>
      </c>
      <c r="N76" s="21" t="s">
        <v>68</v>
      </c>
      <c r="O76" s="22" t="s">
        <v>68</v>
      </c>
      <c r="P76" s="63">
        <v>671390</v>
      </c>
      <c r="R76" s="4"/>
      <c r="S76" s="4"/>
      <c r="T76" s="4"/>
      <c r="U76" s="4"/>
      <c r="V76" s="4"/>
      <c r="W76" s="4"/>
      <c r="X76" s="4"/>
      <c r="Y76" s="4"/>
      <c r="Z76" s="4"/>
      <c r="AA76" s="4"/>
      <c r="AB76" s="4"/>
      <c r="AC76" s="4"/>
      <c r="AD76" s="4"/>
      <c r="AE76" s="4"/>
      <c r="AF76" s="4"/>
      <c r="AG76" s="4"/>
      <c r="AH76" s="4"/>
      <c r="AI76" s="4"/>
      <c r="AJ76" s="4"/>
      <c r="AK76" s="4"/>
      <c r="AL76" s="4"/>
      <c r="AM76" s="4"/>
      <c r="AN76" s="4"/>
      <c r="AO76" s="4"/>
    </row>
    <row r="77" spans="1:41">
      <c r="A77" s="19">
        <v>1979</v>
      </c>
      <c r="B77" s="59">
        <v>313930</v>
      </c>
      <c r="C77" s="83">
        <v>168770</v>
      </c>
      <c r="D77" s="92">
        <v>482700</v>
      </c>
      <c r="E77" s="63">
        <v>121560</v>
      </c>
      <c r="F77" s="63">
        <v>25420</v>
      </c>
      <c r="G77" s="63">
        <v>9440</v>
      </c>
      <c r="H77" s="63">
        <v>9010</v>
      </c>
      <c r="I77" s="63">
        <v>6070</v>
      </c>
      <c r="J77" s="63">
        <v>3700</v>
      </c>
      <c r="K77" s="21" t="s">
        <v>68</v>
      </c>
      <c r="L77" s="21" t="s">
        <v>68</v>
      </c>
      <c r="M77" s="21" t="s">
        <v>68</v>
      </c>
      <c r="N77" s="21" t="s">
        <v>68</v>
      </c>
      <c r="O77" s="22" t="s">
        <v>68</v>
      </c>
      <c r="P77" s="63">
        <v>657900</v>
      </c>
      <c r="R77" s="4"/>
      <c r="S77" s="4"/>
      <c r="T77" s="4"/>
      <c r="U77" s="4"/>
      <c r="V77" s="4"/>
      <c r="W77" s="4"/>
      <c r="X77" s="4"/>
      <c r="Y77" s="4"/>
      <c r="Z77" s="4"/>
      <c r="AA77" s="4"/>
      <c r="AB77" s="4"/>
      <c r="AC77" s="4"/>
      <c r="AD77" s="4"/>
      <c r="AE77" s="4"/>
      <c r="AF77" s="4"/>
      <c r="AG77" s="4"/>
      <c r="AH77" s="4"/>
      <c r="AI77" s="4"/>
      <c r="AJ77" s="4"/>
      <c r="AK77" s="4"/>
      <c r="AL77" s="4"/>
      <c r="AM77" s="4"/>
      <c r="AN77" s="4"/>
      <c r="AO77" s="4"/>
    </row>
    <row r="78" spans="1:41">
      <c r="A78" s="19">
        <v>1980</v>
      </c>
      <c r="B78" s="59">
        <v>310660</v>
      </c>
      <c r="C78" s="83">
        <v>178820</v>
      </c>
      <c r="D78" s="92">
        <v>489480</v>
      </c>
      <c r="E78" s="63">
        <v>126910</v>
      </c>
      <c r="F78" s="63">
        <v>30370</v>
      </c>
      <c r="G78" s="63">
        <v>13630</v>
      </c>
      <c r="H78" s="63">
        <v>26280</v>
      </c>
      <c r="I78" s="63">
        <v>7920</v>
      </c>
      <c r="J78" s="63">
        <v>3700</v>
      </c>
      <c r="K78" s="21" t="s">
        <v>68</v>
      </c>
      <c r="L78" s="21" t="s">
        <v>68</v>
      </c>
      <c r="M78" s="21" t="s">
        <v>68</v>
      </c>
      <c r="N78" s="21" t="s">
        <v>68</v>
      </c>
      <c r="O78" s="22" t="s">
        <v>68</v>
      </c>
      <c r="P78" s="63">
        <v>698290</v>
      </c>
      <c r="R78" s="4"/>
      <c r="S78" s="4"/>
      <c r="T78" s="4"/>
      <c r="U78" s="4"/>
      <c r="V78" s="4"/>
      <c r="W78" s="4"/>
      <c r="X78" s="4"/>
      <c r="Y78" s="4"/>
      <c r="Z78" s="4"/>
      <c r="AA78" s="4"/>
      <c r="AB78" s="4"/>
      <c r="AC78" s="4"/>
      <c r="AD78" s="4"/>
      <c r="AE78" s="4"/>
      <c r="AF78" s="4"/>
      <c r="AG78" s="4"/>
      <c r="AH78" s="4"/>
      <c r="AI78" s="4"/>
      <c r="AJ78" s="4"/>
      <c r="AK78" s="4"/>
      <c r="AL78" s="4"/>
      <c r="AM78" s="4"/>
      <c r="AN78" s="4"/>
      <c r="AO78" s="4"/>
    </row>
    <row r="79" spans="1:41">
      <c r="A79" s="19">
        <v>1981</v>
      </c>
      <c r="B79" s="59">
        <v>284090</v>
      </c>
      <c r="C79" s="83">
        <v>181620</v>
      </c>
      <c r="D79" s="92">
        <v>465710</v>
      </c>
      <c r="E79" s="63">
        <v>130300</v>
      </c>
      <c r="F79" s="63">
        <v>33370</v>
      </c>
      <c r="G79" s="63">
        <v>20110</v>
      </c>
      <c r="H79" s="63">
        <v>25480</v>
      </c>
      <c r="I79" s="63">
        <v>8320</v>
      </c>
      <c r="J79" s="63">
        <v>4600</v>
      </c>
      <c r="K79" s="21" t="s">
        <v>68</v>
      </c>
      <c r="L79" s="21" t="s">
        <v>68</v>
      </c>
      <c r="M79" s="21" t="s">
        <v>68</v>
      </c>
      <c r="N79" s="21" t="s">
        <v>68</v>
      </c>
      <c r="O79" s="22" t="s">
        <v>68</v>
      </c>
      <c r="P79" s="63">
        <v>687890</v>
      </c>
      <c r="R79" s="4"/>
      <c r="S79" s="4"/>
      <c r="T79" s="4"/>
      <c r="U79" s="4"/>
      <c r="V79" s="4"/>
      <c r="W79" s="4"/>
      <c r="X79" s="4"/>
      <c r="Y79" s="4"/>
      <c r="Z79" s="4"/>
      <c r="AA79" s="4"/>
      <c r="AB79" s="4"/>
      <c r="AC79" s="4"/>
      <c r="AD79" s="4"/>
      <c r="AE79" s="4"/>
      <c r="AF79" s="4"/>
      <c r="AG79" s="4"/>
      <c r="AH79" s="4"/>
      <c r="AI79" s="4"/>
      <c r="AJ79" s="4"/>
      <c r="AK79" s="4"/>
      <c r="AL79" s="4"/>
      <c r="AM79" s="4"/>
      <c r="AN79" s="4"/>
      <c r="AO79" s="4"/>
    </row>
    <row r="80" spans="1:41">
      <c r="A80" s="19">
        <v>1982</v>
      </c>
      <c r="B80" s="59">
        <v>264940</v>
      </c>
      <c r="C80" s="83">
        <v>183720</v>
      </c>
      <c r="D80" s="92">
        <v>448660</v>
      </c>
      <c r="E80" s="63">
        <v>132230</v>
      </c>
      <c r="F80" s="63">
        <v>35830</v>
      </c>
      <c r="G80" s="63">
        <v>17790</v>
      </c>
      <c r="H80" s="63">
        <v>24930</v>
      </c>
      <c r="I80" s="63">
        <v>8430</v>
      </c>
      <c r="J80" s="63">
        <v>4880</v>
      </c>
      <c r="K80" s="21" t="s">
        <v>68</v>
      </c>
      <c r="L80" s="21" t="s">
        <v>68</v>
      </c>
      <c r="M80" s="21" t="s">
        <v>68</v>
      </c>
      <c r="N80" s="21" t="s">
        <v>68</v>
      </c>
      <c r="O80" s="22" t="s">
        <v>68</v>
      </c>
      <c r="P80" s="63">
        <v>672750</v>
      </c>
      <c r="R80" s="4"/>
      <c r="S80" s="4"/>
      <c r="T80" s="4"/>
      <c r="U80" s="4"/>
      <c r="V80" s="4"/>
      <c r="W80" s="4"/>
      <c r="X80" s="4"/>
      <c r="Y80" s="4"/>
      <c r="Z80" s="4"/>
      <c r="AA80" s="4"/>
      <c r="AB80" s="4"/>
      <c r="AC80" s="4"/>
      <c r="AD80" s="4"/>
      <c r="AE80" s="4"/>
      <c r="AF80" s="4"/>
      <c r="AG80" s="4"/>
      <c r="AH80" s="4"/>
      <c r="AI80" s="4"/>
      <c r="AJ80" s="4"/>
      <c r="AK80" s="4"/>
      <c r="AL80" s="4"/>
      <c r="AM80" s="4"/>
      <c r="AN80" s="4"/>
      <c r="AO80" s="4"/>
    </row>
    <row r="81" spans="1:41">
      <c r="A81" s="19">
        <v>1983</v>
      </c>
      <c r="B81" s="59">
        <v>268480</v>
      </c>
      <c r="C81" s="83">
        <v>191710</v>
      </c>
      <c r="D81" s="92">
        <v>460190</v>
      </c>
      <c r="E81" s="63">
        <v>136690</v>
      </c>
      <c r="F81" s="63">
        <v>39920</v>
      </c>
      <c r="G81" s="63">
        <v>15340</v>
      </c>
      <c r="H81" s="63">
        <v>25340</v>
      </c>
      <c r="I81" s="63">
        <v>8610</v>
      </c>
      <c r="J81" s="63">
        <v>5160</v>
      </c>
      <c r="K81" s="21" t="s">
        <v>68</v>
      </c>
      <c r="L81" s="21" t="s">
        <v>68</v>
      </c>
      <c r="M81" s="21" t="s">
        <v>68</v>
      </c>
      <c r="N81" s="21" t="s">
        <v>68</v>
      </c>
      <c r="O81" s="22" t="s">
        <v>68</v>
      </c>
      <c r="P81" s="63">
        <v>691250</v>
      </c>
      <c r="R81" s="4"/>
      <c r="S81" s="4"/>
      <c r="T81" s="4"/>
      <c r="U81" s="4"/>
      <c r="V81" s="4"/>
      <c r="W81" s="4"/>
      <c r="X81" s="4"/>
      <c r="Y81" s="4"/>
      <c r="Z81" s="4"/>
      <c r="AA81" s="4"/>
      <c r="AB81" s="4"/>
      <c r="AC81" s="4"/>
      <c r="AD81" s="4"/>
      <c r="AE81" s="4"/>
      <c r="AF81" s="4"/>
      <c r="AG81" s="4"/>
      <c r="AH81" s="4"/>
      <c r="AI81" s="4"/>
      <c r="AJ81" s="4"/>
      <c r="AK81" s="4"/>
      <c r="AL81" s="4"/>
      <c r="AM81" s="4"/>
      <c r="AN81" s="4"/>
      <c r="AO81" s="4"/>
    </row>
    <row r="82" spans="1:41">
      <c r="A82" s="19">
        <v>1984</v>
      </c>
      <c r="B82" s="59">
        <v>272330</v>
      </c>
      <c r="C82" s="83">
        <v>198910</v>
      </c>
      <c r="D82" s="92">
        <v>471240</v>
      </c>
      <c r="E82" s="63">
        <v>142790</v>
      </c>
      <c r="F82" s="63">
        <v>45410</v>
      </c>
      <c r="G82" s="63">
        <v>19770</v>
      </c>
      <c r="H82" s="63">
        <v>26560</v>
      </c>
      <c r="I82" s="63">
        <v>9210</v>
      </c>
      <c r="J82" s="63">
        <v>6280</v>
      </c>
      <c r="K82" s="21" t="s">
        <v>68</v>
      </c>
      <c r="L82" s="21" t="s">
        <v>68</v>
      </c>
      <c r="M82" s="21" t="s">
        <v>68</v>
      </c>
      <c r="N82" s="21" t="s">
        <v>68</v>
      </c>
      <c r="O82" s="22" t="s">
        <v>68</v>
      </c>
      <c r="P82" s="63">
        <v>721260</v>
      </c>
      <c r="R82" s="4"/>
      <c r="S82" s="4"/>
      <c r="T82" s="4"/>
      <c r="U82" s="4"/>
      <c r="V82" s="4"/>
      <c r="W82" s="4"/>
      <c r="X82" s="4"/>
      <c r="Y82" s="4"/>
      <c r="Z82" s="4"/>
      <c r="AA82" s="4"/>
      <c r="AB82" s="4"/>
      <c r="AC82" s="4"/>
      <c r="AD82" s="4"/>
      <c r="AE82" s="4"/>
      <c r="AF82" s="4"/>
      <c r="AG82" s="4"/>
      <c r="AH82" s="4"/>
      <c r="AI82" s="4"/>
      <c r="AJ82" s="4"/>
      <c r="AK82" s="4"/>
      <c r="AL82" s="4"/>
      <c r="AM82" s="4"/>
      <c r="AN82" s="4"/>
      <c r="AO82" s="4"/>
    </row>
    <row r="83" spans="1:41">
      <c r="A83" s="19">
        <v>1985</v>
      </c>
      <c r="B83" s="59">
        <v>270780</v>
      </c>
      <c r="C83" s="83">
        <v>201050</v>
      </c>
      <c r="D83" s="92">
        <v>471830</v>
      </c>
      <c r="E83" s="63">
        <v>148760</v>
      </c>
      <c r="F83" s="63">
        <v>47660</v>
      </c>
      <c r="G83" s="63">
        <v>19790</v>
      </c>
      <c r="H83" s="63">
        <v>27030</v>
      </c>
      <c r="I83" s="63">
        <v>9430</v>
      </c>
      <c r="J83" s="63">
        <v>6400</v>
      </c>
      <c r="K83" s="21" t="s">
        <v>68</v>
      </c>
      <c r="L83" s="21" t="s">
        <v>68</v>
      </c>
      <c r="M83" s="21" t="s">
        <v>68</v>
      </c>
      <c r="N83" s="21" t="s">
        <v>68</v>
      </c>
      <c r="O83" s="22" t="s">
        <v>68</v>
      </c>
      <c r="P83" s="63">
        <v>730900</v>
      </c>
      <c r="R83" s="4"/>
      <c r="S83" s="4"/>
      <c r="T83" s="4"/>
      <c r="U83" s="4"/>
      <c r="V83" s="4"/>
      <c r="W83" s="4"/>
      <c r="X83" s="4"/>
      <c r="Y83" s="4"/>
      <c r="Z83" s="4"/>
      <c r="AA83" s="4"/>
      <c r="AB83" s="4"/>
      <c r="AC83" s="4"/>
      <c r="AD83" s="4"/>
      <c r="AE83" s="4"/>
      <c r="AF83" s="4"/>
      <c r="AG83" s="4"/>
      <c r="AH83" s="4"/>
      <c r="AI83" s="4"/>
      <c r="AJ83" s="4"/>
      <c r="AK83" s="4"/>
      <c r="AL83" s="4"/>
      <c r="AM83" s="4"/>
      <c r="AN83" s="4"/>
      <c r="AO83" s="4"/>
    </row>
    <row r="84" spans="1:41">
      <c r="A84" s="19">
        <v>1986</v>
      </c>
      <c r="B84" s="59">
        <v>274260</v>
      </c>
      <c r="C84" s="83">
        <v>210300</v>
      </c>
      <c r="D84" s="92">
        <v>484570</v>
      </c>
      <c r="E84" s="63">
        <v>152450</v>
      </c>
      <c r="F84" s="63">
        <v>48980</v>
      </c>
      <c r="G84" s="63">
        <v>17200</v>
      </c>
      <c r="H84" s="63">
        <v>26290</v>
      </c>
      <c r="I84" s="63">
        <v>9860</v>
      </c>
      <c r="J84" s="63">
        <v>6530</v>
      </c>
      <c r="K84" s="21" t="s">
        <v>68</v>
      </c>
      <c r="L84" s="21" t="s">
        <v>68</v>
      </c>
      <c r="M84" s="21" t="s">
        <v>68</v>
      </c>
      <c r="N84" s="21" t="s">
        <v>68</v>
      </c>
      <c r="O84" s="22" t="s">
        <v>68</v>
      </c>
      <c r="P84" s="63">
        <v>745880</v>
      </c>
      <c r="R84" s="4"/>
      <c r="S84" s="4"/>
      <c r="T84" s="4"/>
      <c r="U84" s="4"/>
      <c r="V84" s="4"/>
      <c r="W84" s="4"/>
      <c r="X84" s="4"/>
      <c r="Y84" s="4"/>
      <c r="Z84" s="4"/>
      <c r="AA84" s="4"/>
      <c r="AB84" s="4"/>
      <c r="AC84" s="4"/>
      <c r="AD84" s="4"/>
      <c r="AE84" s="4"/>
      <c r="AF84" s="4"/>
      <c r="AG84" s="4"/>
      <c r="AH84" s="4"/>
      <c r="AI84" s="4"/>
      <c r="AJ84" s="4"/>
      <c r="AK84" s="4"/>
      <c r="AL84" s="4"/>
      <c r="AM84" s="4"/>
      <c r="AN84" s="4"/>
      <c r="AO84" s="4"/>
    </row>
    <row r="85" spans="1:41">
      <c r="A85" s="19">
        <v>1987</v>
      </c>
      <c r="B85" s="59">
        <v>268440</v>
      </c>
      <c r="C85" s="83">
        <v>216880</v>
      </c>
      <c r="D85" s="92">
        <v>485320</v>
      </c>
      <c r="E85" s="63">
        <v>156930</v>
      </c>
      <c r="F85" s="63">
        <v>52820</v>
      </c>
      <c r="G85" s="63">
        <v>16420</v>
      </c>
      <c r="H85" s="63">
        <v>26380</v>
      </c>
      <c r="I85" s="63">
        <v>11250</v>
      </c>
      <c r="J85" s="63">
        <v>6560</v>
      </c>
      <c r="K85" s="21" t="s">
        <v>68</v>
      </c>
      <c r="L85" s="21" t="s">
        <v>68</v>
      </c>
      <c r="M85" s="21" t="s">
        <v>68</v>
      </c>
      <c r="N85" s="21" t="s">
        <v>68</v>
      </c>
      <c r="O85" s="22" t="s">
        <v>68</v>
      </c>
      <c r="P85" s="63">
        <v>755680</v>
      </c>
      <c r="R85" s="4"/>
      <c r="S85" s="4"/>
      <c r="T85" s="4"/>
      <c r="U85" s="4"/>
      <c r="V85" s="4"/>
      <c r="W85" s="4"/>
      <c r="X85" s="4"/>
      <c r="Y85" s="4"/>
      <c r="Z85" s="4"/>
      <c r="AA85" s="4"/>
      <c r="AB85" s="4"/>
      <c r="AC85" s="4"/>
      <c r="AD85" s="4"/>
      <c r="AE85" s="4"/>
      <c r="AF85" s="4"/>
      <c r="AG85" s="4"/>
      <c r="AH85" s="4"/>
      <c r="AI85" s="4"/>
      <c r="AJ85" s="4"/>
      <c r="AK85" s="4"/>
      <c r="AL85" s="4"/>
      <c r="AM85" s="4"/>
      <c r="AN85" s="4"/>
      <c r="AO85" s="4"/>
    </row>
    <row r="86" spans="1:41">
      <c r="A86" s="19">
        <v>1988</v>
      </c>
      <c r="B86" s="59">
        <v>261760</v>
      </c>
      <c r="C86" s="83">
        <v>227300</v>
      </c>
      <c r="D86" s="92">
        <v>489060</v>
      </c>
      <c r="E86" s="63">
        <v>159580</v>
      </c>
      <c r="F86" s="63">
        <v>53800</v>
      </c>
      <c r="G86" s="63">
        <v>14030</v>
      </c>
      <c r="H86" s="63">
        <v>25010</v>
      </c>
      <c r="I86" s="63">
        <v>10720</v>
      </c>
      <c r="J86" s="63">
        <v>6590</v>
      </c>
      <c r="K86" s="21" t="s">
        <v>68</v>
      </c>
      <c r="L86" s="21" t="s">
        <v>68</v>
      </c>
      <c r="M86" s="21" t="s">
        <v>68</v>
      </c>
      <c r="N86" s="21" t="s">
        <v>68</v>
      </c>
      <c r="O86" s="22" t="s">
        <v>68</v>
      </c>
      <c r="P86" s="63">
        <v>758790</v>
      </c>
      <c r="R86" s="4"/>
      <c r="S86" s="4"/>
      <c r="T86" s="4"/>
      <c r="U86" s="4"/>
      <c r="V86" s="4"/>
      <c r="W86" s="4"/>
      <c r="X86" s="4"/>
      <c r="Y86" s="4"/>
      <c r="Z86" s="4"/>
      <c r="AA86" s="4"/>
      <c r="AB86" s="4"/>
      <c r="AC86" s="4"/>
      <c r="AD86" s="4"/>
      <c r="AE86" s="4"/>
      <c r="AF86" s="4"/>
      <c r="AG86" s="4"/>
      <c r="AH86" s="4"/>
      <c r="AI86" s="4"/>
      <c r="AJ86" s="4"/>
      <c r="AK86" s="4"/>
      <c r="AL86" s="4"/>
      <c r="AM86" s="4"/>
      <c r="AN86" s="4"/>
      <c r="AO86" s="4"/>
    </row>
    <row r="87" spans="1:41">
      <c r="A87" s="19">
        <v>1989</v>
      </c>
      <c r="B87" s="59">
        <v>247020</v>
      </c>
      <c r="C87" s="83">
        <v>236010</v>
      </c>
      <c r="D87" s="92">
        <v>483030</v>
      </c>
      <c r="E87" s="63">
        <v>163810</v>
      </c>
      <c r="F87" s="63">
        <v>58830</v>
      </c>
      <c r="G87" s="63">
        <v>14010</v>
      </c>
      <c r="H87" s="63">
        <v>24870</v>
      </c>
      <c r="I87" s="63">
        <v>10780</v>
      </c>
      <c r="J87" s="63">
        <v>6640</v>
      </c>
      <c r="K87" s="21" t="s">
        <v>68</v>
      </c>
      <c r="L87" s="21" t="s">
        <v>68</v>
      </c>
      <c r="M87" s="21" t="s">
        <v>68</v>
      </c>
      <c r="N87" s="21" t="s">
        <v>68</v>
      </c>
      <c r="O87" s="22" t="s">
        <v>68</v>
      </c>
      <c r="P87" s="63">
        <v>761970</v>
      </c>
      <c r="R87" s="4"/>
      <c r="S87" s="4"/>
      <c r="T87" s="4"/>
      <c r="U87" s="4"/>
      <c r="V87" s="4"/>
      <c r="W87" s="4"/>
      <c r="X87" s="4"/>
      <c r="Y87" s="4"/>
      <c r="Z87" s="4"/>
      <c r="AA87" s="4"/>
      <c r="AB87" s="4"/>
      <c r="AC87" s="4"/>
      <c r="AD87" s="4"/>
      <c r="AE87" s="4"/>
      <c r="AF87" s="4"/>
      <c r="AG87" s="4"/>
      <c r="AH87" s="4"/>
      <c r="AI87" s="4"/>
      <c r="AJ87" s="4"/>
      <c r="AK87" s="4"/>
      <c r="AL87" s="4"/>
      <c r="AM87" s="4"/>
      <c r="AN87" s="4"/>
      <c r="AO87" s="4"/>
    </row>
    <row r="88" spans="1:41">
      <c r="A88" s="19">
        <v>1990</v>
      </c>
      <c r="B88" s="59">
        <v>243600</v>
      </c>
      <c r="C88" s="83">
        <v>253220</v>
      </c>
      <c r="D88" s="92">
        <v>496810</v>
      </c>
      <c r="E88" s="63">
        <v>167680</v>
      </c>
      <c r="F88" s="63">
        <v>64160</v>
      </c>
      <c r="G88" s="63">
        <v>14360</v>
      </c>
      <c r="H88" s="103">
        <v>28660</v>
      </c>
      <c r="I88" s="63">
        <v>10420</v>
      </c>
      <c r="J88" s="63">
        <v>8680</v>
      </c>
      <c r="K88" s="21" t="s">
        <v>68</v>
      </c>
      <c r="L88" s="83">
        <v>1120</v>
      </c>
      <c r="M88" s="83">
        <v>110</v>
      </c>
      <c r="N88" s="83">
        <v>2870</v>
      </c>
      <c r="O88" s="84">
        <v>4090</v>
      </c>
      <c r="P88" s="63">
        <v>794860</v>
      </c>
      <c r="R88" s="4"/>
      <c r="S88" s="4"/>
      <c r="T88" s="4"/>
      <c r="U88" s="4"/>
      <c r="V88" s="4"/>
      <c r="W88" s="4"/>
      <c r="X88" s="4"/>
      <c r="Y88" s="4"/>
      <c r="Z88" s="4"/>
      <c r="AA88" s="4"/>
      <c r="AB88" s="4"/>
      <c r="AC88" s="4"/>
      <c r="AD88" s="4"/>
      <c r="AE88" s="4"/>
      <c r="AF88" s="4"/>
      <c r="AG88" s="4"/>
      <c r="AH88" s="4"/>
      <c r="AI88" s="4"/>
      <c r="AJ88" s="4"/>
      <c r="AK88" s="4"/>
      <c r="AL88" s="4"/>
      <c r="AM88" s="4"/>
      <c r="AN88" s="4"/>
      <c r="AO88" s="4"/>
    </row>
    <row r="89" spans="1:41">
      <c r="A89" s="19">
        <v>1991</v>
      </c>
      <c r="B89" s="59">
        <v>261650</v>
      </c>
      <c r="C89" s="83">
        <v>258940</v>
      </c>
      <c r="D89" s="92">
        <v>520590</v>
      </c>
      <c r="E89" s="63">
        <v>171310</v>
      </c>
      <c r="F89" s="63">
        <v>72010</v>
      </c>
      <c r="G89" s="63">
        <v>12540</v>
      </c>
      <c r="H89" s="103">
        <v>31580</v>
      </c>
      <c r="I89" s="63">
        <v>12090</v>
      </c>
      <c r="J89" s="63">
        <v>10740</v>
      </c>
      <c r="K89" s="21" t="s">
        <v>68</v>
      </c>
      <c r="L89" s="83">
        <v>1130</v>
      </c>
      <c r="M89" s="83">
        <v>140</v>
      </c>
      <c r="N89" s="83">
        <v>3330</v>
      </c>
      <c r="O89" s="84">
        <v>4590</v>
      </c>
      <c r="P89" s="63">
        <v>835450</v>
      </c>
      <c r="R89" s="4"/>
      <c r="S89" s="4"/>
      <c r="T89" s="4"/>
      <c r="U89" s="4"/>
      <c r="V89" s="4"/>
      <c r="W89" s="4"/>
      <c r="X89" s="4"/>
      <c r="Y89" s="4"/>
      <c r="Z89" s="4"/>
      <c r="AA89" s="4"/>
      <c r="AB89" s="4"/>
      <c r="AC89" s="4"/>
      <c r="AD89" s="4"/>
      <c r="AE89" s="4"/>
      <c r="AF89" s="4"/>
      <c r="AG89" s="4"/>
      <c r="AH89" s="4"/>
      <c r="AI89" s="4"/>
      <c r="AJ89" s="4"/>
      <c r="AK89" s="4"/>
      <c r="AL89" s="4"/>
      <c r="AM89" s="4"/>
      <c r="AN89" s="4"/>
      <c r="AO89" s="4"/>
    </row>
    <row r="90" spans="1:41">
      <c r="A90" s="19">
        <v>1992</v>
      </c>
      <c r="B90" s="59">
        <v>257870</v>
      </c>
      <c r="C90" s="83">
        <v>265890</v>
      </c>
      <c r="D90" s="92">
        <v>523760</v>
      </c>
      <c r="E90" s="63">
        <v>172320</v>
      </c>
      <c r="F90" s="63">
        <v>75960</v>
      </c>
      <c r="G90" s="63">
        <v>8660</v>
      </c>
      <c r="H90" s="103">
        <v>30600</v>
      </c>
      <c r="I90" s="63">
        <v>11970</v>
      </c>
      <c r="J90" s="63">
        <v>10720</v>
      </c>
      <c r="K90" s="21" t="s">
        <v>68</v>
      </c>
      <c r="L90" s="83">
        <v>1180</v>
      </c>
      <c r="M90" s="83">
        <v>170</v>
      </c>
      <c r="N90" s="83">
        <v>3270</v>
      </c>
      <c r="O90" s="84">
        <v>4620</v>
      </c>
      <c r="P90" s="63">
        <v>838610</v>
      </c>
      <c r="R90" s="4"/>
      <c r="S90" s="4"/>
      <c r="T90" s="4"/>
      <c r="U90" s="4"/>
      <c r="V90" s="4"/>
      <c r="W90" s="4"/>
      <c r="X90" s="4"/>
      <c r="Y90" s="4"/>
      <c r="Z90" s="4"/>
      <c r="AA90" s="4"/>
      <c r="AB90" s="4"/>
      <c r="AC90" s="4"/>
      <c r="AD90" s="4"/>
      <c r="AE90" s="4"/>
      <c r="AF90" s="4"/>
      <c r="AG90" s="4"/>
      <c r="AH90" s="4"/>
      <c r="AI90" s="4"/>
      <c r="AJ90" s="4"/>
      <c r="AK90" s="4"/>
      <c r="AL90" s="4"/>
      <c r="AM90" s="4"/>
      <c r="AN90" s="4"/>
      <c r="AO90" s="4"/>
    </row>
    <row r="91" spans="1:41">
      <c r="A91" s="19">
        <v>1993</v>
      </c>
      <c r="B91" s="59">
        <v>245520</v>
      </c>
      <c r="C91" s="83">
        <v>253490</v>
      </c>
      <c r="D91" s="92">
        <v>499000</v>
      </c>
      <c r="E91" s="63">
        <v>170060</v>
      </c>
      <c r="F91" s="63">
        <v>79930</v>
      </c>
      <c r="G91" s="63">
        <v>7280</v>
      </c>
      <c r="H91" s="103">
        <v>30700</v>
      </c>
      <c r="I91" s="63">
        <v>11310</v>
      </c>
      <c r="J91" s="63">
        <v>11960</v>
      </c>
      <c r="K91" s="21" t="s">
        <v>68</v>
      </c>
      <c r="L91" s="83">
        <v>1220</v>
      </c>
      <c r="M91" s="83">
        <v>200</v>
      </c>
      <c r="N91" s="83">
        <v>3390</v>
      </c>
      <c r="O91" s="84">
        <v>4820</v>
      </c>
      <c r="P91" s="63">
        <v>815060</v>
      </c>
      <c r="R91" s="4"/>
      <c r="S91" s="4"/>
      <c r="T91" s="4"/>
      <c r="U91" s="4"/>
      <c r="V91" s="4"/>
      <c r="W91" s="4"/>
      <c r="X91" s="4"/>
      <c r="Y91" s="4"/>
      <c r="Z91" s="4"/>
      <c r="AA91" s="4"/>
      <c r="AB91" s="4"/>
      <c r="AC91" s="4"/>
      <c r="AD91" s="4"/>
      <c r="AE91" s="4"/>
      <c r="AF91" s="4"/>
      <c r="AG91" s="4"/>
      <c r="AH91" s="4"/>
      <c r="AI91" s="4"/>
      <c r="AJ91" s="4"/>
      <c r="AK91" s="4"/>
      <c r="AL91" s="4"/>
      <c r="AM91" s="4"/>
      <c r="AN91" s="4"/>
      <c r="AO91" s="4"/>
    </row>
    <row r="92" spans="1:41">
      <c r="A92" s="19">
        <v>1994</v>
      </c>
      <c r="B92" s="59">
        <v>228480</v>
      </c>
      <c r="C92" s="83">
        <v>257470</v>
      </c>
      <c r="D92" s="92">
        <v>485950</v>
      </c>
      <c r="E92" s="63">
        <v>168830</v>
      </c>
      <c r="F92" s="63">
        <v>78670</v>
      </c>
      <c r="G92" s="63">
        <v>7350</v>
      </c>
      <c r="H92" s="103">
        <v>28650</v>
      </c>
      <c r="I92" s="63">
        <v>11280</v>
      </c>
      <c r="J92" s="63">
        <v>10110</v>
      </c>
      <c r="K92" s="21" t="s">
        <v>68</v>
      </c>
      <c r="L92" s="83">
        <v>1250</v>
      </c>
      <c r="M92" s="83">
        <v>250</v>
      </c>
      <c r="N92" s="83">
        <v>3290</v>
      </c>
      <c r="O92" s="84">
        <v>4790</v>
      </c>
      <c r="P92" s="63">
        <v>795630</v>
      </c>
      <c r="R92" s="4"/>
      <c r="S92" s="4"/>
      <c r="T92" s="4"/>
      <c r="U92" s="4"/>
      <c r="V92" s="4"/>
      <c r="W92" s="4"/>
      <c r="X92" s="4"/>
      <c r="Y92" s="4"/>
      <c r="Z92" s="4"/>
      <c r="AA92" s="4"/>
      <c r="AB92" s="4"/>
      <c r="AC92" s="4"/>
      <c r="AD92" s="4"/>
      <c r="AE92" s="4"/>
      <c r="AF92" s="4"/>
      <c r="AG92" s="4"/>
      <c r="AH92" s="4"/>
      <c r="AI92" s="4"/>
      <c r="AJ92" s="4"/>
      <c r="AK92" s="4"/>
      <c r="AL92" s="4"/>
      <c r="AM92" s="4"/>
      <c r="AN92" s="4"/>
      <c r="AO92" s="4"/>
    </row>
    <row r="93" spans="1:41">
      <c r="A93" s="19">
        <v>1995</v>
      </c>
      <c r="B93" s="59">
        <v>237680</v>
      </c>
      <c r="C93" s="83">
        <v>256360</v>
      </c>
      <c r="D93" s="92">
        <v>494040</v>
      </c>
      <c r="E93" s="63">
        <v>172380</v>
      </c>
      <c r="F93" s="63">
        <v>86600</v>
      </c>
      <c r="G93" s="63">
        <v>7920</v>
      </c>
      <c r="H93" s="103">
        <v>30600</v>
      </c>
      <c r="I93" s="63">
        <v>11970</v>
      </c>
      <c r="J93" s="63">
        <v>10440</v>
      </c>
      <c r="K93" s="21" t="s">
        <v>68</v>
      </c>
      <c r="L93" s="83">
        <v>1270</v>
      </c>
      <c r="M93" s="83">
        <v>300</v>
      </c>
      <c r="N93" s="83">
        <v>3670</v>
      </c>
      <c r="O93" s="84">
        <v>5240</v>
      </c>
      <c r="P93" s="63">
        <v>819190</v>
      </c>
      <c r="R93" s="4"/>
      <c r="S93" s="4"/>
      <c r="T93" s="4"/>
      <c r="U93" s="4"/>
      <c r="V93" s="4"/>
      <c r="W93" s="4"/>
      <c r="X93" s="4"/>
      <c r="Y93" s="4"/>
      <c r="Z93" s="4"/>
      <c r="AA93" s="4"/>
      <c r="AB93" s="4"/>
      <c r="AC93" s="4"/>
      <c r="AD93" s="4"/>
      <c r="AE93" s="4"/>
      <c r="AF93" s="4"/>
      <c r="AG93" s="4"/>
      <c r="AH93" s="4"/>
      <c r="AI93" s="4"/>
      <c r="AJ93" s="4"/>
      <c r="AK93" s="4"/>
      <c r="AL93" s="4"/>
      <c r="AM93" s="4"/>
      <c r="AN93" s="4"/>
      <c r="AO93" s="4"/>
    </row>
    <row r="94" spans="1:41">
      <c r="A94" s="19">
        <v>1996</v>
      </c>
      <c r="B94" s="59">
        <v>243540</v>
      </c>
      <c r="C94" s="83">
        <v>259080</v>
      </c>
      <c r="D94" s="92">
        <v>502620</v>
      </c>
      <c r="E94" s="63">
        <v>175290</v>
      </c>
      <c r="F94" s="63">
        <v>92910</v>
      </c>
      <c r="G94" s="63">
        <v>5960</v>
      </c>
      <c r="H94" s="103">
        <v>33660</v>
      </c>
      <c r="I94" s="63">
        <v>12480</v>
      </c>
      <c r="J94" s="63">
        <v>11110</v>
      </c>
      <c r="K94" s="21" t="s">
        <v>68</v>
      </c>
      <c r="L94" s="83">
        <v>1320</v>
      </c>
      <c r="M94" s="83">
        <v>350</v>
      </c>
      <c r="N94" s="83">
        <v>4070</v>
      </c>
      <c r="O94" s="84">
        <v>5740</v>
      </c>
      <c r="P94" s="63">
        <v>839770</v>
      </c>
      <c r="R94" s="4"/>
      <c r="S94" s="4"/>
      <c r="T94" s="4"/>
      <c r="U94" s="4"/>
      <c r="V94" s="4"/>
      <c r="W94" s="4"/>
      <c r="X94" s="4"/>
      <c r="Y94" s="4"/>
      <c r="Z94" s="4"/>
      <c r="AA94" s="4"/>
      <c r="AB94" s="4"/>
      <c r="AC94" s="4"/>
      <c r="AD94" s="4"/>
      <c r="AE94" s="4"/>
      <c r="AF94" s="4"/>
      <c r="AG94" s="4"/>
      <c r="AH94" s="4"/>
      <c r="AI94" s="4"/>
      <c r="AJ94" s="4"/>
      <c r="AK94" s="4"/>
      <c r="AL94" s="4"/>
      <c r="AM94" s="4"/>
      <c r="AN94" s="4"/>
      <c r="AO94" s="4"/>
    </row>
    <row r="95" spans="1:41">
      <c r="A95" s="19">
        <v>1997</v>
      </c>
      <c r="B95" s="59">
        <v>228100</v>
      </c>
      <c r="C95" s="83">
        <v>268890</v>
      </c>
      <c r="D95" s="92">
        <v>496990</v>
      </c>
      <c r="E95" s="63">
        <v>175000</v>
      </c>
      <c r="F95" s="63">
        <v>89110</v>
      </c>
      <c r="G95" s="63">
        <v>4590</v>
      </c>
      <c r="H95" s="103">
        <v>29610</v>
      </c>
      <c r="I95" s="63">
        <v>12980</v>
      </c>
      <c r="J95" s="63">
        <v>10090</v>
      </c>
      <c r="K95" s="59">
        <v>60</v>
      </c>
      <c r="L95" s="83">
        <v>1320</v>
      </c>
      <c r="M95" s="83">
        <v>400</v>
      </c>
      <c r="N95" s="83">
        <v>3880</v>
      </c>
      <c r="O95" s="92">
        <v>5670</v>
      </c>
      <c r="P95" s="104">
        <v>824040</v>
      </c>
      <c r="R95" s="4"/>
      <c r="S95" s="4"/>
      <c r="T95" s="4"/>
      <c r="U95" s="4"/>
      <c r="V95" s="4"/>
      <c r="W95" s="4"/>
      <c r="X95" s="4"/>
      <c r="Y95" s="4"/>
      <c r="Z95" s="4"/>
      <c r="AA95" s="4"/>
      <c r="AB95" s="4"/>
      <c r="AC95" s="4"/>
      <c r="AD95" s="4"/>
      <c r="AE95" s="4"/>
      <c r="AF95" s="4"/>
      <c r="AG95" s="4"/>
      <c r="AH95" s="4"/>
      <c r="AI95" s="4"/>
      <c r="AJ95" s="4"/>
      <c r="AK95" s="4"/>
      <c r="AL95" s="4"/>
      <c r="AM95" s="4"/>
      <c r="AN95" s="4"/>
      <c r="AO95" s="4"/>
    </row>
    <row r="96" spans="1:41">
      <c r="A96" s="19">
        <v>1998</v>
      </c>
      <c r="B96" s="59">
        <v>239750</v>
      </c>
      <c r="C96" s="83">
        <v>274460</v>
      </c>
      <c r="D96" s="92">
        <v>514210</v>
      </c>
      <c r="E96" s="63">
        <v>178630</v>
      </c>
      <c r="F96" s="63">
        <v>92060</v>
      </c>
      <c r="G96" s="63">
        <v>3810</v>
      </c>
      <c r="H96" s="103">
        <v>30140</v>
      </c>
      <c r="I96" s="63">
        <v>13250</v>
      </c>
      <c r="J96" s="63">
        <v>10320</v>
      </c>
      <c r="K96" s="59">
        <v>50</v>
      </c>
      <c r="L96" s="83">
        <v>1360</v>
      </c>
      <c r="M96" s="83">
        <v>460</v>
      </c>
      <c r="N96" s="83">
        <v>4190</v>
      </c>
      <c r="O96" s="92">
        <v>6050</v>
      </c>
      <c r="P96" s="104">
        <v>848470</v>
      </c>
      <c r="R96" s="4"/>
      <c r="S96" s="4"/>
      <c r="T96" s="4"/>
      <c r="U96" s="4"/>
      <c r="V96" s="4"/>
      <c r="W96" s="4"/>
      <c r="X96" s="4"/>
      <c r="Y96" s="4"/>
      <c r="Z96" s="4"/>
      <c r="AA96" s="4"/>
      <c r="AB96" s="4"/>
      <c r="AC96" s="4"/>
      <c r="AD96" s="4"/>
      <c r="AE96" s="4"/>
      <c r="AF96" s="4"/>
      <c r="AG96" s="4"/>
      <c r="AH96" s="4"/>
      <c r="AI96" s="4"/>
      <c r="AJ96" s="4"/>
      <c r="AK96" s="4"/>
      <c r="AL96" s="4"/>
      <c r="AM96" s="4"/>
      <c r="AN96" s="4"/>
      <c r="AO96" s="4"/>
    </row>
    <row r="97" spans="1:41">
      <c r="A97" s="19">
        <v>1999</v>
      </c>
      <c r="B97" s="59">
        <v>227680</v>
      </c>
      <c r="C97" s="83">
        <v>286920</v>
      </c>
      <c r="D97" s="92">
        <v>514600</v>
      </c>
      <c r="E97" s="63">
        <v>184370</v>
      </c>
      <c r="F97" s="63">
        <v>93310</v>
      </c>
      <c r="G97" s="63">
        <v>3960</v>
      </c>
      <c r="H97" s="103">
        <v>29810</v>
      </c>
      <c r="I97" s="63">
        <v>13210</v>
      </c>
      <c r="J97" s="63">
        <v>8930</v>
      </c>
      <c r="K97" s="59">
        <v>50</v>
      </c>
      <c r="L97" s="83">
        <v>1400</v>
      </c>
      <c r="M97" s="83">
        <v>510</v>
      </c>
      <c r="N97" s="83">
        <v>4330</v>
      </c>
      <c r="O97" s="92">
        <v>6300</v>
      </c>
      <c r="P97" s="104">
        <v>854490</v>
      </c>
      <c r="R97" s="4"/>
      <c r="S97" s="4"/>
      <c r="T97" s="4"/>
      <c r="U97" s="4"/>
      <c r="V97" s="4"/>
      <c r="W97" s="4"/>
      <c r="X97" s="4"/>
      <c r="Y97" s="4"/>
      <c r="Z97" s="4"/>
      <c r="AA97" s="4"/>
      <c r="AB97" s="4"/>
      <c r="AC97" s="4"/>
      <c r="AD97" s="4"/>
      <c r="AE97" s="4"/>
      <c r="AF97" s="4"/>
      <c r="AG97" s="4"/>
      <c r="AH97" s="4"/>
      <c r="AI97" s="4"/>
      <c r="AJ97" s="4"/>
      <c r="AK97" s="4"/>
      <c r="AL97" s="4"/>
      <c r="AM97" s="4"/>
      <c r="AN97" s="4"/>
      <c r="AO97" s="4"/>
    </row>
    <row r="98" spans="1:41">
      <c r="A98" s="19">
        <v>2000</v>
      </c>
      <c r="B98" s="59">
        <v>208430</v>
      </c>
      <c r="C98" s="83">
        <v>293370</v>
      </c>
      <c r="D98" s="92">
        <v>501800</v>
      </c>
      <c r="E98" s="63">
        <v>188540</v>
      </c>
      <c r="F98" s="63">
        <v>93600</v>
      </c>
      <c r="G98" s="63">
        <v>5770</v>
      </c>
      <c r="H98" s="103">
        <v>28130</v>
      </c>
      <c r="I98" s="63">
        <v>13180</v>
      </c>
      <c r="J98" s="63">
        <v>10440</v>
      </c>
      <c r="K98" s="59">
        <v>60</v>
      </c>
      <c r="L98" s="83">
        <v>1400</v>
      </c>
      <c r="M98" s="83">
        <v>560</v>
      </c>
      <c r="N98" s="83">
        <v>4310</v>
      </c>
      <c r="O98" s="92">
        <v>6330</v>
      </c>
      <c r="P98" s="104">
        <v>847790</v>
      </c>
      <c r="R98" s="4"/>
      <c r="S98" s="4"/>
      <c r="T98" s="4"/>
      <c r="U98" s="4"/>
      <c r="V98" s="4"/>
      <c r="W98" s="4"/>
      <c r="X98" s="4"/>
      <c r="Y98" s="4"/>
      <c r="Z98" s="4"/>
      <c r="AA98" s="4"/>
      <c r="AB98" s="4"/>
      <c r="AC98" s="4"/>
      <c r="AD98" s="4"/>
      <c r="AE98" s="4"/>
      <c r="AF98" s="4"/>
      <c r="AG98" s="4"/>
      <c r="AH98" s="4"/>
      <c r="AI98" s="4"/>
      <c r="AJ98" s="4"/>
      <c r="AK98" s="4"/>
      <c r="AL98" s="4"/>
      <c r="AM98" s="4"/>
      <c r="AN98" s="4"/>
      <c r="AO98" s="4"/>
    </row>
    <row r="99" spans="1:41">
      <c r="A99" s="19">
        <v>2001</v>
      </c>
      <c r="B99" s="59">
        <v>226750</v>
      </c>
      <c r="C99" s="83">
        <v>285870</v>
      </c>
      <c r="D99" s="92">
        <v>512620</v>
      </c>
      <c r="E99" s="63">
        <v>193500</v>
      </c>
      <c r="F99" s="63">
        <v>97420</v>
      </c>
      <c r="G99" s="63">
        <v>6030</v>
      </c>
      <c r="H99" s="103">
        <v>29950</v>
      </c>
      <c r="I99" s="63">
        <v>13900</v>
      </c>
      <c r="J99" s="63">
        <v>10450</v>
      </c>
      <c r="K99" s="59">
        <v>60</v>
      </c>
      <c r="L99" s="83">
        <v>1440</v>
      </c>
      <c r="M99" s="83">
        <v>600</v>
      </c>
      <c r="N99" s="83">
        <v>4670</v>
      </c>
      <c r="O99" s="92">
        <v>6780</v>
      </c>
      <c r="P99" s="104">
        <v>870650</v>
      </c>
      <c r="R99" s="4"/>
      <c r="S99" s="4"/>
      <c r="T99" s="4"/>
      <c r="U99" s="4"/>
      <c r="V99" s="4"/>
      <c r="W99" s="4"/>
      <c r="X99" s="4"/>
      <c r="Y99" s="4"/>
      <c r="Z99" s="4"/>
      <c r="AA99" s="4"/>
      <c r="AB99" s="4"/>
      <c r="AC99" s="4"/>
      <c r="AD99" s="4"/>
      <c r="AE99" s="4"/>
      <c r="AF99" s="4"/>
      <c r="AG99" s="4"/>
      <c r="AH99" s="4"/>
      <c r="AI99" s="4"/>
      <c r="AJ99" s="4"/>
      <c r="AK99" s="4"/>
      <c r="AL99" s="4"/>
      <c r="AM99" s="4"/>
      <c r="AN99" s="4"/>
      <c r="AO99" s="4"/>
    </row>
    <row r="100" spans="1:41">
      <c r="A100" s="19">
        <v>2002</v>
      </c>
      <c r="B100" s="59">
        <v>208240</v>
      </c>
      <c r="C100" s="83">
        <v>279810</v>
      </c>
      <c r="D100" s="92">
        <v>488050</v>
      </c>
      <c r="E100" s="63">
        <v>194500</v>
      </c>
      <c r="F100" s="63">
        <v>95240</v>
      </c>
      <c r="G100" s="63">
        <v>5560</v>
      </c>
      <c r="H100" s="103">
        <v>28740</v>
      </c>
      <c r="I100" s="63">
        <v>14020</v>
      </c>
      <c r="J100" s="63">
        <v>10190</v>
      </c>
      <c r="K100" s="59">
        <v>60</v>
      </c>
      <c r="L100" s="83">
        <v>1440</v>
      </c>
      <c r="M100" s="83">
        <v>640</v>
      </c>
      <c r="N100" s="83">
        <v>4790</v>
      </c>
      <c r="O100" s="92">
        <v>6930</v>
      </c>
      <c r="P100" s="104">
        <v>843230</v>
      </c>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row>
    <row r="101" spans="1:41">
      <c r="A101" s="19">
        <v>2003</v>
      </c>
      <c r="B101" s="59">
        <v>218430</v>
      </c>
      <c r="C101" s="83">
        <v>276640</v>
      </c>
      <c r="D101" s="92">
        <v>495070</v>
      </c>
      <c r="E101" s="63">
        <v>198440</v>
      </c>
      <c r="F101" s="63">
        <v>100340</v>
      </c>
      <c r="G101" s="63">
        <v>5710</v>
      </c>
      <c r="H101" s="103">
        <v>30770</v>
      </c>
      <c r="I101" s="63">
        <v>14590</v>
      </c>
      <c r="J101" s="63">
        <v>11060</v>
      </c>
      <c r="K101" s="59">
        <v>80</v>
      </c>
      <c r="L101" s="83">
        <v>1420</v>
      </c>
      <c r="M101" s="83">
        <v>680</v>
      </c>
      <c r="N101" s="83">
        <v>5240</v>
      </c>
      <c r="O101" s="92">
        <v>7430</v>
      </c>
      <c r="P101" s="104">
        <v>863410</v>
      </c>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row>
    <row r="102" spans="1:41">
      <c r="A102" s="19">
        <v>2004</v>
      </c>
      <c r="B102" s="59">
        <v>215460</v>
      </c>
      <c r="C102" s="83">
        <v>275420</v>
      </c>
      <c r="D102" s="92">
        <v>490880</v>
      </c>
      <c r="E102" s="63">
        <v>202220</v>
      </c>
      <c r="F102" s="63">
        <v>103760</v>
      </c>
      <c r="G102" s="63">
        <v>5420</v>
      </c>
      <c r="H102" s="103">
        <v>30610</v>
      </c>
      <c r="I102" s="63">
        <v>14770</v>
      </c>
      <c r="J102" s="63">
        <v>10980</v>
      </c>
      <c r="K102" s="59">
        <v>120</v>
      </c>
      <c r="L102" s="83">
        <v>1440</v>
      </c>
      <c r="M102" s="83">
        <v>720</v>
      </c>
      <c r="N102" s="83">
        <v>5510</v>
      </c>
      <c r="O102" s="92">
        <v>7790</v>
      </c>
      <c r="P102" s="104">
        <v>866430</v>
      </c>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row>
    <row r="103" spans="1:41">
      <c r="A103" s="19">
        <v>2005</v>
      </c>
      <c r="B103" s="59">
        <v>215720</v>
      </c>
      <c r="C103" s="83">
        <v>277500</v>
      </c>
      <c r="D103" s="92">
        <v>493210</v>
      </c>
      <c r="E103" s="63">
        <v>206390</v>
      </c>
      <c r="F103" s="63">
        <v>106780</v>
      </c>
      <c r="G103" s="63">
        <v>6040</v>
      </c>
      <c r="H103" s="103">
        <v>31920</v>
      </c>
      <c r="I103" s="63">
        <v>15240</v>
      </c>
      <c r="J103" s="63">
        <v>10880</v>
      </c>
      <c r="K103" s="59">
        <v>240</v>
      </c>
      <c r="L103" s="83">
        <v>1420</v>
      </c>
      <c r="M103" s="83">
        <v>770</v>
      </c>
      <c r="N103" s="83">
        <v>6090</v>
      </c>
      <c r="O103" s="92">
        <v>8530</v>
      </c>
      <c r="P103" s="104">
        <v>878990</v>
      </c>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row>
    <row r="104" spans="1:41">
      <c r="A104" s="19">
        <v>2006</v>
      </c>
      <c r="B104" s="59">
        <v>207680</v>
      </c>
      <c r="C104" s="83">
        <v>281300</v>
      </c>
      <c r="D104" s="92">
        <v>488980</v>
      </c>
      <c r="E104" s="63">
        <v>208020</v>
      </c>
      <c r="F104" s="63">
        <v>104710</v>
      </c>
      <c r="G104" s="63">
        <v>6520</v>
      </c>
      <c r="H104" s="103">
        <v>32630</v>
      </c>
      <c r="I104" s="63">
        <v>15720</v>
      </c>
      <c r="J104" s="63">
        <v>10990</v>
      </c>
      <c r="K104" s="59">
        <v>340</v>
      </c>
      <c r="L104" s="83">
        <v>1470</v>
      </c>
      <c r="M104" s="83">
        <v>840</v>
      </c>
      <c r="N104" s="83">
        <v>6330</v>
      </c>
      <c r="O104" s="92">
        <v>8970</v>
      </c>
      <c r="P104" s="104">
        <v>876540</v>
      </c>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row>
    <row r="105" spans="1:41">
      <c r="A105" s="19">
        <v>2007</v>
      </c>
      <c r="B105" s="59">
        <v>180730</v>
      </c>
      <c r="C105" s="83">
        <v>289330</v>
      </c>
      <c r="D105" s="92">
        <v>470060</v>
      </c>
      <c r="E105" s="63">
        <v>206760</v>
      </c>
      <c r="F105" s="63">
        <v>102470</v>
      </c>
      <c r="G105" s="63">
        <v>7300</v>
      </c>
      <c r="H105" s="103">
        <v>31750</v>
      </c>
      <c r="I105" s="63">
        <v>14670</v>
      </c>
      <c r="J105" s="63">
        <v>10600</v>
      </c>
      <c r="K105" s="59">
        <v>450</v>
      </c>
      <c r="L105" s="83">
        <v>1500</v>
      </c>
      <c r="M105" s="83">
        <v>920</v>
      </c>
      <c r="N105" s="83">
        <v>6840</v>
      </c>
      <c r="O105" s="92">
        <v>9710</v>
      </c>
      <c r="P105" s="104">
        <v>853320</v>
      </c>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row>
    <row r="106" spans="1:41">
      <c r="A106" s="19">
        <v>2008</v>
      </c>
      <c r="B106" s="59">
        <v>188230</v>
      </c>
      <c r="C106" s="83">
        <v>298420</v>
      </c>
      <c r="D106" s="92">
        <v>486650</v>
      </c>
      <c r="E106" s="63">
        <v>211420</v>
      </c>
      <c r="F106" s="63">
        <v>109160</v>
      </c>
      <c r="G106" s="63">
        <v>6560</v>
      </c>
      <c r="H106" s="103">
        <v>35950</v>
      </c>
      <c r="I106" s="63">
        <v>15260</v>
      </c>
      <c r="J106" s="63">
        <v>11110</v>
      </c>
      <c r="K106" s="59">
        <v>490</v>
      </c>
      <c r="L106" s="83">
        <v>1510</v>
      </c>
      <c r="M106" s="83">
        <v>1050</v>
      </c>
      <c r="N106" s="83">
        <v>8150</v>
      </c>
      <c r="O106" s="92">
        <v>11200</v>
      </c>
      <c r="P106" s="104">
        <v>887310</v>
      </c>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row>
    <row r="107" spans="1:41">
      <c r="A107" s="19">
        <v>2009</v>
      </c>
      <c r="B107" s="59">
        <v>182080</v>
      </c>
      <c r="C107" s="83">
        <v>293450</v>
      </c>
      <c r="D107" s="92">
        <v>475530</v>
      </c>
      <c r="E107" s="63">
        <v>206980</v>
      </c>
      <c r="F107" s="63">
        <v>104800</v>
      </c>
      <c r="G107" s="63">
        <v>6190</v>
      </c>
      <c r="H107" s="103">
        <v>37210</v>
      </c>
      <c r="I107" s="63">
        <v>15120</v>
      </c>
      <c r="J107" s="63">
        <v>9460</v>
      </c>
      <c r="K107" s="59">
        <v>350</v>
      </c>
      <c r="L107" s="83">
        <v>1500</v>
      </c>
      <c r="M107" s="83">
        <v>1240</v>
      </c>
      <c r="N107" s="83">
        <v>8960</v>
      </c>
      <c r="O107" s="92">
        <v>12050</v>
      </c>
      <c r="P107" s="104">
        <v>867340</v>
      </c>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row>
    <row r="108" spans="1:41">
      <c r="A108" s="19">
        <v>2010</v>
      </c>
      <c r="B108" s="59">
        <v>190410</v>
      </c>
      <c r="C108" s="83">
        <v>295080</v>
      </c>
      <c r="D108" s="92">
        <v>485480</v>
      </c>
      <c r="E108" s="63">
        <v>215230</v>
      </c>
      <c r="F108" s="63">
        <v>116200</v>
      </c>
      <c r="G108" s="63">
        <v>6210</v>
      </c>
      <c r="H108" s="103">
        <v>40990</v>
      </c>
      <c r="I108" s="63">
        <v>17030</v>
      </c>
      <c r="J108" s="63">
        <v>10190</v>
      </c>
      <c r="K108" s="59">
        <v>420</v>
      </c>
      <c r="L108" s="83">
        <v>1580</v>
      </c>
      <c r="M108" s="83">
        <v>1450</v>
      </c>
      <c r="N108" s="83">
        <v>10850</v>
      </c>
      <c r="O108" s="92">
        <v>14300</v>
      </c>
      <c r="P108" s="104">
        <v>905630</v>
      </c>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row>
    <row r="109" spans="1:41">
      <c r="A109" s="19">
        <v>2011</v>
      </c>
      <c r="B109" s="59">
        <v>150850</v>
      </c>
      <c r="C109" s="83">
        <v>296590</v>
      </c>
      <c r="D109" s="92">
        <v>447440</v>
      </c>
      <c r="E109" s="63">
        <v>210960</v>
      </c>
      <c r="F109" s="63">
        <v>104470</v>
      </c>
      <c r="G109" s="63">
        <v>5740</v>
      </c>
      <c r="H109" s="103">
        <v>35670</v>
      </c>
      <c r="I109" s="63">
        <v>15660</v>
      </c>
      <c r="J109" s="63">
        <v>10720</v>
      </c>
      <c r="K109" s="59">
        <v>450</v>
      </c>
      <c r="L109" s="83">
        <v>1670</v>
      </c>
      <c r="M109" s="83">
        <v>1660</v>
      </c>
      <c r="N109" s="83">
        <v>10420</v>
      </c>
      <c r="O109" s="92">
        <v>14200</v>
      </c>
      <c r="P109" s="104">
        <v>844860</v>
      </c>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row>
    <row r="110" spans="1:41">
      <c r="A110" s="19">
        <v>2012</v>
      </c>
      <c r="B110" s="59">
        <v>161130</v>
      </c>
      <c r="C110" s="83">
        <v>299850</v>
      </c>
      <c r="D110" s="92">
        <v>460980</v>
      </c>
      <c r="E110" s="63">
        <v>212300</v>
      </c>
      <c r="F110" s="63">
        <v>114580</v>
      </c>
      <c r="G110" s="63">
        <v>5170</v>
      </c>
      <c r="H110" s="103">
        <v>39470</v>
      </c>
      <c r="I110" s="63">
        <v>16650</v>
      </c>
      <c r="J110" s="63">
        <v>10880</v>
      </c>
      <c r="K110" s="59">
        <v>520</v>
      </c>
      <c r="L110" s="83">
        <v>1750</v>
      </c>
      <c r="M110" s="83">
        <v>1850</v>
      </c>
      <c r="N110" s="83">
        <v>12190</v>
      </c>
      <c r="O110" s="92">
        <v>16310</v>
      </c>
      <c r="P110" s="104">
        <v>876340</v>
      </c>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row>
    <row r="111" spans="1:41">
      <c r="A111" s="19">
        <v>2013</v>
      </c>
      <c r="B111" s="59">
        <v>168460</v>
      </c>
      <c r="C111" s="83">
        <v>299770</v>
      </c>
      <c r="D111" s="92">
        <v>468230</v>
      </c>
      <c r="E111" s="63">
        <v>213560</v>
      </c>
      <c r="F111" s="63">
        <v>121030</v>
      </c>
      <c r="G111" s="63">
        <v>5570</v>
      </c>
      <c r="H111" s="103">
        <v>43500</v>
      </c>
      <c r="I111" s="63">
        <v>17580</v>
      </c>
      <c r="J111" s="63">
        <v>11020</v>
      </c>
      <c r="K111" s="59">
        <v>480</v>
      </c>
      <c r="L111" s="83">
        <v>1740</v>
      </c>
      <c r="M111" s="83">
        <v>2040</v>
      </c>
      <c r="N111" s="83">
        <v>13630</v>
      </c>
      <c r="O111" s="92">
        <v>17890</v>
      </c>
      <c r="P111" s="104">
        <v>898380</v>
      </c>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row>
    <row r="112" spans="1:41">
      <c r="A112" s="19">
        <v>2014</v>
      </c>
      <c r="B112" s="59">
        <v>127550</v>
      </c>
      <c r="C112" s="83">
        <v>298260</v>
      </c>
      <c r="D112" s="92">
        <v>425810</v>
      </c>
      <c r="E112" s="63">
        <v>206880</v>
      </c>
      <c r="F112" s="63">
        <v>107360</v>
      </c>
      <c r="G112" s="63">
        <v>5700</v>
      </c>
      <c r="H112" s="103">
        <v>36740</v>
      </c>
      <c r="I112" s="63">
        <v>15980</v>
      </c>
      <c r="J112" s="63">
        <v>12650</v>
      </c>
      <c r="K112" s="59">
        <v>870</v>
      </c>
      <c r="L112" s="83">
        <v>1750</v>
      </c>
      <c r="M112" s="83">
        <v>2210</v>
      </c>
      <c r="N112" s="83">
        <v>12620</v>
      </c>
      <c r="O112" s="92">
        <v>17440</v>
      </c>
      <c r="P112" s="104">
        <v>828560</v>
      </c>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row>
    <row r="113" spans="1:41">
      <c r="A113" s="19">
        <v>2015</v>
      </c>
      <c r="B113" s="59">
        <v>133890</v>
      </c>
      <c r="C113" s="83">
        <v>290530</v>
      </c>
      <c r="D113" s="92">
        <v>424420</v>
      </c>
      <c r="E113" s="63">
        <v>209690</v>
      </c>
      <c r="F113" s="63">
        <v>113160</v>
      </c>
      <c r="G113" s="63">
        <v>5210</v>
      </c>
      <c r="H113" s="103">
        <v>39170</v>
      </c>
      <c r="I113" s="63">
        <v>18140</v>
      </c>
      <c r="J113" s="63">
        <v>10930</v>
      </c>
      <c r="K113" s="59">
        <v>2070</v>
      </c>
      <c r="L113" s="83">
        <v>1740</v>
      </c>
      <c r="M113" s="83">
        <v>2360</v>
      </c>
      <c r="N113" s="83">
        <v>14400</v>
      </c>
      <c r="O113" s="92">
        <v>20560</v>
      </c>
      <c r="P113" s="104">
        <v>841280</v>
      </c>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row>
    <row r="114" spans="1:41">
      <c r="A114" s="19">
        <v>2016</v>
      </c>
      <c r="B114" s="59">
        <v>136350</v>
      </c>
      <c r="C114" s="83">
        <v>291820</v>
      </c>
      <c r="D114" s="92">
        <v>428170</v>
      </c>
      <c r="E114" s="63">
        <v>209660</v>
      </c>
      <c r="F114" s="63">
        <v>117470</v>
      </c>
      <c r="G114" s="63">
        <v>4790</v>
      </c>
      <c r="H114" s="103">
        <v>42340</v>
      </c>
      <c r="I114" s="63">
        <v>19350</v>
      </c>
      <c r="J114" s="63">
        <v>11510</v>
      </c>
      <c r="K114" s="59">
        <v>3560</v>
      </c>
      <c r="L114" s="83">
        <v>1740</v>
      </c>
      <c r="M114" s="83">
        <v>2460</v>
      </c>
      <c r="N114" s="83">
        <v>15930</v>
      </c>
      <c r="O114" s="92">
        <v>23690</v>
      </c>
      <c r="P114" s="104">
        <v>856980</v>
      </c>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row>
    <row r="115" spans="1:41">
      <c r="A115" s="19">
        <v>2017</v>
      </c>
      <c r="B115" s="59">
        <v>127930</v>
      </c>
      <c r="C115" s="83">
        <v>290100</v>
      </c>
      <c r="D115" s="92">
        <v>418020</v>
      </c>
      <c r="E115" s="63">
        <v>210540</v>
      </c>
      <c r="F115" s="63">
        <v>119130</v>
      </c>
      <c r="G115" s="63">
        <v>4610</v>
      </c>
      <c r="H115" s="103">
        <v>42740</v>
      </c>
      <c r="I115" s="63">
        <v>19790</v>
      </c>
      <c r="J115" s="63">
        <v>11540</v>
      </c>
      <c r="K115" s="59">
        <v>5520</v>
      </c>
      <c r="L115" s="83">
        <v>1740</v>
      </c>
      <c r="M115" s="83">
        <v>2530</v>
      </c>
      <c r="N115" s="83">
        <v>16650</v>
      </c>
      <c r="O115" s="92">
        <v>26440</v>
      </c>
      <c r="P115" s="104">
        <v>852810</v>
      </c>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row>
    <row r="116" spans="1:41">
      <c r="A116" s="19">
        <v>2018</v>
      </c>
      <c r="B116" s="59">
        <v>115630</v>
      </c>
      <c r="C116" s="83">
        <v>294300</v>
      </c>
      <c r="D116" s="92">
        <v>409930</v>
      </c>
      <c r="E116" s="63">
        <v>207530</v>
      </c>
      <c r="F116" s="63">
        <v>112540</v>
      </c>
      <c r="G116" s="63">
        <v>4290</v>
      </c>
      <c r="H116" s="103">
        <v>40450</v>
      </c>
      <c r="I116" s="63">
        <v>19360</v>
      </c>
      <c r="J116" s="63">
        <v>11380</v>
      </c>
      <c r="K116" s="59">
        <v>7520</v>
      </c>
      <c r="L116" s="83">
        <v>1840</v>
      </c>
      <c r="M116" s="83">
        <v>2600</v>
      </c>
      <c r="N116" s="83">
        <v>16350</v>
      </c>
      <c r="O116" s="92">
        <v>28310</v>
      </c>
      <c r="P116" s="104">
        <v>833790</v>
      </c>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row>
    <row r="117" spans="1:41">
      <c r="A117" s="19">
        <v>2019</v>
      </c>
      <c r="B117" s="59">
        <v>112310</v>
      </c>
      <c r="C117" s="83">
        <v>294360</v>
      </c>
      <c r="D117" s="92">
        <v>406670</v>
      </c>
      <c r="E117" s="63">
        <v>205910</v>
      </c>
      <c r="F117" s="63">
        <v>115440</v>
      </c>
      <c r="G117" s="63">
        <v>3840</v>
      </c>
      <c r="H117" s="103">
        <v>41110</v>
      </c>
      <c r="I117" s="63">
        <v>21530</v>
      </c>
      <c r="J117" s="63">
        <v>11970</v>
      </c>
      <c r="K117" s="59">
        <v>7800</v>
      </c>
      <c r="L117" s="83">
        <v>1890</v>
      </c>
      <c r="M117" s="83">
        <v>2640</v>
      </c>
      <c r="N117" s="83">
        <v>18020</v>
      </c>
      <c r="O117" s="92">
        <v>30350</v>
      </c>
      <c r="P117" s="104">
        <v>836820</v>
      </c>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row>
    <row r="118" spans="1:41" s="34" customFormat="1">
      <c r="A118" s="19">
        <v>2020</v>
      </c>
      <c r="B118" s="59">
        <v>101110</v>
      </c>
      <c r="C118" s="83">
        <v>226720</v>
      </c>
      <c r="D118" s="92">
        <v>327830</v>
      </c>
      <c r="E118" s="63">
        <v>201950</v>
      </c>
      <c r="F118" s="63">
        <v>112340</v>
      </c>
      <c r="G118" s="63">
        <v>3700</v>
      </c>
      <c r="H118" s="103">
        <v>39710</v>
      </c>
      <c r="I118" s="63">
        <v>21050</v>
      </c>
      <c r="J118" s="63">
        <v>11690</v>
      </c>
      <c r="K118" s="59">
        <v>7260</v>
      </c>
      <c r="L118" s="83">
        <v>2000</v>
      </c>
      <c r="M118" s="83">
        <v>2660</v>
      </c>
      <c r="N118" s="83">
        <v>18670</v>
      </c>
      <c r="O118" s="92">
        <v>30580</v>
      </c>
      <c r="P118" s="104">
        <v>748850</v>
      </c>
      <c r="Q118" s="4"/>
    </row>
    <row r="119" spans="1:41" s="34" customFormat="1">
      <c r="A119" s="19">
        <v>2021</v>
      </c>
      <c r="B119" s="59">
        <v>111710</v>
      </c>
      <c r="C119" s="83">
        <v>233210</v>
      </c>
      <c r="D119" s="92">
        <v>344920</v>
      </c>
      <c r="E119" s="63">
        <v>211690</v>
      </c>
      <c r="F119" s="63">
        <v>121880</v>
      </c>
      <c r="G119" s="63">
        <v>3730</v>
      </c>
      <c r="H119" s="103">
        <v>46040</v>
      </c>
      <c r="I119" s="63">
        <v>23090</v>
      </c>
      <c r="J119" s="63">
        <v>11890</v>
      </c>
      <c r="K119" s="59">
        <v>6590</v>
      </c>
      <c r="L119" s="83">
        <v>2040</v>
      </c>
      <c r="M119" s="83">
        <v>2660</v>
      </c>
      <c r="N119" s="83">
        <v>21970</v>
      </c>
      <c r="O119" s="92">
        <v>33270</v>
      </c>
      <c r="P119" s="104">
        <v>796510</v>
      </c>
      <c r="Q119" s="4"/>
    </row>
    <row r="120" spans="1:41" s="34" customFormat="1">
      <c r="A120" s="19">
        <v>2022</v>
      </c>
      <c r="B120" s="59">
        <v>90770</v>
      </c>
      <c r="C120" s="83">
        <v>256310</v>
      </c>
      <c r="D120" s="92">
        <v>347090</v>
      </c>
      <c r="E120" s="63">
        <v>208710</v>
      </c>
      <c r="F120" s="63">
        <v>101160</v>
      </c>
      <c r="G120" s="63">
        <v>3880</v>
      </c>
      <c r="H120" s="103">
        <v>40760</v>
      </c>
      <c r="I120" s="63">
        <v>21360</v>
      </c>
      <c r="J120" s="63">
        <v>11550</v>
      </c>
      <c r="K120" s="59">
        <v>6730</v>
      </c>
      <c r="L120" s="83">
        <v>2060</v>
      </c>
      <c r="M120" s="83">
        <v>2650</v>
      </c>
      <c r="N120" s="83">
        <v>20950</v>
      </c>
      <c r="O120" s="92">
        <v>32390</v>
      </c>
      <c r="P120" s="104">
        <v>766900</v>
      </c>
      <c r="Q120" s="4"/>
    </row>
    <row r="121" spans="1:41" s="34" customFormat="1">
      <c r="A121" s="19">
        <v>2023</v>
      </c>
      <c r="B121" s="59">
        <v>88320</v>
      </c>
      <c r="C121" s="83">
        <v>268250</v>
      </c>
      <c r="D121" s="92">
        <v>356570</v>
      </c>
      <c r="E121" s="63">
        <v>204160</v>
      </c>
      <c r="F121" s="63">
        <v>93920</v>
      </c>
      <c r="G121" s="63">
        <v>3060</v>
      </c>
      <c r="H121" s="103">
        <v>42250</v>
      </c>
      <c r="I121" s="63">
        <v>22050</v>
      </c>
      <c r="J121" s="63">
        <v>11250</v>
      </c>
      <c r="K121" s="59">
        <v>7350</v>
      </c>
      <c r="L121" s="83">
        <v>2120</v>
      </c>
      <c r="M121" s="83">
        <v>2630</v>
      </c>
      <c r="N121" s="83">
        <v>22970</v>
      </c>
      <c r="O121" s="92">
        <v>35060</v>
      </c>
      <c r="P121" s="104">
        <v>768320</v>
      </c>
      <c r="Q121" s="4"/>
    </row>
    <row r="122" spans="1:41" s="34" customFormat="1" ht="13">
      <c r="A122" s="48">
        <v>2024</v>
      </c>
      <c r="B122" s="69">
        <v>84200</v>
      </c>
      <c r="C122" s="50">
        <v>270610</v>
      </c>
      <c r="D122" s="51">
        <v>354810</v>
      </c>
      <c r="E122" s="71">
        <v>207040</v>
      </c>
      <c r="F122" s="71">
        <v>95480</v>
      </c>
      <c r="G122" s="71">
        <v>2560</v>
      </c>
      <c r="H122" s="105">
        <v>41920</v>
      </c>
      <c r="I122" s="71">
        <v>24080</v>
      </c>
      <c r="J122" s="71">
        <v>11940</v>
      </c>
      <c r="K122" s="69">
        <v>9200</v>
      </c>
      <c r="L122" s="50">
        <v>2100</v>
      </c>
      <c r="M122" s="50">
        <v>2590</v>
      </c>
      <c r="N122" s="50">
        <v>24500</v>
      </c>
      <c r="O122" s="51">
        <v>38390</v>
      </c>
      <c r="P122" s="105">
        <v>776220</v>
      </c>
      <c r="Q122" s="4"/>
    </row>
    <row r="123" spans="1:41" s="34" customFormat="1" ht="13">
      <c r="A123" s="31"/>
      <c r="B123" s="32"/>
      <c r="C123" s="32"/>
      <c r="D123" s="32"/>
      <c r="E123" s="32"/>
      <c r="F123" s="32"/>
      <c r="G123" s="32"/>
      <c r="H123" s="32"/>
      <c r="I123" s="32"/>
      <c r="J123" s="66"/>
      <c r="K123" s="32"/>
      <c r="L123" s="32"/>
      <c r="M123" s="32"/>
      <c r="N123" s="32"/>
      <c r="O123" s="32"/>
      <c r="P123" s="32"/>
      <c r="Q123" s="4"/>
    </row>
    <row r="124" spans="1:41" s="34" customFormat="1">
      <c r="A124" s="77" t="s">
        <v>213</v>
      </c>
      <c r="B124" s="4"/>
      <c r="C124" s="4"/>
      <c r="D124" s="4"/>
      <c r="E124" s="4"/>
      <c r="F124" s="77" t="s">
        <v>214</v>
      </c>
      <c r="G124" s="4"/>
      <c r="H124" s="4"/>
      <c r="I124" s="4"/>
      <c r="J124" s="4"/>
      <c r="K124" s="4"/>
      <c r="L124" s="106"/>
      <c r="M124" s="4"/>
      <c r="N124" s="4"/>
      <c r="O124" s="4"/>
      <c r="P124" s="4"/>
      <c r="Q124" s="24"/>
    </row>
    <row r="125" spans="1:41" s="34" customFormat="1">
      <c r="A125" s="77" t="s">
        <v>139</v>
      </c>
      <c r="B125" s="4"/>
      <c r="C125" s="4"/>
      <c r="D125" s="4"/>
      <c r="E125" s="4"/>
      <c r="F125" s="77" t="s">
        <v>140</v>
      </c>
      <c r="G125" s="4"/>
      <c r="H125" s="4"/>
      <c r="I125" s="4"/>
      <c r="J125" s="4"/>
      <c r="K125" s="4"/>
      <c r="L125" s="106"/>
      <c r="M125" s="106"/>
      <c r="N125" s="106"/>
      <c r="O125" s="106"/>
      <c r="P125" s="4"/>
      <c r="Q125" s="24"/>
    </row>
    <row r="126" spans="1:41" s="34" customFormat="1">
      <c r="A126" s="77" t="s">
        <v>215</v>
      </c>
      <c r="B126" s="4"/>
      <c r="C126" s="4"/>
      <c r="D126" s="4"/>
      <c r="E126" s="4"/>
      <c r="F126" s="77" t="s">
        <v>216</v>
      </c>
      <c r="G126" s="4"/>
      <c r="H126" s="4"/>
      <c r="I126" s="4"/>
      <c r="J126" s="4"/>
      <c r="K126" s="4"/>
      <c r="L126" s="106"/>
      <c r="M126" s="106"/>
      <c r="N126" s="106"/>
      <c r="O126" s="106"/>
      <c r="P126" s="4"/>
      <c r="Q126" s="24"/>
    </row>
    <row r="127" spans="1:41" s="34" customFormat="1">
      <c r="A127" s="77" t="s">
        <v>217</v>
      </c>
      <c r="B127" s="4"/>
      <c r="C127" s="4"/>
      <c r="D127" s="4"/>
      <c r="E127" s="4"/>
      <c r="F127" s="77" t="s">
        <v>218</v>
      </c>
      <c r="G127" s="4"/>
      <c r="H127" s="4"/>
      <c r="I127" s="4"/>
      <c r="J127" s="4"/>
      <c r="K127" s="4"/>
      <c r="L127" s="106"/>
      <c r="M127" s="106"/>
      <c r="N127" s="106"/>
      <c r="O127" s="106"/>
      <c r="P127" s="4"/>
      <c r="Q127" s="24"/>
    </row>
    <row r="128" spans="1:41" s="34" customFormat="1">
      <c r="A128" s="77" t="s">
        <v>219</v>
      </c>
      <c r="B128" s="4"/>
      <c r="C128" s="4"/>
      <c r="D128" s="4"/>
      <c r="E128" s="4"/>
      <c r="F128" s="77" t="s">
        <v>220</v>
      </c>
      <c r="G128" s="4"/>
      <c r="H128" s="4"/>
      <c r="I128" s="4"/>
      <c r="J128" s="4"/>
      <c r="K128" s="4"/>
      <c r="L128" s="106"/>
      <c r="M128" s="106"/>
      <c r="N128" s="106"/>
      <c r="O128" s="106"/>
      <c r="P128" s="4"/>
      <c r="Q128" s="24"/>
    </row>
    <row r="129" spans="1:41" s="34" customFormat="1">
      <c r="A129" s="4"/>
      <c r="B129" s="4"/>
      <c r="C129" s="4"/>
      <c r="D129" s="4"/>
      <c r="E129" s="4"/>
      <c r="F129" s="4"/>
      <c r="G129" s="4"/>
      <c r="H129" s="4"/>
      <c r="I129" s="4"/>
      <c r="J129" s="4"/>
      <c r="K129" s="4"/>
      <c r="L129" s="106"/>
      <c r="M129" s="106"/>
      <c r="N129" s="106"/>
      <c r="O129" s="106"/>
      <c r="P129" s="4"/>
      <c r="Q129" s="24"/>
    </row>
    <row r="130" spans="1:41" s="34" customFormat="1">
      <c r="A130" s="4"/>
      <c r="B130" s="4"/>
      <c r="C130" s="4"/>
      <c r="D130" s="4"/>
      <c r="E130" s="4"/>
      <c r="F130" s="4"/>
      <c r="G130" s="4"/>
      <c r="H130" s="4"/>
      <c r="I130" s="4"/>
      <c r="J130" s="4"/>
      <c r="K130" s="4"/>
      <c r="L130" s="106"/>
      <c r="M130" s="106"/>
      <c r="N130" s="106"/>
      <c r="O130" s="106"/>
      <c r="P130" s="4"/>
      <c r="Q130" s="24"/>
    </row>
    <row r="131" spans="1:41" s="34" customFormat="1">
      <c r="A131" s="4"/>
      <c r="B131" s="4"/>
      <c r="C131" s="4"/>
      <c r="D131" s="4"/>
      <c r="E131" s="4"/>
      <c r="F131" s="4"/>
      <c r="G131" s="4"/>
      <c r="H131" s="4"/>
      <c r="I131" s="4"/>
      <c r="J131" s="4"/>
      <c r="K131" s="4"/>
      <c r="L131" s="4"/>
      <c r="M131" s="4"/>
      <c r="N131" s="4"/>
      <c r="O131" s="4"/>
      <c r="P131" s="4"/>
      <c r="Q131" s="4"/>
      <c r="R131" s="107"/>
      <c r="S131" s="107"/>
      <c r="T131" s="107"/>
      <c r="U131" s="107"/>
      <c r="V131" s="107"/>
    </row>
    <row r="132" spans="1:41">
      <c r="A132" s="35" t="s">
        <v>75</v>
      </c>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row>
    <row r="133" spans="1:41">
      <c r="A133" s="35" t="s">
        <v>76</v>
      </c>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row>
    <row r="134" spans="1:41">
      <c r="A134" s="35" t="s">
        <v>77</v>
      </c>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row>
    <row r="135" spans="1:41" s="34" customFormat="1">
      <c r="A135" s="4"/>
      <c r="B135" s="4"/>
      <c r="C135" s="4"/>
      <c r="D135" s="4"/>
      <c r="E135" s="4"/>
      <c r="F135" s="4"/>
      <c r="G135" s="4"/>
      <c r="H135" s="4"/>
      <c r="I135" s="4"/>
      <c r="J135" s="4"/>
      <c r="K135" s="4"/>
      <c r="L135" s="4"/>
      <c r="M135" s="4"/>
      <c r="N135" s="4"/>
      <c r="O135" s="4"/>
      <c r="P135" s="4"/>
      <c r="Q135" s="4"/>
      <c r="R135" s="107"/>
      <c r="S135" s="107"/>
      <c r="T135" s="107"/>
      <c r="U135" s="107"/>
      <c r="V135" s="107"/>
    </row>
    <row r="136" spans="1:41" s="34" customFormat="1">
      <c r="A136" s="4"/>
      <c r="B136" s="4"/>
      <c r="C136" s="4"/>
      <c r="D136" s="4"/>
      <c r="E136" s="4"/>
      <c r="F136" s="4"/>
      <c r="G136" s="4"/>
      <c r="H136" s="4"/>
      <c r="I136" s="4"/>
      <c r="J136" s="4"/>
      <c r="K136" s="4"/>
      <c r="L136" s="4"/>
      <c r="M136" s="4"/>
      <c r="N136" s="4"/>
      <c r="O136" s="4"/>
      <c r="P136" s="4"/>
      <c r="Q136" s="4"/>
      <c r="R136" s="107"/>
      <c r="S136" s="107"/>
      <c r="T136" s="107"/>
      <c r="U136" s="107"/>
      <c r="V136" s="107"/>
    </row>
    <row r="137" spans="1:41" s="34" customFormat="1">
      <c r="A137" s="4"/>
      <c r="B137" s="4"/>
      <c r="C137" s="4"/>
      <c r="D137" s="4"/>
      <c r="E137" s="4"/>
      <c r="F137" s="4"/>
      <c r="G137" s="4"/>
      <c r="H137" s="4"/>
      <c r="I137" s="4"/>
      <c r="J137" s="4"/>
      <c r="K137" s="4"/>
      <c r="L137" s="4"/>
      <c r="M137" s="4"/>
      <c r="N137" s="4"/>
      <c r="O137" s="4"/>
      <c r="P137" s="4"/>
      <c r="Q137" s="4"/>
      <c r="R137" s="107"/>
      <c r="S137" s="107"/>
      <c r="T137" s="107"/>
      <c r="U137" s="107"/>
      <c r="V137" s="107"/>
    </row>
    <row r="138" spans="1:41" s="34" customFormat="1">
      <c r="A138" s="4"/>
      <c r="B138" s="4"/>
      <c r="C138" s="4"/>
      <c r="D138" s="4"/>
      <c r="E138" s="4"/>
      <c r="F138" s="4"/>
      <c r="G138" s="4"/>
      <c r="H138" s="4"/>
      <c r="I138" s="4"/>
      <c r="J138" s="4"/>
      <c r="K138" s="4"/>
      <c r="L138" s="4"/>
      <c r="M138" s="4"/>
      <c r="N138" s="4"/>
      <c r="O138" s="4"/>
      <c r="P138" s="4"/>
      <c r="Q138" s="4"/>
      <c r="R138" s="107"/>
      <c r="S138" s="107"/>
      <c r="T138" s="107"/>
      <c r="U138" s="107"/>
      <c r="V138" s="107"/>
    </row>
    <row r="139" spans="1:41" s="34" customFormat="1">
      <c r="A139" s="4"/>
      <c r="B139" s="4"/>
      <c r="C139" s="4"/>
      <c r="D139" s="4"/>
      <c r="E139" s="4"/>
      <c r="F139" s="4"/>
      <c r="G139" s="4"/>
      <c r="H139" s="4"/>
      <c r="I139" s="4"/>
      <c r="J139" s="4"/>
      <c r="K139" s="4"/>
      <c r="L139" s="4"/>
      <c r="M139" s="4"/>
      <c r="N139" s="4"/>
      <c r="O139" s="4"/>
      <c r="P139" s="4"/>
      <c r="Q139" s="4"/>
      <c r="R139" s="107"/>
      <c r="S139" s="107"/>
      <c r="T139" s="107"/>
      <c r="U139" s="107"/>
      <c r="V139" s="107"/>
    </row>
    <row r="140" spans="1:41" s="34" customFormat="1">
      <c r="A140" s="4"/>
      <c r="B140" s="4"/>
      <c r="C140" s="4"/>
      <c r="D140" s="4"/>
      <c r="E140" s="4"/>
      <c r="F140" s="4"/>
      <c r="G140" s="4"/>
      <c r="H140" s="4"/>
      <c r="I140" s="4"/>
      <c r="J140" s="4"/>
      <c r="K140" s="4"/>
      <c r="L140" s="4"/>
      <c r="M140" s="4"/>
      <c r="N140" s="4"/>
      <c r="O140" s="4"/>
      <c r="P140" s="4"/>
      <c r="Q140" s="4"/>
      <c r="R140" s="107"/>
      <c r="S140" s="107"/>
      <c r="T140" s="107"/>
      <c r="U140" s="107"/>
      <c r="V140" s="107"/>
    </row>
    <row r="141" spans="1:41" s="34" customFormat="1">
      <c r="A141" s="4"/>
      <c r="B141" s="4"/>
      <c r="C141" s="4"/>
      <c r="D141" s="4"/>
      <c r="E141" s="4"/>
      <c r="F141" s="4"/>
      <c r="G141" s="4"/>
      <c r="H141" s="4"/>
      <c r="I141" s="4"/>
      <c r="J141" s="4"/>
      <c r="K141" s="4"/>
      <c r="L141" s="4"/>
      <c r="M141" s="4"/>
      <c r="N141" s="4"/>
      <c r="O141" s="4"/>
      <c r="P141" s="4"/>
      <c r="Q141" s="4"/>
      <c r="R141" s="107"/>
      <c r="S141" s="107"/>
      <c r="T141" s="107"/>
      <c r="U141" s="107"/>
      <c r="V141" s="107"/>
    </row>
    <row r="142" spans="1:41" s="34" customFormat="1">
      <c r="A142" s="4"/>
      <c r="B142" s="4"/>
      <c r="C142" s="4"/>
      <c r="D142" s="4"/>
      <c r="E142" s="4"/>
      <c r="F142" s="4"/>
      <c r="G142" s="4"/>
      <c r="H142" s="4"/>
      <c r="I142" s="4"/>
      <c r="J142" s="4"/>
      <c r="K142" s="4"/>
      <c r="L142" s="4"/>
      <c r="M142" s="4"/>
      <c r="N142" s="4"/>
      <c r="O142" s="4"/>
      <c r="P142" s="4"/>
      <c r="Q142" s="4"/>
      <c r="R142" s="107"/>
      <c r="S142" s="107"/>
      <c r="T142" s="107"/>
      <c r="U142" s="107"/>
      <c r="V142" s="107"/>
    </row>
    <row r="143" spans="1:41" s="34" customFormat="1">
      <c r="A143" s="4"/>
      <c r="B143" s="4"/>
      <c r="C143" s="4"/>
      <c r="D143" s="4"/>
      <c r="E143" s="4"/>
      <c r="F143" s="4"/>
      <c r="G143" s="4"/>
      <c r="H143" s="4"/>
      <c r="I143" s="4"/>
      <c r="J143" s="4"/>
      <c r="K143" s="4"/>
      <c r="L143" s="4"/>
      <c r="M143" s="4"/>
      <c r="N143" s="4"/>
      <c r="O143" s="4"/>
      <c r="P143" s="4"/>
      <c r="Q143" s="4"/>
      <c r="R143" s="107"/>
      <c r="S143" s="107"/>
      <c r="T143" s="107"/>
      <c r="U143" s="107"/>
      <c r="V143" s="107"/>
    </row>
    <row r="144" spans="1:41" s="34" customFormat="1">
      <c r="A144" s="4"/>
      <c r="B144" s="4"/>
      <c r="C144" s="4"/>
      <c r="D144" s="4"/>
      <c r="E144" s="4"/>
      <c r="F144" s="4"/>
      <c r="G144" s="4"/>
      <c r="H144" s="4"/>
      <c r="I144" s="4"/>
      <c r="J144" s="4"/>
      <c r="K144" s="4"/>
      <c r="L144" s="4"/>
      <c r="M144" s="4"/>
      <c r="N144" s="4"/>
      <c r="O144" s="4"/>
      <c r="P144" s="4"/>
      <c r="Q144" s="4"/>
      <c r="R144" s="107"/>
      <c r="S144" s="107"/>
      <c r="T144" s="107"/>
      <c r="U144" s="107"/>
      <c r="V144" s="107"/>
    </row>
    <row r="145" spans="1:22" s="34" customFormat="1">
      <c r="A145" s="4"/>
      <c r="B145" s="4"/>
      <c r="C145" s="4"/>
      <c r="D145" s="4"/>
      <c r="E145" s="4"/>
      <c r="F145" s="4"/>
      <c r="G145" s="4"/>
      <c r="H145" s="4"/>
      <c r="I145" s="4"/>
      <c r="J145" s="4"/>
      <c r="K145" s="4"/>
      <c r="L145" s="4"/>
      <c r="M145" s="4"/>
      <c r="N145" s="4"/>
      <c r="O145" s="4"/>
      <c r="P145" s="4"/>
      <c r="Q145" s="4"/>
      <c r="R145" s="107"/>
      <c r="S145" s="107"/>
      <c r="T145" s="107"/>
      <c r="U145" s="107"/>
      <c r="V145" s="107"/>
    </row>
  </sheetData>
  <mergeCells count="20">
    <mergeCell ref="H6:H7"/>
    <mergeCell ref="A4:A5"/>
    <mergeCell ref="B4:D4"/>
    <mergeCell ref="E4:E5"/>
    <mergeCell ref="F4:F5"/>
    <mergeCell ref="G4:G5"/>
    <mergeCell ref="H4:H5"/>
    <mergeCell ref="A6:A7"/>
    <mergeCell ref="B6:D6"/>
    <mergeCell ref="E6:E7"/>
    <mergeCell ref="F6:F7"/>
    <mergeCell ref="G6:G7"/>
    <mergeCell ref="I6:I7"/>
    <mergeCell ref="J6:J7"/>
    <mergeCell ref="K6:O6"/>
    <mergeCell ref="P6:P7"/>
    <mergeCell ref="I4:I5"/>
    <mergeCell ref="J4:J5"/>
    <mergeCell ref="K4:O4"/>
    <mergeCell ref="P4:P5"/>
  </mergeCells>
  <conditionalFormatting sqref="B8:P87">
    <cfRule type="expression" dxfId="55" priority="3">
      <formula>AA8&lt;&gt;0</formula>
    </cfRule>
  </conditionalFormatting>
  <conditionalFormatting sqref="B88:P122">
    <cfRule type="expression" dxfId="54" priority="1">
      <formula>#REF!&lt;&gt;0</formula>
    </cfRule>
  </conditionalFormatting>
  <conditionalFormatting sqref="B123:P123">
    <cfRule type="expression" dxfId="53" priority="2">
      <formula>AA123&lt;&gt;0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3684B-C293-4D73-8CCF-012CE22DD7EA}">
  <sheetPr codeName="Sheet4">
    <tabColor rgb="FFFF0000"/>
  </sheetPr>
  <dimension ref="A1:AE407"/>
  <sheetViews>
    <sheetView topLeftCell="A410" workbookViewId="0">
      <selection activeCell="A432" sqref="A432"/>
    </sheetView>
  </sheetViews>
  <sheetFormatPr defaultRowHeight="14.5"/>
  <cols>
    <col min="2" max="2" width="17.81640625" customWidth="1"/>
  </cols>
  <sheetData>
    <row r="1" spans="1:30">
      <c r="B1" t="s">
        <v>672</v>
      </c>
      <c r="AB1" t="s">
        <v>673</v>
      </c>
      <c r="AC1" t="str">
        <f>[1]Matrix!C1</f>
        <v>TWh</v>
      </c>
    </row>
    <row r="2" spans="1:30">
      <c r="B2" t="s">
        <v>674</v>
      </c>
      <c r="AB2" t="s">
        <v>675</v>
      </c>
      <c r="AC2">
        <f>IF(AC1="TWh",3.6,1)</f>
        <v>3.6</v>
      </c>
    </row>
    <row r="5" spans="1:30" ht="15.5">
      <c r="A5" s="244"/>
      <c r="B5" s="198" t="s">
        <v>676</v>
      </c>
      <c r="C5" s="199"/>
      <c r="D5" s="199"/>
      <c r="E5" s="199"/>
      <c r="F5" s="199"/>
      <c r="G5" s="199"/>
      <c r="H5" s="199"/>
      <c r="I5" s="199"/>
      <c r="J5" s="199"/>
      <c r="K5" s="199"/>
      <c r="L5" s="199"/>
      <c r="M5" s="199"/>
      <c r="N5" s="199"/>
      <c r="O5" s="199"/>
      <c r="P5" s="199"/>
      <c r="Q5" s="199"/>
      <c r="R5" s="199"/>
      <c r="S5" s="199"/>
      <c r="T5" s="199"/>
      <c r="U5" s="199"/>
      <c r="V5" s="199"/>
      <c r="W5" s="199"/>
      <c r="X5" s="199"/>
      <c r="Y5" s="199"/>
      <c r="Z5" s="199"/>
      <c r="AA5" s="199"/>
    </row>
    <row r="6" spans="1:30">
      <c r="A6" s="244"/>
      <c r="B6" s="200" t="s">
        <v>677</v>
      </c>
      <c r="C6" s="201"/>
      <c r="D6" s="201"/>
      <c r="E6" s="201"/>
      <c r="F6" s="201"/>
      <c r="G6" s="201"/>
      <c r="H6" s="201"/>
      <c r="I6" s="201"/>
      <c r="J6" s="201"/>
      <c r="K6" s="201"/>
      <c r="L6" s="201"/>
      <c r="M6" s="201"/>
      <c r="N6" s="201"/>
      <c r="O6" s="201"/>
      <c r="P6" s="201"/>
      <c r="Q6" s="201"/>
      <c r="R6" s="201"/>
      <c r="S6" s="201"/>
      <c r="T6" s="201"/>
      <c r="U6" s="201"/>
      <c r="V6" s="201"/>
      <c r="W6" s="201"/>
      <c r="X6" s="201"/>
      <c r="Y6" s="201"/>
      <c r="Z6" s="201"/>
      <c r="AA6" s="201"/>
      <c r="AC6" s="202" t="s">
        <v>678</v>
      </c>
    </row>
    <row r="7" spans="1:30" ht="15.5" thickBot="1">
      <c r="A7" s="244"/>
      <c r="B7" s="203" t="s">
        <v>679</v>
      </c>
      <c r="C7" s="204">
        <v>2000</v>
      </c>
      <c r="D7" s="204">
        <v>2001</v>
      </c>
      <c r="E7" s="204">
        <v>2002</v>
      </c>
      <c r="F7" s="204">
        <v>2003</v>
      </c>
      <c r="G7" s="204">
        <v>2004</v>
      </c>
      <c r="H7" s="204">
        <v>2005</v>
      </c>
      <c r="I7" s="204">
        <v>2006</v>
      </c>
      <c r="J7" s="204">
        <v>2007</v>
      </c>
      <c r="K7" s="204">
        <v>2008</v>
      </c>
      <c r="L7" s="204">
        <v>2009</v>
      </c>
      <c r="M7" s="204">
        <v>2010</v>
      </c>
      <c r="N7" s="204">
        <v>2011</v>
      </c>
      <c r="O7" s="204">
        <v>2012</v>
      </c>
      <c r="P7" s="204">
        <v>2013</v>
      </c>
      <c r="Q7" s="204">
        <v>2014</v>
      </c>
      <c r="R7" s="204">
        <v>2015</v>
      </c>
      <c r="S7" s="204">
        <v>2016</v>
      </c>
      <c r="T7" s="204">
        <v>2017</v>
      </c>
      <c r="U7" s="204">
        <v>2018</v>
      </c>
      <c r="V7" s="204">
        <v>2019</v>
      </c>
      <c r="W7" s="204">
        <v>2020</v>
      </c>
      <c r="X7" s="204">
        <v>2021</v>
      </c>
      <c r="Y7" s="204">
        <v>2022</v>
      </c>
      <c r="Z7" s="204">
        <v>2023</v>
      </c>
      <c r="AA7" s="204">
        <v>2024</v>
      </c>
      <c r="AC7" s="205">
        <f ca="1">OFFSET(C7,0,[1]Matrix!$C$2-2000)</f>
        <v>2023</v>
      </c>
    </row>
    <row r="8" spans="1:30" ht="15">
      <c r="A8" s="244"/>
      <c r="B8" s="206" t="s">
        <v>681</v>
      </c>
      <c r="C8" s="207">
        <v>262.68748570625849</v>
      </c>
      <c r="D8" s="208">
        <v>286.4466631306837</v>
      </c>
      <c r="E8" s="208">
        <v>263.13699057653082</v>
      </c>
      <c r="F8" s="208">
        <v>286.73311207854852</v>
      </c>
      <c r="G8" s="208">
        <v>280.91253401566257</v>
      </c>
      <c r="H8" s="208">
        <v>290.20823713213753</v>
      </c>
      <c r="I8" s="208">
        <v>280.85286345973992</v>
      </c>
      <c r="J8" s="208">
        <v>245.4776982641871</v>
      </c>
      <c r="K8" s="208">
        <v>272.52480584845853</v>
      </c>
      <c r="L8" s="208">
        <v>267.43365511479288</v>
      </c>
      <c r="M8" s="208">
        <v>301.68449662145179</v>
      </c>
      <c r="N8" s="208">
        <v>232.4682094310661</v>
      </c>
      <c r="O8" s="208">
        <v>263.70183213286259</v>
      </c>
      <c r="P8" s="208">
        <v>291.34258185613311</v>
      </c>
      <c r="Q8" s="208">
        <v>216.45729915586361</v>
      </c>
      <c r="R8" s="208">
        <v>241.1050133645727</v>
      </c>
      <c r="S8" s="208">
        <v>258.31203098144391</v>
      </c>
      <c r="T8" s="208">
        <v>248.75203089220261</v>
      </c>
      <c r="U8" s="208">
        <v>226.11149594301071</v>
      </c>
      <c r="V8" s="208">
        <v>230.02038464534709</v>
      </c>
      <c r="W8" s="208">
        <v>213.84250703993911</v>
      </c>
      <c r="X8" s="208">
        <v>253.57852779019959</v>
      </c>
      <c r="Y8" s="208">
        <v>200.97112034608139</v>
      </c>
      <c r="Z8" s="208">
        <v>207.02312755466599</v>
      </c>
      <c r="AA8" s="208">
        <v>211.55260938963201</v>
      </c>
      <c r="AC8" s="210">
        <f ca="1">OFFSET(C8,0,[1]Matrix!$C$2-2000)/$AC$2</f>
        <v>57.50642432074055</v>
      </c>
      <c r="AD8" t="str">
        <f>$AC$1</f>
        <v>TWh</v>
      </c>
    </row>
    <row r="9" spans="1:30" ht="15">
      <c r="A9" s="244"/>
      <c r="B9" s="206" t="s">
        <v>682</v>
      </c>
      <c r="C9" s="207">
        <v>49.672749785155723</v>
      </c>
      <c r="D9" s="208">
        <v>49.341552189665613</v>
      </c>
      <c r="E9" s="208">
        <v>49.455031824867099</v>
      </c>
      <c r="F9" s="208">
        <v>49.462305762564498</v>
      </c>
      <c r="G9" s="208">
        <v>49.316399588134118</v>
      </c>
      <c r="H9" s="208">
        <v>49.151151532071303</v>
      </c>
      <c r="I9" s="208">
        <v>49.247497891631483</v>
      </c>
      <c r="J9" s="208">
        <v>49.286680540802472</v>
      </c>
      <c r="K9" s="208">
        <v>49.204104371059863</v>
      </c>
      <c r="L9" s="208">
        <v>49.297608845259987</v>
      </c>
      <c r="M9" s="208">
        <v>49.076448601720408</v>
      </c>
      <c r="N9" s="208">
        <v>48.801002327057333</v>
      </c>
      <c r="O9" s="208">
        <v>48.461834810310407</v>
      </c>
      <c r="P9" s="208">
        <v>48.266947255301091</v>
      </c>
      <c r="Q9" s="208">
        <v>47.938213412603247</v>
      </c>
      <c r="R9" s="208">
        <v>47.651432631373829</v>
      </c>
      <c r="S9" s="208">
        <v>47.30303802213303</v>
      </c>
      <c r="T9" s="208">
        <v>46.827718595567461</v>
      </c>
      <c r="U9" s="208">
        <v>46.615467070058578</v>
      </c>
      <c r="V9" s="208">
        <v>46.589673702545227</v>
      </c>
      <c r="W9" s="208">
        <v>47.813135100631968</v>
      </c>
      <c r="X9" s="208">
        <v>46.577867066280042</v>
      </c>
      <c r="Y9" s="208">
        <v>46.146288414108653</v>
      </c>
      <c r="Z9" s="208">
        <v>45.196658803242791</v>
      </c>
      <c r="AA9" s="208">
        <v>42.645125456597157</v>
      </c>
      <c r="AC9" s="210">
        <f ca="1">OFFSET(C9,0,[1]Matrix!$C$2-2000)/$AC$2</f>
        <v>12.554627445345218</v>
      </c>
      <c r="AD9" t="str">
        <f t="shared" ref="AD9:AD20" si="0">$AC$1</f>
        <v>TWh</v>
      </c>
    </row>
    <row r="10" spans="1:30" ht="15">
      <c r="A10" s="244"/>
      <c r="B10" s="206" t="s">
        <v>683</v>
      </c>
      <c r="C10" s="207">
        <v>107.76082825309329</v>
      </c>
      <c r="D10" s="208">
        <v>106.213380825268</v>
      </c>
      <c r="E10" s="208">
        <v>101.0263148698369</v>
      </c>
      <c r="F10" s="208">
        <v>101.202310803091</v>
      </c>
      <c r="G10" s="208">
        <v>102.1521563860026</v>
      </c>
      <c r="H10" s="208">
        <v>103.7696138506563</v>
      </c>
      <c r="I10" s="208">
        <v>103.6903999376208</v>
      </c>
      <c r="J10" s="208">
        <v>105.316621833594</v>
      </c>
      <c r="K10" s="208">
        <v>104.0829882237562</v>
      </c>
      <c r="L10" s="208">
        <v>93.325716238574003</v>
      </c>
      <c r="M10" s="208">
        <v>97.949541910872995</v>
      </c>
      <c r="N10" s="208">
        <v>97.737923628642193</v>
      </c>
      <c r="O10" s="208">
        <v>98.563311555488497</v>
      </c>
      <c r="P10" s="208">
        <v>97.679682534932368</v>
      </c>
      <c r="Q10" s="208">
        <v>95.490125731437104</v>
      </c>
      <c r="R10" s="208">
        <v>92.926824547601768</v>
      </c>
      <c r="S10" s="208">
        <v>93.687966728229782</v>
      </c>
      <c r="T10" s="208">
        <v>93.383068671141189</v>
      </c>
      <c r="U10" s="208">
        <v>94.608807589637095</v>
      </c>
      <c r="V10" s="208">
        <v>93.991173285289236</v>
      </c>
      <c r="W10" s="208">
        <v>89.989984999355769</v>
      </c>
      <c r="X10" s="208">
        <v>93.590423469612432</v>
      </c>
      <c r="Y10" s="208">
        <v>93.71043934575124</v>
      </c>
      <c r="Z10" s="208">
        <v>88.874891309118595</v>
      </c>
      <c r="AA10" s="208">
        <v>89.6220445707078</v>
      </c>
      <c r="AC10" s="210">
        <f ca="1">OFFSET(C10,0,[1]Matrix!$C$2-2000)/$AC$2</f>
        <v>24.687469808088498</v>
      </c>
      <c r="AD10" t="str">
        <f t="shared" si="0"/>
        <v>TWh</v>
      </c>
    </row>
    <row r="11" spans="1:30" ht="15">
      <c r="A11" s="244"/>
      <c r="B11" s="206" t="s">
        <v>684</v>
      </c>
      <c r="C11" s="207">
        <v>27.82148342382958</v>
      </c>
      <c r="D11" s="208">
        <v>28.19755488220936</v>
      </c>
      <c r="E11" s="208">
        <v>28.10390439071973</v>
      </c>
      <c r="F11" s="208">
        <v>28.525084557334559</v>
      </c>
      <c r="G11" s="208">
        <v>28.63358262717718</v>
      </c>
      <c r="H11" s="208">
        <v>28.54495568222163</v>
      </c>
      <c r="I11" s="208">
        <v>28.826802376250669</v>
      </c>
      <c r="J11" s="208">
        <v>28.988116312548058</v>
      </c>
      <c r="K11" s="208">
        <v>28.76936517497855</v>
      </c>
      <c r="L11" s="208">
        <v>28.953385557981569</v>
      </c>
      <c r="M11" s="208">
        <v>29.39373405921814</v>
      </c>
      <c r="N11" s="208">
        <v>29.205205955190831</v>
      </c>
      <c r="O11" s="208">
        <v>28.61014353230275</v>
      </c>
      <c r="P11" s="208">
        <v>28.296130693865489</v>
      </c>
      <c r="Q11" s="208">
        <v>28.072607562511859</v>
      </c>
      <c r="R11" s="208">
        <v>27.751271791884871</v>
      </c>
      <c r="S11" s="208">
        <v>27.093908384790801</v>
      </c>
      <c r="T11" s="208">
        <v>26.251028193907061</v>
      </c>
      <c r="U11" s="208">
        <v>25.29033402924231</v>
      </c>
      <c r="V11" s="208">
        <v>24.132200870712971</v>
      </c>
      <c r="W11" s="208">
        <v>22.435927412605</v>
      </c>
      <c r="X11" s="208">
        <v>21.681778046368901</v>
      </c>
      <c r="Y11" s="208">
        <v>20.671505931639089</v>
      </c>
      <c r="Z11" s="208">
        <v>19.849952979125788</v>
      </c>
      <c r="AA11" s="208">
        <v>20.000804683741141</v>
      </c>
      <c r="AC11" s="210">
        <f ca="1">OFFSET(C11,0,[1]Matrix!$C$2-2000)/$AC$2</f>
        <v>5.5138758275349415</v>
      </c>
      <c r="AD11" t="str">
        <f t="shared" si="0"/>
        <v>TWh</v>
      </c>
    </row>
    <row r="12" spans="1:30" ht="15">
      <c r="A12" s="244"/>
      <c r="B12" s="206" t="s">
        <v>685</v>
      </c>
      <c r="C12" s="207">
        <v>19.115341801946741</v>
      </c>
      <c r="D12" s="208">
        <v>19.648603141893531</v>
      </c>
      <c r="E12" s="208">
        <v>19.33775136077201</v>
      </c>
      <c r="F12" s="208">
        <v>20.581571109915739</v>
      </c>
      <c r="G12" s="208">
        <v>20.204600004146801</v>
      </c>
      <c r="H12" s="208">
        <v>20.56096992569752</v>
      </c>
      <c r="I12" s="208">
        <v>20.816643206458441</v>
      </c>
      <c r="J12" s="208">
        <v>20.117745875456059</v>
      </c>
      <c r="K12" s="208">
        <v>20.900731517250581</v>
      </c>
      <c r="L12" s="208">
        <v>21.315708676724839</v>
      </c>
      <c r="M12" s="208">
        <v>22.296895716702831</v>
      </c>
      <c r="N12" s="208">
        <v>21.138468080562749</v>
      </c>
      <c r="O12" s="208">
        <v>21.709428188172989</v>
      </c>
      <c r="P12" s="208">
        <v>22.341442881129499</v>
      </c>
      <c r="Q12" s="208">
        <v>20.54842541350008</v>
      </c>
      <c r="R12" s="208">
        <v>21.978747199473801</v>
      </c>
      <c r="S12" s="208">
        <v>22.08412355491966</v>
      </c>
      <c r="T12" s="208">
        <v>22.19521223359401</v>
      </c>
      <c r="U12" s="208">
        <v>22.04895036560935</v>
      </c>
      <c r="V12" s="208">
        <v>22.17453921489901</v>
      </c>
      <c r="W12" s="208">
        <v>21.537910724822378</v>
      </c>
      <c r="X12" s="208">
        <v>22.021859386177681</v>
      </c>
      <c r="Y12" s="208">
        <v>21.640057158836669</v>
      </c>
      <c r="Z12" s="208">
        <v>22.082709638895679</v>
      </c>
      <c r="AA12" s="208">
        <v>22.127453674864</v>
      </c>
      <c r="AC12" s="210">
        <f ca="1">OFFSET(C12,0,[1]Matrix!$C$2-2000)/$AC$2</f>
        <v>6.1340860108043547</v>
      </c>
      <c r="AD12" t="str">
        <f t="shared" si="0"/>
        <v>TWh</v>
      </c>
    </row>
    <row r="13" spans="1:30" ht="15">
      <c r="A13" s="244"/>
      <c r="B13" s="206" t="s">
        <v>686</v>
      </c>
      <c r="C13" s="207">
        <v>11.88945852734671</v>
      </c>
      <c r="D13" s="208">
        <v>12.43556549971451</v>
      </c>
      <c r="E13" s="208">
        <v>12.80361568650097</v>
      </c>
      <c r="F13" s="208">
        <v>13.11707868251972</v>
      </c>
      <c r="G13" s="208">
        <v>13.45990539949962</v>
      </c>
      <c r="H13" s="208">
        <v>13.870163147165631</v>
      </c>
      <c r="I13" s="208">
        <v>14.469083499768219</v>
      </c>
      <c r="J13" s="208">
        <v>15.314860031592691</v>
      </c>
      <c r="K13" s="208">
        <v>16.19593098568426</v>
      </c>
      <c r="L13" s="208">
        <v>16.632691758423221</v>
      </c>
      <c r="M13" s="208">
        <v>17.030189763307849</v>
      </c>
      <c r="N13" s="208">
        <v>16.93105985676652</v>
      </c>
      <c r="O13" s="208">
        <v>16.875601790254699</v>
      </c>
      <c r="P13" s="208">
        <v>16.71414252621533</v>
      </c>
      <c r="Q13" s="208">
        <v>16.573890549551269</v>
      </c>
      <c r="R13" s="208">
        <v>16.51189976745535</v>
      </c>
      <c r="S13" s="208">
        <v>16.16955887677933</v>
      </c>
      <c r="T13" s="208">
        <v>15.873361843718961</v>
      </c>
      <c r="U13" s="208">
        <v>15.72563411778955</v>
      </c>
      <c r="V13" s="208">
        <v>15.653620147770051</v>
      </c>
      <c r="W13" s="208">
        <v>15.738583869821531</v>
      </c>
      <c r="X13" s="208">
        <v>15.732326965112041</v>
      </c>
      <c r="Y13" s="208">
        <v>15.716979263715951</v>
      </c>
      <c r="Z13" s="208">
        <v>15.60459804864761</v>
      </c>
      <c r="AA13" s="208">
        <v>16.770460487277969</v>
      </c>
      <c r="AC13" s="210">
        <f ca="1">OFFSET(C13,0,[1]Matrix!$C$2-2000)/$AC$2</f>
        <v>4.3346105690687802</v>
      </c>
      <c r="AD13" t="str">
        <f t="shared" si="0"/>
        <v>TWh</v>
      </c>
    </row>
    <row r="14" spans="1:30" ht="15">
      <c r="A14" s="244"/>
      <c r="B14" s="206" t="s">
        <v>687</v>
      </c>
      <c r="C14" s="207">
        <v>65.176795051781738</v>
      </c>
      <c r="D14" s="208">
        <v>65.109215791516206</v>
      </c>
      <c r="E14" s="208">
        <v>64.17821787175518</v>
      </c>
      <c r="F14" s="208">
        <v>64.144540798463467</v>
      </c>
      <c r="G14" s="208">
        <v>65.14728744544567</v>
      </c>
      <c r="H14" s="208">
        <v>65.879168471683442</v>
      </c>
      <c r="I14" s="208">
        <v>66.841396154586477</v>
      </c>
      <c r="J14" s="208">
        <v>69.078514618682433</v>
      </c>
      <c r="K14" s="208">
        <v>70.30914129369333</v>
      </c>
      <c r="L14" s="208">
        <v>66.875343912252518</v>
      </c>
      <c r="M14" s="208">
        <v>68.976509943763773</v>
      </c>
      <c r="N14" s="208">
        <v>69.121802406565223</v>
      </c>
      <c r="O14" s="208">
        <v>68.593788225144408</v>
      </c>
      <c r="P14" s="208">
        <v>67.820223244973008</v>
      </c>
      <c r="Q14" s="208">
        <v>67.359999686614998</v>
      </c>
      <c r="R14" s="208">
        <v>66.320869025553662</v>
      </c>
      <c r="S14" s="208">
        <v>65.493082918778072</v>
      </c>
      <c r="T14" s="208">
        <v>65.283609093842784</v>
      </c>
      <c r="U14" s="208">
        <v>65.428948129993159</v>
      </c>
      <c r="V14" s="208">
        <v>64.930517376835112</v>
      </c>
      <c r="W14" s="208">
        <v>62.629462168687247</v>
      </c>
      <c r="X14" s="208">
        <v>64.148406273797249</v>
      </c>
      <c r="Y14" s="208">
        <v>63.905673630840603</v>
      </c>
      <c r="Z14" s="208">
        <v>61.806190797370007</v>
      </c>
      <c r="AA14" s="208">
        <v>61.651638980868597</v>
      </c>
      <c r="AC14" s="210">
        <f ca="1">OFFSET(C14,0,[1]Matrix!$C$2-2000)/$AC$2</f>
        <v>17.168386332602779</v>
      </c>
      <c r="AD14" t="str">
        <f t="shared" si="0"/>
        <v>TWh</v>
      </c>
    </row>
    <row r="15" spans="1:30" ht="15">
      <c r="A15" s="244"/>
      <c r="B15" s="206" t="s">
        <v>688</v>
      </c>
      <c r="C15" s="207">
        <v>225.43325821123301</v>
      </c>
      <c r="D15" s="208">
        <v>226.44379632997081</v>
      </c>
      <c r="E15" s="208">
        <v>227.35911637241861</v>
      </c>
      <c r="F15" s="208">
        <v>228.3571374791124</v>
      </c>
      <c r="G15" s="208">
        <v>228.84346537412449</v>
      </c>
      <c r="H15" s="208">
        <v>228.54839164898209</v>
      </c>
      <c r="I15" s="208">
        <v>229.08857715838951</v>
      </c>
      <c r="J15" s="208">
        <v>230.20198442746181</v>
      </c>
      <c r="K15" s="208">
        <v>232.24882307042941</v>
      </c>
      <c r="L15" s="208">
        <v>233.93438401852549</v>
      </c>
      <c r="M15" s="208">
        <v>235.64082826930041</v>
      </c>
      <c r="N15" s="208">
        <v>235.09003476613589</v>
      </c>
      <c r="O15" s="208">
        <v>235.0192704145916</v>
      </c>
      <c r="P15" s="208">
        <v>235.62680403807681</v>
      </c>
      <c r="Q15" s="208">
        <v>235.78534843829439</v>
      </c>
      <c r="R15" s="208">
        <v>236.21565990329671</v>
      </c>
      <c r="S15" s="208">
        <v>237.47111853289019</v>
      </c>
      <c r="T15" s="208">
        <v>232.5260760318684</v>
      </c>
      <c r="U15" s="208">
        <v>231.54823480155571</v>
      </c>
      <c r="V15" s="208">
        <v>231.12789804370951</v>
      </c>
      <c r="W15" s="208">
        <v>211.65153478430469</v>
      </c>
      <c r="X15" s="208">
        <v>219.2393951420583</v>
      </c>
      <c r="Y15" s="208">
        <v>223.6801904432983</v>
      </c>
      <c r="Z15" s="208">
        <v>222.75690235137171</v>
      </c>
      <c r="AA15" s="208">
        <v>220.93662567598821</v>
      </c>
      <c r="AC15" s="210">
        <f ca="1">OFFSET(C15,0,[1]Matrix!$C$2-2000)/$AC$2</f>
        <v>61.876917319825473</v>
      </c>
      <c r="AD15" t="str">
        <f t="shared" si="0"/>
        <v>TWh</v>
      </c>
    </row>
    <row r="16" spans="1:30" ht="15.5" thickBot="1">
      <c r="A16" s="244"/>
      <c r="B16" s="211" t="s">
        <v>689</v>
      </c>
      <c r="C16" s="212">
        <v>14.321243996464821</v>
      </c>
      <c r="D16" s="213">
        <v>14.809466421961019</v>
      </c>
      <c r="E16" s="213">
        <v>15.16906809020043</v>
      </c>
      <c r="F16" s="213">
        <v>15.891390663221941</v>
      </c>
      <c r="G16" s="213">
        <v>16.30013578386475</v>
      </c>
      <c r="H16" s="213">
        <v>16.934942359269971</v>
      </c>
      <c r="I16" s="213">
        <v>15.249516147377969</v>
      </c>
      <c r="J16" s="213">
        <v>14.77438716746207</v>
      </c>
      <c r="K16" s="213">
        <v>15.04909139597485</v>
      </c>
      <c r="L16" s="213">
        <v>14.860648790811981</v>
      </c>
      <c r="M16" s="213">
        <v>15.547758481328231</v>
      </c>
      <c r="N16" s="213">
        <v>15.83378513922962</v>
      </c>
      <c r="O16" s="213">
        <v>15.95445554713654</v>
      </c>
      <c r="P16" s="213">
        <v>15.85477730464123</v>
      </c>
      <c r="Q16" s="213">
        <v>15.94790694744751</v>
      </c>
      <c r="R16" s="213">
        <v>16.032007907051081</v>
      </c>
      <c r="S16" s="213">
        <v>16.230305731848109</v>
      </c>
      <c r="T16" s="213">
        <v>16.285687918246289</v>
      </c>
      <c r="U16" s="213">
        <v>16.695148521744549</v>
      </c>
      <c r="V16" s="213">
        <v>16.785390981564021</v>
      </c>
      <c r="W16" s="213">
        <v>16.510823917774669</v>
      </c>
      <c r="X16" s="213">
        <v>16.82911862667261</v>
      </c>
      <c r="Y16" s="213">
        <v>17.016967299495882</v>
      </c>
      <c r="Z16" s="213">
        <v>16.92809201694519</v>
      </c>
      <c r="AA16" s="213">
        <v>16.049804205051679</v>
      </c>
      <c r="AC16" s="215">
        <f ca="1">OFFSET(C16,0,[1]Matrix!$C$2-2000)/$AC$2</f>
        <v>4.7022477824847746</v>
      </c>
      <c r="AD16" t="str">
        <f t="shared" si="0"/>
        <v>TWh</v>
      </c>
    </row>
    <row r="17" spans="1:30" ht="15.5" thickBot="1">
      <c r="A17" s="244"/>
      <c r="B17" s="216" t="s">
        <v>690</v>
      </c>
      <c r="C17" s="217">
        <v>783.87864475711001</v>
      </c>
      <c r="D17" s="218">
        <v>808.64579821288271</v>
      </c>
      <c r="E17" s="218">
        <v>780.57001104360154</v>
      </c>
      <c r="F17" s="218">
        <v>808.01453193477187</v>
      </c>
      <c r="G17" s="218">
        <v>804.97006662405795</v>
      </c>
      <c r="H17" s="218">
        <v>817.4675937498854</v>
      </c>
      <c r="I17" s="218">
        <v>809.08277983182336</v>
      </c>
      <c r="J17" s="218">
        <v>778.55660907178662</v>
      </c>
      <c r="K17" s="218">
        <v>809.28498188128572</v>
      </c>
      <c r="L17" s="218">
        <v>792.62914291334653</v>
      </c>
      <c r="M17" s="218">
        <v>837.59640336766643</v>
      </c>
      <c r="N17" s="218">
        <v>766.32749159121647</v>
      </c>
      <c r="O17" s="218">
        <v>797.48966619626447</v>
      </c>
      <c r="P17" s="218">
        <v>823.94273233526781</v>
      </c>
      <c r="Q17" s="218">
        <v>744.17381689782417</v>
      </c>
      <c r="R17" s="218">
        <v>766.49372613826381</v>
      </c>
      <c r="S17" s="218">
        <v>783.84513373181289</v>
      </c>
      <c r="T17" s="218">
        <v>767.37779347408866</v>
      </c>
      <c r="U17" s="218">
        <v>744.07302056864103</v>
      </c>
      <c r="V17" s="218">
        <v>745.40539826867223</v>
      </c>
      <c r="W17" s="218">
        <v>702.14987001794236</v>
      </c>
      <c r="X17" s="218">
        <v>753.39970276627901</v>
      </c>
      <c r="Y17" s="218">
        <v>703.45922183376774</v>
      </c>
      <c r="Z17" s="218">
        <v>700.1231234993835</v>
      </c>
      <c r="AA17" s="218">
        <v>701.4</v>
      </c>
      <c r="AC17" s="220">
        <f ca="1">OFFSET(C17,0,[1]Matrix!$C$2-2000)/$AC$2</f>
        <v>194.4786454164954</v>
      </c>
      <c r="AD17" t="str">
        <f t="shared" si="0"/>
        <v>TWh</v>
      </c>
    </row>
    <row r="18" spans="1:30" ht="15">
      <c r="A18" s="244"/>
      <c r="B18" s="206" t="s">
        <v>691</v>
      </c>
      <c r="C18" s="207">
        <v>16.103935557916941</v>
      </c>
      <c r="D18" s="208">
        <v>9.8508335519246835</v>
      </c>
      <c r="E18" s="208">
        <v>10.330949684866511</v>
      </c>
      <c r="F18" s="208">
        <v>13.708517435768201</v>
      </c>
      <c r="G18" s="208">
        <v>14.69480951379721</v>
      </c>
      <c r="H18" s="208">
        <v>15.20574265320775</v>
      </c>
      <c r="I18" s="208">
        <v>16.249187660043901</v>
      </c>
      <c r="J18" s="208">
        <v>20.214787020014651</v>
      </c>
      <c r="K18" s="208">
        <v>19.098495083396109</v>
      </c>
      <c r="L18" s="208">
        <v>17.563770071635421</v>
      </c>
      <c r="M18" s="208">
        <v>14.575992190396009</v>
      </c>
      <c r="N18" s="208">
        <v>11.905002679826151</v>
      </c>
      <c r="O18" s="208">
        <v>11.884343873594879</v>
      </c>
      <c r="P18" s="208">
        <v>13.112617600293859</v>
      </c>
      <c r="Q18" s="208">
        <v>12.2777861214593</v>
      </c>
      <c r="R18" s="208">
        <v>3.9388062380758249</v>
      </c>
      <c r="S18" s="208">
        <v>3.6638750185761042</v>
      </c>
      <c r="T18" s="208">
        <v>3.6503978759189399</v>
      </c>
      <c r="U18" s="208">
        <v>3.650053932985843</v>
      </c>
      <c r="V18" s="208">
        <v>3.581323828272355</v>
      </c>
      <c r="W18" s="208">
        <v>2.8981204363684232</v>
      </c>
      <c r="X18" s="208">
        <v>3.239722266373573</v>
      </c>
      <c r="Y18" s="208">
        <v>-2.2719991267179922</v>
      </c>
      <c r="Z18" s="208">
        <v>-2.030560501890851</v>
      </c>
      <c r="AA18" s="208">
        <v>-1.9079999999999999</v>
      </c>
      <c r="AC18" s="210">
        <f ca="1">OFFSET(C18,0,[1]Matrix!$C$2-2000)/$AC$2</f>
        <v>-0.5640445838585697</v>
      </c>
      <c r="AD18" t="str">
        <f t="shared" si="0"/>
        <v>TWh</v>
      </c>
    </row>
    <row r="19" spans="1:30" ht="15.5" thickBot="1">
      <c r="A19" s="244"/>
      <c r="B19" s="211" t="s">
        <v>692</v>
      </c>
      <c r="C19" s="212">
        <v>63.725999999999978</v>
      </c>
      <c r="D19" s="213">
        <v>60.08121613246994</v>
      </c>
      <c r="E19" s="213">
        <v>55.543759743999942</v>
      </c>
      <c r="F19" s="213">
        <v>49.876295291025002</v>
      </c>
      <c r="G19" s="213">
        <v>46.986902798400003</v>
      </c>
      <c r="H19" s="213">
        <v>47.774999999999999</v>
      </c>
      <c r="I19" s="213">
        <v>50.232960705814982</v>
      </c>
      <c r="J19" s="213">
        <v>53.692337476642322</v>
      </c>
      <c r="K19" s="213">
        <v>58.023333134531903</v>
      </c>
      <c r="L19" s="213">
        <v>55.426115666133242</v>
      </c>
      <c r="M19" s="213">
        <v>58.333845351208659</v>
      </c>
      <c r="N19" s="213">
        <v>62.460999999999991</v>
      </c>
      <c r="O19" s="213">
        <v>63.903393344235667</v>
      </c>
      <c r="P19" s="213">
        <v>64.709217854733311</v>
      </c>
      <c r="Q19" s="213">
        <v>65.005934400000001</v>
      </c>
      <c r="R19" s="213">
        <v>67.333186146648785</v>
      </c>
      <c r="S19" s="213">
        <v>70.602530542076451</v>
      </c>
      <c r="T19" s="213">
        <v>72.823626141045082</v>
      </c>
      <c r="U19" s="213">
        <v>77.213772828316394</v>
      </c>
      <c r="V19" s="213">
        <v>78.196170522173119</v>
      </c>
      <c r="W19" s="213">
        <v>28.17015369921095</v>
      </c>
      <c r="X19" s="213">
        <v>31.872348443146649</v>
      </c>
      <c r="Y19" s="213">
        <v>57.579003214475357</v>
      </c>
      <c r="Z19" s="213">
        <v>68.498812525070633</v>
      </c>
      <c r="AA19" s="213">
        <v>75.16656389357199</v>
      </c>
      <c r="AC19" s="215">
        <f ca="1">OFFSET(C19,0,[1]Matrix!$C$2-2000)/$AC$2</f>
        <v>19.027447923630731</v>
      </c>
      <c r="AD19" t="str">
        <f t="shared" si="0"/>
        <v>TWh</v>
      </c>
    </row>
    <row r="20" spans="1:30" ht="15.5" thickBot="1">
      <c r="A20" s="244"/>
      <c r="B20" s="221" t="s">
        <v>693</v>
      </c>
      <c r="C20" s="222">
        <v>863.70858031502689</v>
      </c>
      <c r="D20" s="223">
        <v>878.57784789727737</v>
      </c>
      <c r="E20" s="223">
        <v>846.44472047246791</v>
      </c>
      <c r="F20" s="223">
        <v>871.59934466156506</v>
      </c>
      <c r="G20" s="223">
        <v>866.65177893625514</v>
      </c>
      <c r="H20" s="223">
        <v>880.44833640309309</v>
      </c>
      <c r="I20" s="223">
        <v>875.56492819768232</v>
      </c>
      <c r="J20" s="223">
        <v>852.46373356844367</v>
      </c>
      <c r="K20" s="223">
        <v>886.40681009921366</v>
      </c>
      <c r="L20" s="223">
        <v>865.61902865111517</v>
      </c>
      <c r="M20" s="223">
        <v>910.50624090927113</v>
      </c>
      <c r="N20" s="223">
        <v>840.6934942710426</v>
      </c>
      <c r="O20" s="223">
        <v>873.27740341409503</v>
      </c>
      <c r="P20" s="223">
        <v>901.76456779029502</v>
      </c>
      <c r="Q20" s="223">
        <v>821.45753741928343</v>
      </c>
      <c r="R20" s="223">
        <v>837.76571852298844</v>
      </c>
      <c r="S20" s="223">
        <v>858.11153929246541</v>
      </c>
      <c r="T20" s="223">
        <v>843.85181749105266</v>
      </c>
      <c r="U20" s="223">
        <v>824.93684732994325</v>
      </c>
      <c r="V20" s="223">
        <v>827.18289261911775</v>
      </c>
      <c r="W20" s="223">
        <v>733.21814415352173</v>
      </c>
      <c r="X20" s="223">
        <v>788.51177347579915</v>
      </c>
      <c r="Y20" s="223">
        <v>758.76622592152512</v>
      </c>
      <c r="Z20" s="223">
        <v>766.59137552256334</v>
      </c>
      <c r="AA20" s="223">
        <v>774.61513101830064</v>
      </c>
      <c r="AC20" s="220">
        <f ca="1">OFFSET(C20,0,[1]Matrix!$C$2-2000)/$AC$2</f>
        <v>212.94204875626758</v>
      </c>
      <c r="AD20" t="str">
        <f t="shared" si="0"/>
        <v>TWh</v>
      </c>
    </row>
    <row r="23" spans="1:30">
      <c r="B23" s="244" t="s">
        <v>835</v>
      </c>
      <c r="C23" s="250">
        <f>C31+C108+C167+C185</f>
        <v>47.499926512523473</v>
      </c>
      <c r="D23" s="250">
        <f t="shared" ref="D23:AB23" si="1">D31+D108+D167+D185</f>
        <v>48.506499127363028</v>
      </c>
      <c r="E23" s="250">
        <f t="shared" si="1"/>
        <v>47.11576637547482</v>
      </c>
      <c r="F23" s="250">
        <f t="shared" si="1"/>
        <v>48.135083244765895</v>
      </c>
      <c r="G23" s="250">
        <f t="shared" si="1"/>
        <v>48.455150903089539</v>
      </c>
      <c r="H23" s="250">
        <f t="shared" si="1"/>
        <v>49.454958786206852</v>
      </c>
      <c r="I23" s="250">
        <f t="shared" si="1"/>
        <v>49.700524948582149</v>
      </c>
      <c r="J23" s="250">
        <f t="shared" si="1"/>
        <v>49.199962536345446</v>
      </c>
      <c r="K23" s="250">
        <f t="shared" si="1"/>
        <v>50.981951720698092</v>
      </c>
      <c r="L23" s="250">
        <f t="shared" si="1"/>
        <v>49.327055823777592</v>
      </c>
      <c r="M23" s="250">
        <f t="shared" si="1"/>
        <v>52.151791401571771</v>
      </c>
      <c r="N23" s="250">
        <f t="shared" si="1"/>
        <v>49.598278829051289</v>
      </c>
      <c r="O23" s="250">
        <f t="shared" si="1"/>
        <v>51.061756340821375</v>
      </c>
      <c r="P23" s="250">
        <f t="shared" si="1"/>
        <v>52.179408635213086</v>
      </c>
      <c r="Q23" s="250">
        <f t="shared" si="1"/>
        <v>49.043140266624995</v>
      </c>
      <c r="R23" s="250">
        <f t="shared" si="1"/>
        <v>49.430698569795638</v>
      </c>
      <c r="S23" s="250">
        <f t="shared" si="1"/>
        <v>50.47901517926276</v>
      </c>
      <c r="T23" s="250">
        <f t="shared" si="1"/>
        <v>49.946592127142878</v>
      </c>
      <c r="U23" s="250">
        <f t="shared" si="1"/>
        <v>49.850036365309329</v>
      </c>
      <c r="V23" s="250">
        <f t="shared" si="1"/>
        <v>50.158610580287615</v>
      </c>
      <c r="W23" s="250">
        <f t="shared" si="1"/>
        <v>48.779464126579505</v>
      </c>
      <c r="X23" s="250">
        <f t="shared" si="1"/>
        <v>50.76118503354634</v>
      </c>
      <c r="Y23" s="250">
        <f t="shared" si="1"/>
        <v>49.120653902291352</v>
      </c>
      <c r="Z23" s="250">
        <f t="shared" si="1"/>
        <v>48.449239458381804</v>
      </c>
      <c r="AA23" s="250">
        <f t="shared" si="1"/>
        <v>36.237017304698938</v>
      </c>
      <c r="AB23" s="250">
        <f t="shared" si="1"/>
        <v>0</v>
      </c>
    </row>
    <row r="25" spans="1:30" ht="15.5">
      <c r="B25" s="198" t="s">
        <v>694</v>
      </c>
      <c r="C25" s="199"/>
      <c r="D25" s="199"/>
      <c r="E25" s="199"/>
      <c r="F25" s="199"/>
      <c r="G25" s="199"/>
      <c r="H25" s="199"/>
      <c r="I25" s="199"/>
      <c r="J25" s="199"/>
      <c r="K25" s="199"/>
      <c r="L25" s="199"/>
      <c r="M25" s="199"/>
      <c r="N25" s="199"/>
      <c r="O25" s="199"/>
      <c r="P25" s="199"/>
      <c r="Q25" s="199"/>
      <c r="R25" s="199"/>
      <c r="S25" s="199"/>
      <c r="T25" s="199"/>
      <c r="U25" s="199"/>
      <c r="V25" s="199"/>
      <c r="W25" s="199"/>
      <c r="X25" s="199"/>
      <c r="Y25" s="199"/>
      <c r="Z25" s="199"/>
      <c r="AA25" s="199"/>
    </row>
    <row r="26" spans="1:30">
      <c r="B26" s="200" t="s">
        <v>695</v>
      </c>
      <c r="C26" s="201"/>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1"/>
      <c r="AC26" s="202" t="s">
        <v>678</v>
      </c>
    </row>
    <row r="27" spans="1:30" ht="15.5" thickBot="1">
      <c r="B27" s="203" t="s">
        <v>696</v>
      </c>
      <c r="C27" s="204">
        <v>2000</v>
      </c>
      <c r="D27" s="204">
        <v>2001</v>
      </c>
      <c r="E27" s="204">
        <v>2002</v>
      </c>
      <c r="F27" s="204">
        <v>2003</v>
      </c>
      <c r="G27" s="204">
        <v>2004</v>
      </c>
      <c r="H27" s="204">
        <v>2005</v>
      </c>
      <c r="I27" s="204">
        <v>2006</v>
      </c>
      <c r="J27" s="204">
        <v>2007</v>
      </c>
      <c r="K27" s="204">
        <v>2008</v>
      </c>
      <c r="L27" s="204">
        <v>2009</v>
      </c>
      <c r="M27" s="204">
        <v>2010</v>
      </c>
      <c r="N27" s="204">
        <v>2011</v>
      </c>
      <c r="O27" s="204">
        <v>2012</v>
      </c>
      <c r="P27" s="204">
        <v>2013</v>
      </c>
      <c r="Q27" s="204">
        <v>2014</v>
      </c>
      <c r="R27" s="204">
        <v>2015</v>
      </c>
      <c r="S27" s="204">
        <v>2016</v>
      </c>
      <c r="T27" s="204">
        <v>2017</v>
      </c>
      <c r="U27" s="204">
        <v>2018</v>
      </c>
      <c r="V27" s="204">
        <v>2019</v>
      </c>
      <c r="W27" s="204">
        <v>2020</v>
      </c>
      <c r="X27" s="204">
        <v>2021</v>
      </c>
      <c r="Y27" s="204">
        <v>2022</v>
      </c>
      <c r="Z27" s="204">
        <v>2023</v>
      </c>
      <c r="AA27" s="204" t="s">
        <v>697</v>
      </c>
      <c r="AC27" s="205">
        <f ca="1">OFFSET(C27,0,[1]Matrix!$C$2-2000)</f>
        <v>2023</v>
      </c>
    </row>
    <row r="28" spans="1:30" ht="15">
      <c r="B28" s="206" t="s">
        <v>681</v>
      </c>
      <c r="C28" s="207">
        <v>261.57415229828212</v>
      </c>
      <c r="D28" s="208">
        <v>285.23578558868678</v>
      </c>
      <c r="E28" s="208">
        <v>262.02960130849152</v>
      </c>
      <c r="F28" s="208">
        <v>285.53209925027949</v>
      </c>
      <c r="G28" s="208">
        <v>279.74333296151889</v>
      </c>
      <c r="H28" s="208">
        <v>289.01342811271297</v>
      </c>
      <c r="I28" s="208">
        <v>279.72206846595469</v>
      </c>
      <c r="J28" s="208">
        <v>244.4868411588628</v>
      </c>
      <c r="K28" s="208">
        <v>271.44678109817039</v>
      </c>
      <c r="L28" s="208">
        <v>266.38921609093711</v>
      </c>
      <c r="M28" s="208">
        <v>300.52120622615962</v>
      </c>
      <c r="N28" s="208">
        <v>231.56621529862949</v>
      </c>
      <c r="O28" s="208">
        <v>262.68933071512862</v>
      </c>
      <c r="P28" s="208">
        <v>290.25599318841608</v>
      </c>
      <c r="Q28" s="208">
        <v>215.65257306580349</v>
      </c>
      <c r="R28" s="208">
        <v>240.2187923531811</v>
      </c>
      <c r="S28" s="208">
        <v>257.38775291235169</v>
      </c>
      <c r="T28" s="208">
        <v>247.89035435806721</v>
      </c>
      <c r="U28" s="208">
        <v>225.33854209803081</v>
      </c>
      <c r="V28" s="208">
        <v>229.23577270490119</v>
      </c>
      <c r="W28" s="208">
        <v>213.13807301221681</v>
      </c>
      <c r="X28" s="208">
        <v>252.75385649374579</v>
      </c>
      <c r="Y28" s="208">
        <v>200.32618957305431</v>
      </c>
      <c r="Z28" s="208">
        <v>206.33516825722049</v>
      </c>
      <c r="AA28" s="209">
        <v>-0.21117906167605849</v>
      </c>
      <c r="AC28" s="210">
        <f ca="1">OFFSET(C28,0,[1]Matrix!$C$2-2000)/$AC$2</f>
        <v>57.315324515894581</v>
      </c>
    </row>
    <row r="29" spans="1:30" ht="15">
      <c r="B29" s="206" t="s">
        <v>682</v>
      </c>
      <c r="C29" s="207">
        <v>49.519623463805921</v>
      </c>
      <c r="D29" s="208">
        <v>49.190980721296377</v>
      </c>
      <c r="E29" s="208">
        <v>49.30735548769691</v>
      </c>
      <c r="F29" s="208">
        <v>49.316050504744481</v>
      </c>
      <c r="G29" s="208">
        <v>49.173939592058282</v>
      </c>
      <c r="H29" s="208">
        <v>49.010644448571597</v>
      </c>
      <c r="I29" s="208">
        <v>49.110469100504808</v>
      </c>
      <c r="J29" s="208">
        <v>49.153009294419107</v>
      </c>
      <c r="K29" s="208">
        <v>49.074809922619693</v>
      </c>
      <c r="L29" s="208">
        <v>49.173529198866447</v>
      </c>
      <c r="M29" s="208">
        <v>48.953580940286876</v>
      </c>
      <c r="N29" s="208">
        <v>48.680369629720722</v>
      </c>
      <c r="O29" s="208">
        <v>48.346213637925267</v>
      </c>
      <c r="P29" s="208">
        <v>48.155376964731552</v>
      </c>
      <c r="Q29" s="208">
        <v>47.835744393228047</v>
      </c>
      <c r="R29" s="208">
        <v>47.551382322056583</v>
      </c>
      <c r="S29" s="208">
        <v>47.203255124197689</v>
      </c>
      <c r="T29" s="208">
        <v>46.735937568193457</v>
      </c>
      <c r="U29" s="208">
        <v>46.529411570859303</v>
      </c>
      <c r="V29" s="208">
        <v>46.506024205781493</v>
      </c>
      <c r="W29" s="208">
        <v>47.736297502858193</v>
      </c>
      <c r="X29" s="208">
        <v>46.503808332326933</v>
      </c>
      <c r="Y29" s="208">
        <v>46.075397608947483</v>
      </c>
      <c r="Z29" s="208">
        <v>45.128233563737439</v>
      </c>
      <c r="AA29" s="209">
        <v>-8.8679791825924642E-2</v>
      </c>
      <c r="AC29" s="210">
        <f ca="1">OFFSET(C29,0,[1]Matrix!$C$2-2000)/$AC$2</f>
        <v>12.535620434371511</v>
      </c>
    </row>
    <row r="30" spans="1:30" ht="15">
      <c r="B30" s="206" t="s">
        <v>683</v>
      </c>
      <c r="C30" s="207">
        <v>107.76082825309329</v>
      </c>
      <c r="D30" s="208">
        <v>106.2133808252681</v>
      </c>
      <c r="E30" s="208">
        <v>101.0263148698369</v>
      </c>
      <c r="F30" s="208">
        <v>101.20231080309109</v>
      </c>
      <c r="G30" s="208">
        <v>102.1521563860026</v>
      </c>
      <c r="H30" s="208">
        <v>103.7696138506563</v>
      </c>
      <c r="I30" s="208">
        <v>103.6903999376208</v>
      </c>
      <c r="J30" s="208">
        <v>105.316621833594</v>
      </c>
      <c r="K30" s="208">
        <v>104.0829882237562</v>
      </c>
      <c r="L30" s="208">
        <v>93.325716238574017</v>
      </c>
      <c r="M30" s="208">
        <v>97.949541910872995</v>
      </c>
      <c r="N30" s="208">
        <v>97.737923628642193</v>
      </c>
      <c r="O30" s="208">
        <v>98.563311555488497</v>
      </c>
      <c r="P30" s="208">
        <v>97.679682534932354</v>
      </c>
      <c r="Q30" s="208">
        <v>95.490125731437104</v>
      </c>
      <c r="R30" s="208">
        <v>92.926824547601768</v>
      </c>
      <c r="S30" s="208">
        <v>93.68796672822981</v>
      </c>
      <c r="T30" s="208">
        <v>93.383068671141189</v>
      </c>
      <c r="U30" s="208">
        <v>94.608807589637067</v>
      </c>
      <c r="V30" s="208">
        <v>93.99117328528925</v>
      </c>
      <c r="W30" s="208">
        <v>89.989984999355798</v>
      </c>
      <c r="X30" s="208">
        <v>93.590423469612446</v>
      </c>
      <c r="Y30" s="208">
        <v>93.710439345751212</v>
      </c>
      <c r="Z30" s="208">
        <v>88.874891309118595</v>
      </c>
      <c r="AA30" s="209">
        <v>-0.17525790447358211</v>
      </c>
      <c r="AC30" s="210">
        <f ca="1">OFFSET(C30,0,[1]Matrix!$C$2-2000)/$AC$2</f>
        <v>24.687469808088498</v>
      </c>
    </row>
    <row r="31" spans="1:30" ht="15">
      <c r="B31" s="206" t="s">
        <v>698</v>
      </c>
      <c r="C31" s="207">
        <v>10.38415936033075</v>
      </c>
      <c r="D31" s="208">
        <v>10.63076794482723</v>
      </c>
      <c r="E31" s="208">
        <v>10.8835027746698</v>
      </c>
      <c r="F31" s="208">
        <v>11.01395760401447</v>
      </c>
      <c r="G31" s="208">
        <v>11.26081991685172</v>
      </c>
      <c r="H31" s="208">
        <v>11.481949195385379</v>
      </c>
      <c r="I31" s="208">
        <v>11.79227532690097</v>
      </c>
      <c r="J31" s="208">
        <v>12.394641374586559</v>
      </c>
      <c r="K31" s="208">
        <v>12.94163030054535</v>
      </c>
      <c r="L31" s="208">
        <v>12.899132059466361</v>
      </c>
      <c r="M31" s="208">
        <v>13.205417656134641</v>
      </c>
      <c r="N31" s="208">
        <v>13.1394015378264</v>
      </c>
      <c r="O31" s="208">
        <v>12.919436692913351</v>
      </c>
      <c r="P31" s="208">
        <v>12.836266023405731</v>
      </c>
      <c r="Q31" s="208">
        <v>12.859572293980939</v>
      </c>
      <c r="R31" s="208">
        <v>12.679731130896171</v>
      </c>
      <c r="S31" s="208">
        <v>12.638403351928719</v>
      </c>
      <c r="T31" s="208">
        <v>12.469339763857709</v>
      </c>
      <c r="U31" s="208">
        <v>12.652492874985089</v>
      </c>
      <c r="V31" s="208">
        <v>12.70279661739907</v>
      </c>
      <c r="W31" s="208">
        <v>12.458826699594191</v>
      </c>
      <c r="X31" s="208">
        <v>12.487197696522021</v>
      </c>
      <c r="Y31" s="208">
        <v>12.706248144839799</v>
      </c>
      <c r="Z31" s="208">
        <v>12.56322801481987</v>
      </c>
      <c r="AA31" s="209">
        <v>0.20984545584051101</v>
      </c>
      <c r="AC31" s="210">
        <f ca="1">OFFSET(C31,0,[1]Matrix!$C$2-2000)/$AC$2</f>
        <v>3.4897855596721863</v>
      </c>
    </row>
    <row r="32" spans="1:30" ht="15.5" thickBot="1">
      <c r="B32" s="211" t="s">
        <v>699</v>
      </c>
      <c r="C32" s="212">
        <v>3.9965501821209131</v>
      </c>
      <c r="D32" s="213">
        <v>4.1366382692624271</v>
      </c>
      <c r="E32" s="213">
        <v>4.1179504827431259</v>
      </c>
      <c r="F32" s="213">
        <v>4.7581662291316356</v>
      </c>
      <c r="G32" s="213">
        <v>4.3281893725927088</v>
      </c>
      <c r="H32" s="213">
        <v>4.5102786107399986</v>
      </c>
      <c r="I32" s="213">
        <v>4.7551432099546744</v>
      </c>
      <c r="J32" s="213">
        <v>4.4987812598418957</v>
      </c>
      <c r="K32" s="213">
        <v>4.685321115611436</v>
      </c>
      <c r="L32" s="213">
        <v>4.948593650412267</v>
      </c>
      <c r="M32" s="213">
        <v>5.0369702260899496</v>
      </c>
      <c r="N32" s="213">
        <v>5.0423581171711476</v>
      </c>
      <c r="O32" s="213">
        <v>5.0560191354172428</v>
      </c>
      <c r="P32" s="213">
        <v>5.1471807517451218</v>
      </c>
      <c r="Q32" s="213">
        <v>4.6753264318289069</v>
      </c>
      <c r="R32" s="213">
        <v>5.6418474523016204</v>
      </c>
      <c r="S32" s="213">
        <v>5.2927736122726117</v>
      </c>
      <c r="T32" s="213">
        <v>5.6084277794501416</v>
      </c>
      <c r="U32" s="213">
        <v>5.737410208837769</v>
      </c>
      <c r="V32" s="213">
        <v>5.6865893155189431</v>
      </c>
      <c r="W32" s="213">
        <v>5.494541606730138</v>
      </c>
      <c r="X32" s="213">
        <v>5.0665707162481963</v>
      </c>
      <c r="Y32" s="213">
        <v>5.9426168541547657</v>
      </c>
      <c r="Z32" s="213">
        <v>6.0258678870287632</v>
      </c>
      <c r="AA32" s="214">
        <v>0.50776735244968707</v>
      </c>
      <c r="AC32" s="215">
        <f ca="1">OFFSET(C32,0,[1]Matrix!$C$2-2000)/$AC$2</f>
        <v>1.6738521908413231</v>
      </c>
    </row>
    <row r="33" spans="2:29" ht="15.5" thickBot="1">
      <c r="B33" s="221" t="s">
        <v>700</v>
      </c>
      <c r="C33" s="222">
        <v>433.23531355763299</v>
      </c>
      <c r="D33" s="223">
        <v>455.40755334934101</v>
      </c>
      <c r="E33" s="223">
        <v>427.36472492343819</v>
      </c>
      <c r="F33" s="223">
        <v>451.82258439126122</v>
      </c>
      <c r="G33" s="223">
        <v>446.65843822902423</v>
      </c>
      <c r="H33" s="223">
        <v>457.7859142180663</v>
      </c>
      <c r="I33" s="223">
        <v>449.07035604093602</v>
      </c>
      <c r="J33" s="223">
        <v>415.84989492130438</v>
      </c>
      <c r="K33" s="223">
        <v>442.23153066070307</v>
      </c>
      <c r="L33" s="223">
        <v>426.73618723825621</v>
      </c>
      <c r="M33" s="223">
        <v>465.66671695954409</v>
      </c>
      <c r="N33" s="223">
        <v>396.16626821198997</v>
      </c>
      <c r="O33" s="223">
        <v>427.57431173687303</v>
      </c>
      <c r="P33" s="223">
        <v>454.07449946323089</v>
      </c>
      <c r="Q33" s="223">
        <v>376.51334191627848</v>
      </c>
      <c r="R33" s="223">
        <v>399.01857780603729</v>
      </c>
      <c r="S33" s="223">
        <v>416.21015172898058</v>
      </c>
      <c r="T33" s="223">
        <v>406.08712814070958</v>
      </c>
      <c r="U33" s="223">
        <v>384.86666434235002</v>
      </c>
      <c r="V33" s="223">
        <v>388.12235612888998</v>
      </c>
      <c r="W33" s="223">
        <v>368.81772382075508</v>
      </c>
      <c r="X33" s="223">
        <v>410.40185670845528</v>
      </c>
      <c r="Y33" s="223">
        <v>358.76089152674751</v>
      </c>
      <c r="Z33" s="223">
        <v>358.92738903192509</v>
      </c>
      <c r="AA33" s="219">
        <v>-0.17151862325235581</v>
      </c>
      <c r="AC33" s="220">
        <f ca="1">OFFSET(C33,0,[1]Matrix!$C$2-2000)/$AC$2</f>
        <v>99.702052508868078</v>
      </c>
    </row>
    <row r="34" spans="2:29" ht="15">
      <c r="B34" s="206" t="s">
        <v>701</v>
      </c>
      <c r="C34" s="207">
        <v>204.93201016129191</v>
      </c>
      <c r="D34" s="208">
        <v>215.7012999543177</v>
      </c>
      <c r="E34" s="208">
        <v>199.24543015389759</v>
      </c>
      <c r="F34" s="208">
        <v>210.18603992871621</v>
      </c>
      <c r="G34" s="208">
        <v>202.51408832978419</v>
      </c>
      <c r="H34" s="208">
        <v>204.40261427944191</v>
      </c>
      <c r="I34" s="208">
        <v>194.50863686150981</v>
      </c>
      <c r="J34" s="208">
        <v>171.82512228400071</v>
      </c>
      <c r="K34" s="208">
        <v>181.6725985683388</v>
      </c>
      <c r="L34" s="208">
        <v>174.3940601166527</v>
      </c>
      <c r="M34" s="208">
        <v>187.49412874380519</v>
      </c>
      <c r="N34" s="208">
        <v>147.4974415792002</v>
      </c>
      <c r="O34" s="208">
        <v>158.79753349451289</v>
      </c>
      <c r="P34" s="208">
        <v>167.4422521567698</v>
      </c>
      <c r="Q34" s="208">
        <v>125.42342651800141</v>
      </c>
      <c r="R34" s="208">
        <v>133.02770063655831</v>
      </c>
      <c r="S34" s="208">
        <v>137.03334260785249</v>
      </c>
      <c r="T34" s="208">
        <v>126.8066956176783</v>
      </c>
      <c r="U34" s="208">
        <v>112.67069630479671</v>
      </c>
      <c r="V34" s="208">
        <v>108.6804333081585</v>
      </c>
      <c r="W34" s="208">
        <v>97.369250665828247</v>
      </c>
      <c r="X34" s="208">
        <v>106.1913071445919</v>
      </c>
      <c r="Y34" s="208">
        <v>85.123615292502791</v>
      </c>
      <c r="Z34" s="208">
        <v>82.348564558069555</v>
      </c>
      <c r="AA34" s="209">
        <v>-0.598166413859616</v>
      </c>
      <c r="AC34" s="210">
        <f ca="1">OFFSET(C34,0,[1]Matrix!$C$2-2000)/$AC$2</f>
        <v>22.87460126613043</v>
      </c>
    </row>
    <row r="35" spans="2:29" ht="15">
      <c r="B35" s="206" t="s">
        <v>702</v>
      </c>
      <c r="C35" s="207">
        <v>91.627687084222174</v>
      </c>
      <c r="D35" s="208">
        <v>96.437138554671904</v>
      </c>
      <c r="E35" s="208">
        <v>92.410325960436467</v>
      </c>
      <c r="F35" s="208">
        <v>99.816056883899378</v>
      </c>
      <c r="G35" s="208">
        <v>101.65931075030061</v>
      </c>
      <c r="H35" s="208">
        <v>106.270878879848</v>
      </c>
      <c r="I35" s="208">
        <v>105.5795917124296</v>
      </c>
      <c r="J35" s="208">
        <v>101.6525352930841</v>
      </c>
      <c r="K35" s="208">
        <v>110.0794890766602</v>
      </c>
      <c r="L35" s="208">
        <v>104.97321345694181</v>
      </c>
      <c r="M35" s="208">
        <v>118.1113638394454</v>
      </c>
      <c r="N35" s="208">
        <v>103.2322095054822</v>
      </c>
      <c r="O35" s="208">
        <v>113.0835232718007</v>
      </c>
      <c r="P35" s="208">
        <v>121.60599878729811</v>
      </c>
      <c r="Q35" s="208">
        <v>103.7895684347202</v>
      </c>
      <c r="R35" s="208">
        <v>111.19366276953031</v>
      </c>
      <c r="S35" s="208">
        <v>117.2141948455063</v>
      </c>
      <c r="T35" s="208">
        <v>116.6670161538626</v>
      </c>
      <c r="U35" s="208">
        <v>110.8941024285738</v>
      </c>
      <c r="V35" s="208">
        <v>112.6485902511314</v>
      </c>
      <c r="W35" s="208">
        <v>107.1417809109642</v>
      </c>
      <c r="X35" s="208">
        <v>118.73652901787661</v>
      </c>
      <c r="Y35" s="208">
        <v>100.57241591531771</v>
      </c>
      <c r="Z35" s="208">
        <v>94.466635011380291</v>
      </c>
      <c r="AA35" s="209">
        <v>3.098351620017013E-2</v>
      </c>
      <c r="AC35" s="210">
        <f ca="1">OFFSET(C35,0,[1]Matrix!$C$2-2000)/$AC$2</f>
        <v>26.240731947605635</v>
      </c>
    </row>
    <row r="36" spans="2:29" ht="15">
      <c r="B36" s="206" t="s">
        <v>161</v>
      </c>
      <c r="C36" s="207">
        <v>57.942212832892523</v>
      </c>
      <c r="D36" s="208">
        <v>59.527146966063569</v>
      </c>
      <c r="E36" s="208">
        <v>57.786282717931698</v>
      </c>
      <c r="F36" s="208">
        <v>59.983097604743833</v>
      </c>
      <c r="G36" s="208">
        <v>59.924788137332648</v>
      </c>
      <c r="H36" s="208">
        <v>61.444770173375609</v>
      </c>
      <c r="I36" s="208">
        <v>62.032539723351682</v>
      </c>
      <c r="J36" s="208">
        <v>60.779509167885791</v>
      </c>
      <c r="K36" s="208">
        <v>63.581282977821978</v>
      </c>
      <c r="L36" s="208">
        <v>62.365676974550723</v>
      </c>
      <c r="M36" s="208">
        <v>66.343134180400199</v>
      </c>
      <c r="N36" s="208">
        <v>62.438036256638817</v>
      </c>
      <c r="O36" s="208">
        <v>64.969025132163566</v>
      </c>
      <c r="P36" s="208">
        <v>67.388325976201273</v>
      </c>
      <c r="Q36" s="208">
        <v>61.976294545887463</v>
      </c>
      <c r="R36" s="208">
        <v>64.404671169256261</v>
      </c>
      <c r="S36" s="208">
        <v>66.01758374168098</v>
      </c>
      <c r="T36" s="208">
        <v>65.879659913352441</v>
      </c>
      <c r="U36" s="208">
        <v>65.640187732541619</v>
      </c>
      <c r="V36" s="208">
        <v>66.485495147341922</v>
      </c>
      <c r="W36" s="208">
        <v>64.970115310117563</v>
      </c>
      <c r="X36" s="208">
        <v>68.989474514541172</v>
      </c>
      <c r="Y36" s="208">
        <v>66.883578048741199</v>
      </c>
      <c r="Z36" s="208">
        <v>68.292361620537704</v>
      </c>
      <c r="AA36" s="209">
        <v>0.1786288144965294</v>
      </c>
      <c r="AC36" s="210">
        <f ca="1">OFFSET(C36,0,[1]Matrix!$C$2-2000)/$AC$2</f>
        <v>18.970100450149364</v>
      </c>
    </row>
    <row r="37" spans="2:29" ht="15">
      <c r="B37" s="206" t="s">
        <v>427</v>
      </c>
      <c r="C37" s="207">
        <v>30.30841494456876</v>
      </c>
      <c r="D37" s="208">
        <v>32.535693606828559</v>
      </c>
      <c r="E37" s="208">
        <v>30.450815868683911</v>
      </c>
      <c r="F37" s="208">
        <v>33.292715971364522</v>
      </c>
      <c r="G37" s="208">
        <v>32.854304643640113</v>
      </c>
      <c r="H37" s="208">
        <v>34.157404590670822</v>
      </c>
      <c r="I37" s="208">
        <v>34.013688716475841</v>
      </c>
      <c r="J37" s="208">
        <v>31.790999874753251</v>
      </c>
      <c r="K37" s="208">
        <v>35.549484198571697</v>
      </c>
      <c r="L37" s="208">
        <v>35.694693010317238</v>
      </c>
      <c r="M37" s="208">
        <v>40.523218861369699</v>
      </c>
      <c r="N37" s="208">
        <v>34.276347887276692</v>
      </c>
      <c r="O37" s="208">
        <v>38.846640001232757</v>
      </c>
      <c r="P37" s="208">
        <v>42.635973269101832</v>
      </c>
      <c r="Q37" s="208">
        <v>35.540662949026412</v>
      </c>
      <c r="R37" s="208">
        <v>38.069893166650701</v>
      </c>
      <c r="S37" s="208">
        <v>40.542357715434328</v>
      </c>
      <c r="T37" s="208">
        <v>40.198488303832157</v>
      </c>
      <c r="U37" s="208">
        <v>39.113673253269873</v>
      </c>
      <c r="V37" s="208">
        <v>41.133651689664653</v>
      </c>
      <c r="W37" s="208">
        <v>39.799572354902651</v>
      </c>
      <c r="X37" s="208">
        <v>48.132861680176497</v>
      </c>
      <c r="Y37" s="208">
        <v>40.925862045981788</v>
      </c>
      <c r="Z37" s="208">
        <v>43.210913432831923</v>
      </c>
      <c r="AA37" s="209">
        <v>0.42570680492069979</v>
      </c>
      <c r="AC37" s="210">
        <f ca="1">OFFSET(C37,0,[1]Matrix!$C$2-2000)/$AC$2</f>
        <v>12.003031509119978</v>
      </c>
    </row>
    <row r="38" spans="2:29" ht="15">
      <c r="B38" s="206" t="s">
        <v>83</v>
      </c>
      <c r="C38" s="207">
        <v>6.2769940603024272</v>
      </c>
      <c r="D38" s="208">
        <v>6.5689505458791428</v>
      </c>
      <c r="E38" s="208">
        <v>5.993382380374273</v>
      </c>
      <c r="F38" s="208">
        <v>5.7805789448941116</v>
      </c>
      <c r="G38" s="208">
        <v>5.2225140597645083</v>
      </c>
      <c r="H38" s="208">
        <v>6.2141577831554198</v>
      </c>
      <c r="I38" s="208">
        <v>6.1207159438785226</v>
      </c>
      <c r="J38" s="208">
        <v>7.0479828860792244</v>
      </c>
      <c r="K38" s="208">
        <v>6.4059724218300493</v>
      </c>
      <c r="L38" s="208">
        <v>6.0168898670208204</v>
      </c>
      <c r="M38" s="208">
        <v>6.1579155376524284</v>
      </c>
      <c r="N38" s="208">
        <v>5.803782780641324</v>
      </c>
      <c r="O38" s="208">
        <v>5.1861966153733503</v>
      </c>
      <c r="P38" s="208">
        <v>5.4899324526069364</v>
      </c>
      <c r="Q38" s="208">
        <v>5.2749420930747606</v>
      </c>
      <c r="R38" s="208">
        <v>5.1091067368491849</v>
      </c>
      <c r="S38" s="208">
        <v>4.7583846565335932</v>
      </c>
      <c r="T38" s="208">
        <v>4.6179514196690068</v>
      </c>
      <c r="U38" s="208">
        <v>4.2453854688756287</v>
      </c>
      <c r="V38" s="208">
        <v>3.9119804331415562</v>
      </c>
      <c r="W38" s="208">
        <v>3.678968899202228</v>
      </c>
      <c r="X38" s="208">
        <v>3.770309829241751</v>
      </c>
      <c r="Y38" s="208">
        <v>3.8745601012927411</v>
      </c>
      <c r="Z38" s="208">
        <v>3.0893022209982628</v>
      </c>
      <c r="AA38" s="209">
        <v>-0.50783731969161372</v>
      </c>
      <c r="AC38" s="210">
        <f ca="1">OFFSET(C38,0,[1]Matrix!$C$2-2000)/$AC$2</f>
        <v>0.8581395058328507</v>
      </c>
    </row>
    <row r="39" spans="2:29" ht="15">
      <c r="B39" s="206" t="s">
        <v>177</v>
      </c>
      <c r="C39" s="207">
        <v>14.143815219154639</v>
      </c>
      <c r="D39" s="208">
        <v>15.01461995647329</v>
      </c>
      <c r="E39" s="208">
        <v>14.49791156730403</v>
      </c>
      <c r="F39" s="208">
        <v>15.647005666171379</v>
      </c>
      <c r="G39" s="208">
        <v>15.522311289013681</v>
      </c>
      <c r="H39" s="208">
        <v>16.25673718832919</v>
      </c>
      <c r="I39" s="208">
        <v>16.733611242267951</v>
      </c>
      <c r="J39" s="208">
        <v>15.454839934515</v>
      </c>
      <c r="K39" s="208">
        <v>16.100876975954421</v>
      </c>
      <c r="L39" s="208">
        <v>15.882170198765341</v>
      </c>
      <c r="M39" s="208">
        <v>17.286261224944681</v>
      </c>
      <c r="N39" s="208">
        <v>15.401597932473919</v>
      </c>
      <c r="O39" s="208">
        <v>17.194795901622641</v>
      </c>
      <c r="P39" s="208">
        <v>18.32610601417074</v>
      </c>
      <c r="Q39" s="208">
        <v>15.601934614808901</v>
      </c>
      <c r="R39" s="208">
        <v>17.89246605158981</v>
      </c>
      <c r="S39" s="208">
        <v>19.237736523153469</v>
      </c>
      <c r="T39" s="208">
        <v>19.435267750385101</v>
      </c>
      <c r="U39" s="208">
        <v>19.511636867701419</v>
      </c>
      <c r="V39" s="208">
        <v>20.850256640760161</v>
      </c>
      <c r="W39" s="208">
        <v>20.59130112693699</v>
      </c>
      <c r="X39" s="208">
        <v>23.61169720620747</v>
      </c>
      <c r="Y39" s="208">
        <v>21.931116497022639</v>
      </c>
      <c r="Z39" s="208">
        <v>23.797757125713531</v>
      </c>
      <c r="AA39" s="209">
        <v>0.68255571477523147</v>
      </c>
      <c r="AC39" s="210">
        <f ca="1">OFFSET(C39,0,[1]Matrix!$C$2-2000)/$AC$2</f>
        <v>6.6104880904759806</v>
      </c>
    </row>
    <row r="40" spans="2:29" ht="15">
      <c r="B40" s="206" t="s">
        <v>703</v>
      </c>
      <c r="C40" s="207">
        <v>4.1833007238945488</v>
      </c>
      <c r="D40" s="208">
        <v>4.8624680405701746</v>
      </c>
      <c r="E40" s="208">
        <v>4.9099089183300064</v>
      </c>
      <c r="F40" s="208">
        <v>5.6951334881062996</v>
      </c>
      <c r="G40" s="208">
        <v>6.1122248985074554</v>
      </c>
      <c r="H40" s="208">
        <v>6.9473152222904098</v>
      </c>
      <c r="I40" s="208">
        <v>7.4877819021543814</v>
      </c>
      <c r="J40" s="208">
        <v>7.5461627252052814</v>
      </c>
      <c r="K40" s="208">
        <v>9.0477321587186985</v>
      </c>
      <c r="L40" s="208">
        <v>9.8163136201326839</v>
      </c>
      <c r="M40" s="208">
        <v>11.848324379992709</v>
      </c>
      <c r="N40" s="208">
        <v>10.552382496316151</v>
      </c>
      <c r="O40" s="208">
        <v>12.63178228084556</v>
      </c>
      <c r="P40" s="208">
        <v>15.107483849794161</v>
      </c>
      <c r="Q40" s="208">
        <v>12.997222327085661</v>
      </c>
      <c r="R40" s="208">
        <v>15.288353001957329</v>
      </c>
      <c r="S40" s="208">
        <v>17.388391428924081</v>
      </c>
      <c r="T40" s="208">
        <v>18.053260742548542</v>
      </c>
      <c r="U40" s="208">
        <v>18.139624301183559</v>
      </c>
      <c r="V40" s="208">
        <v>19.820681730307211</v>
      </c>
      <c r="W40" s="208">
        <v>20.597811383778641</v>
      </c>
      <c r="X40" s="208">
        <v>25.716380806586489</v>
      </c>
      <c r="Y40" s="208">
        <v>23.863787014481868</v>
      </c>
      <c r="Z40" s="208">
        <v>28.451218258465399</v>
      </c>
      <c r="AA40" s="209">
        <v>5.8011410453843784</v>
      </c>
      <c r="AC40" s="210">
        <f ca="1">OFFSET(C40,0,[1]Matrix!$C$2-2000)/$AC$2</f>
        <v>7.9031161829070555</v>
      </c>
    </row>
    <row r="41" spans="2:29" ht="15.5" thickBot="1">
      <c r="B41" s="211" t="s">
        <v>689</v>
      </c>
      <c r="C41" s="212">
        <v>23.820878531306011</v>
      </c>
      <c r="D41" s="213">
        <v>24.7602357245365</v>
      </c>
      <c r="E41" s="213">
        <v>22.0706673564802</v>
      </c>
      <c r="F41" s="213">
        <v>21.421955903365401</v>
      </c>
      <c r="G41" s="213">
        <v>22.848896120681001</v>
      </c>
      <c r="H41" s="213">
        <v>22.09203610095501</v>
      </c>
      <c r="I41" s="213">
        <v>22.593789938868309</v>
      </c>
      <c r="J41" s="213">
        <v>19.752742755781</v>
      </c>
      <c r="K41" s="213">
        <v>19.79409428280719</v>
      </c>
      <c r="L41" s="213">
        <v>17.593169993874699</v>
      </c>
      <c r="M41" s="213">
        <v>17.902370191933699</v>
      </c>
      <c r="N41" s="213">
        <v>16.964469773960669</v>
      </c>
      <c r="O41" s="213">
        <v>16.86481503932151</v>
      </c>
      <c r="P41" s="213">
        <v>16.078426957288119</v>
      </c>
      <c r="Q41" s="213">
        <v>15.90929043367368</v>
      </c>
      <c r="R41" s="213">
        <v>14.032724273645369</v>
      </c>
      <c r="S41" s="213">
        <v>14.01816020989521</v>
      </c>
      <c r="T41" s="213">
        <v>14.428788239381481</v>
      </c>
      <c r="U41" s="213">
        <v>14.651357985407399</v>
      </c>
      <c r="V41" s="213">
        <v>14.5912669283846</v>
      </c>
      <c r="W41" s="213">
        <v>14.668923169024641</v>
      </c>
      <c r="X41" s="213">
        <v>15.25329650923339</v>
      </c>
      <c r="Y41" s="213">
        <v>15.5859566114068</v>
      </c>
      <c r="Z41" s="213">
        <v>15.2706368039285</v>
      </c>
      <c r="AA41" s="214">
        <v>-0.35893897515746781</v>
      </c>
      <c r="AC41" s="215">
        <f ca="1">OFFSET(C41,0,[1]Matrix!$C$2-2000)/$AC$2</f>
        <v>4.2418435566468053</v>
      </c>
    </row>
    <row r="42" spans="2:29">
      <c r="B42" s="224" t="s">
        <v>704</v>
      </c>
    </row>
    <row r="43" spans="2:29">
      <c r="B43" s="224" t="s">
        <v>705</v>
      </c>
      <c r="AC43" s="225"/>
    </row>
    <row r="46" spans="2:29" ht="15.5">
      <c r="B46" s="198" t="s">
        <v>706</v>
      </c>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c r="AA46" s="199"/>
    </row>
    <row r="47" spans="2:29">
      <c r="B47" s="200" t="s">
        <v>677</v>
      </c>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c r="AA47" s="201"/>
      <c r="AC47" s="202" t="s">
        <v>678</v>
      </c>
    </row>
    <row r="48" spans="2:29" ht="15.5" thickBot="1">
      <c r="B48" s="203" t="s">
        <v>707</v>
      </c>
      <c r="C48" s="204">
        <v>2000</v>
      </c>
      <c r="D48" s="204">
        <v>2001</v>
      </c>
      <c r="E48" s="204">
        <v>2002</v>
      </c>
      <c r="F48" s="204">
        <v>2003</v>
      </c>
      <c r="G48" s="204">
        <v>2004</v>
      </c>
      <c r="H48" s="204">
        <v>2005</v>
      </c>
      <c r="I48" s="204">
        <v>2006</v>
      </c>
      <c r="J48" s="204">
        <v>2007</v>
      </c>
      <c r="K48" s="204">
        <v>2008</v>
      </c>
      <c r="L48" s="204">
        <v>2009</v>
      </c>
      <c r="M48" s="204">
        <v>2010</v>
      </c>
      <c r="N48" s="204">
        <v>2011</v>
      </c>
      <c r="O48" s="204">
        <v>2012</v>
      </c>
      <c r="P48" s="204">
        <v>2013</v>
      </c>
      <c r="Q48" s="204">
        <v>2014</v>
      </c>
      <c r="R48" s="204">
        <v>2015</v>
      </c>
      <c r="S48" s="204">
        <v>2016</v>
      </c>
      <c r="T48" s="204">
        <v>2017</v>
      </c>
      <c r="U48" s="204">
        <v>2018</v>
      </c>
      <c r="V48" s="204">
        <v>2019</v>
      </c>
      <c r="W48" s="204">
        <v>2020</v>
      </c>
      <c r="X48" s="204">
        <v>2021</v>
      </c>
      <c r="Y48" s="204">
        <v>2022</v>
      </c>
      <c r="Z48" s="204">
        <v>2023</v>
      </c>
      <c r="AA48" s="204" t="s">
        <v>697</v>
      </c>
      <c r="AC48" s="205">
        <f ca="1">OFFSET(C48,0,[1]Matrix!$C$2-2000)</f>
        <v>2023</v>
      </c>
    </row>
    <row r="49" spans="2:29" ht="15">
      <c r="B49" s="206" t="s">
        <v>161</v>
      </c>
      <c r="C49" s="207">
        <v>188.54</v>
      </c>
      <c r="D49" s="208">
        <v>193.5</v>
      </c>
      <c r="E49" s="208">
        <v>194.5</v>
      </c>
      <c r="F49" s="208">
        <v>198.44</v>
      </c>
      <c r="G49" s="208">
        <v>202.22</v>
      </c>
      <c r="H49" s="208">
        <v>206.39</v>
      </c>
      <c r="I49" s="208">
        <v>208.02</v>
      </c>
      <c r="J49" s="208">
        <v>206.76</v>
      </c>
      <c r="K49" s="208">
        <v>211.42</v>
      </c>
      <c r="L49" s="208">
        <v>206.98</v>
      </c>
      <c r="M49" s="208">
        <v>215.23</v>
      </c>
      <c r="N49" s="208">
        <v>210.96</v>
      </c>
      <c r="O49" s="208">
        <v>212.3</v>
      </c>
      <c r="P49" s="208">
        <v>213.56</v>
      </c>
      <c r="Q49" s="208">
        <v>206.88</v>
      </c>
      <c r="R49" s="208">
        <v>209.69</v>
      </c>
      <c r="S49" s="208">
        <v>209.66</v>
      </c>
      <c r="T49" s="208">
        <v>210.54</v>
      </c>
      <c r="U49" s="208">
        <v>207.53</v>
      </c>
      <c r="V49" s="208">
        <v>205.91</v>
      </c>
      <c r="W49" s="208">
        <v>200.57</v>
      </c>
      <c r="X49" s="208">
        <v>209.21</v>
      </c>
      <c r="Y49" s="208">
        <v>205.31</v>
      </c>
      <c r="Z49" s="208">
        <v>201.84</v>
      </c>
      <c r="AA49" s="209">
        <v>7.0542060040309815E-2</v>
      </c>
      <c r="AC49" s="210">
        <f ca="1">OFFSET(C49,0,[1]Matrix!$C$2-2000)/$AC$2</f>
        <v>56.066666666666663</v>
      </c>
    </row>
    <row r="50" spans="2:29" ht="15">
      <c r="B50" s="206" t="s">
        <v>708</v>
      </c>
      <c r="C50" s="207">
        <v>208.43</v>
      </c>
      <c r="D50" s="208">
        <v>226.74</v>
      </c>
      <c r="E50" s="208">
        <v>208.24</v>
      </c>
      <c r="F50" s="208">
        <v>218.42</v>
      </c>
      <c r="G50" s="208">
        <v>215.45</v>
      </c>
      <c r="H50" s="208">
        <v>215.71</v>
      </c>
      <c r="I50" s="208">
        <v>207.68</v>
      </c>
      <c r="J50" s="208">
        <v>180.73</v>
      </c>
      <c r="K50" s="208">
        <v>188.23</v>
      </c>
      <c r="L50" s="208">
        <v>182.08</v>
      </c>
      <c r="M50" s="208">
        <v>190.41</v>
      </c>
      <c r="N50" s="208">
        <v>150.85</v>
      </c>
      <c r="O50" s="208">
        <v>161.13</v>
      </c>
      <c r="P50" s="208">
        <v>168.47</v>
      </c>
      <c r="Q50" s="208">
        <v>127.54</v>
      </c>
      <c r="R50" s="208">
        <v>133.9</v>
      </c>
      <c r="S50" s="208">
        <v>136.35</v>
      </c>
      <c r="T50" s="208">
        <v>127.92</v>
      </c>
      <c r="U50" s="208">
        <v>115.63</v>
      </c>
      <c r="V50" s="208">
        <v>112.31</v>
      </c>
      <c r="W50" s="208">
        <v>101.11</v>
      </c>
      <c r="X50" s="208">
        <v>111.71</v>
      </c>
      <c r="Y50" s="208">
        <v>90.77</v>
      </c>
      <c r="Z50" s="208">
        <v>88.320000000000036</v>
      </c>
      <c r="AA50" s="209">
        <v>-0.57626061507460524</v>
      </c>
      <c r="AC50" s="210">
        <f ca="1">OFFSET(C50,0,[1]Matrix!$C$2-2000)/$AC$2</f>
        <v>24.533333333333342</v>
      </c>
    </row>
    <row r="51" spans="2:29" ht="15">
      <c r="B51" s="206" t="s">
        <v>709</v>
      </c>
      <c r="C51" s="207">
        <v>196.27</v>
      </c>
      <c r="D51" s="208">
        <v>213.13</v>
      </c>
      <c r="E51" s="208">
        <v>196.84</v>
      </c>
      <c r="F51" s="208">
        <v>208.03</v>
      </c>
      <c r="G51" s="208">
        <v>203.6</v>
      </c>
      <c r="H51" s="208">
        <v>205.41</v>
      </c>
      <c r="I51" s="208">
        <v>195.67</v>
      </c>
      <c r="J51" s="208">
        <v>171.12</v>
      </c>
      <c r="K51" s="208">
        <v>179.12</v>
      </c>
      <c r="L51" s="208">
        <v>173.55</v>
      </c>
      <c r="M51" s="208">
        <v>182.5</v>
      </c>
      <c r="N51" s="208">
        <v>143.97</v>
      </c>
      <c r="O51" s="208">
        <v>154.28</v>
      </c>
      <c r="P51" s="208">
        <v>162.55000000000001</v>
      </c>
      <c r="Q51" s="208">
        <v>122.39</v>
      </c>
      <c r="R51" s="208">
        <v>129.26</v>
      </c>
      <c r="S51" s="208">
        <v>132.35</v>
      </c>
      <c r="T51" s="208">
        <v>123.72</v>
      </c>
      <c r="U51" s="208">
        <v>111.24</v>
      </c>
      <c r="V51" s="208">
        <v>108.67</v>
      </c>
      <c r="W51" s="208">
        <v>97.38</v>
      </c>
      <c r="X51" s="208">
        <v>107.99</v>
      </c>
      <c r="Y51" s="208">
        <v>86.93</v>
      </c>
      <c r="Z51" s="208">
        <v>84.3</v>
      </c>
      <c r="AA51" s="209">
        <v>-0.57048963162989763</v>
      </c>
      <c r="AC51" s="210">
        <f ca="1">OFFSET(C51,0,[1]Matrix!$C$2-2000)/$AC$2</f>
        <v>23.416666666666664</v>
      </c>
    </row>
    <row r="52" spans="2:29" ht="15">
      <c r="B52" s="206" t="s">
        <v>710</v>
      </c>
      <c r="C52" s="207">
        <v>12.16</v>
      </c>
      <c r="D52" s="208">
        <v>13.61</v>
      </c>
      <c r="E52" s="208">
        <v>11.4</v>
      </c>
      <c r="F52" s="208">
        <v>10.39</v>
      </c>
      <c r="G52" s="208">
        <v>11.85</v>
      </c>
      <c r="H52" s="208">
        <v>10.3</v>
      </c>
      <c r="I52" s="208">
        <v>12.01</v>
      </c>
      <c r="J52" s="208">
        <v>9.61</v>
      </c>
      <c r="K52" s="208">
        <v>9.11</v>
      </c>
      <c r="L52" s="208">
        <v>8.5299999999999994</v>
      </c>
      <c r="M52" s="208">
        <v>7.91</v>
      </c>
      <c r="N52" s="208">
        <v>6.88</v>
      </c>
      <c r="O52" s="208">
        <v>6.85</v>
      </c>
      <c r="P52" s="208">
        <v>5.92</v>
      </c>
      <c r="Q52" s="208">
        <v>5.15</v>
      </c>
      <c r="R52" s="208">
        <v>4.6399999999999997</v>
      </c>
      <c r="S52" s="208">
        <v>4.0000000000000027</v>
      </c>
      <c r="T52" s="208">
        <v>4.1999999999999948</v>
      </c>
      <c r="U52" s="208">
        <v>4.3899999999999766</v>
      </c>
      <c r="V52" s="208">
        <v>3.6400000000000201</v>
      </c>
      <c r="W52" s="208">
        <v>3.7299999999999911</v>
      </c>
      <c r="X52" s="208">
        <v>3.72</v>
      </c>
      <c r="Y52" s="208">
        <v>3.84</v>
      </c>
      <c r="Z52" s="208">
        <v>4.0200000000000253</v>
      </c>
      <c r="AA52" s="209">
        <v>-0.66940789473684015</v>
      </c>
      <c r="AC52" s="210">
        <f ca="1">OFFSET(C52,0,[1]Matrix!$C$2-2000)/$AC$2</f>
        <v>1.1166666666666736</v>
      </c>
    </row>
    <row r="53" spans="2:29" ht="17.5">
      <c r="B53" s="206" t="s">
        <v>711</v>
      </c>
      <c r="C53" s="207">
        <v>93.6</v>
      </c>
      <c r="D53" s="208">
        <v>97.42</v>
      </c>
      <c r="E53" s="208">
        <v>95.24</v>
      </c>
      <c r="F53" s="208">
        <v>100.34</v>
      </c>
      <c r="G53" s="208">
        <v>103.76</v>
      </c>
      <c r="H53" s="208">
        <v>106.78</v>
      </c>
      <c r="I53" s="208">
        <v>104.71</v>
      </c>
      <c r="J53" s="208">
        <v>102.47</v>
      </c>
      <c r="K53" s="208">
        <v>109.16</v>
      </c>
      <c r="L53" s="208">
        <v>104.8</v>
      </c>
      <c r="M53" s="208">
        <v>116.2</v>
      </c>
      <c r="N53" s="208">
        <v>104.47</v>
      </c>
      <c r="O53" s="208">
        <v>114.58</v>
      </c>
      <c r="P53" s="208">
        <v>121.03</v>
      </c>
      <c r="Q53" s="208">
        <v>107.36</v>
      </c>
      <c r="R53" s="208">
        <v>113.16</v>
      </c>
      <c r="S53" s="208">
        <v>117.47</v>
      </c>
      <c r="T53" s="208">
        <v>119.13</v>
      </c>
      <c r="U53" s="208">
        <v>112.54</v>
      </c>
      <c r="V53" s="208">
        <v>115.44</v>
      </c>
      <c r="W53" s="208">
        <v>113.18</v>
      </c>
      <c r="X53" s="208">
        <v>122.6</v>
      </c>
      <c r="Y53" s="208">
        <v>101.79</v>
      </c>
      <c r="Z53" s="208">
        <v>94.63</v>
      </c>
      <c r="AA53" s="209">
        <v>1.1004273504273521E-2</v>
      </c>
      <c r="AC53" s="210">
        <f ca="1">OFFSET(C53,0,[1]Matrix!$C$2-2000)/$AC$2</f>
        <v>26.286111111111108</v>
      </c>
    </row>
    <row r="54" spans="2:29" ht="15">
      <c r="B54" s="206" t="s">
        <v>712</v>
      </c>
      <c r="C54" s="207">
        <v>5.77</v>
      </c>
      <c r="D54" s="208">
        <v>6.03</v>
      </c>
      <c r="E54" s="208">
        <v>5.56</v>
      </c>
      <c r="F54" s="208">
        <v>5.71</v>
      </c>
      <c r="G54" s="208">
        <v>5.42</v>
      </c>
      <c r="H54" s="208">
        <v>6.04</v>
      </c>
      <c r="I54" s="208">
        <v>6.52</v>
      </c>
      <c r="J54" s="208">
        <v>7.3</v>
      </c>
      <c r="K54" s="208">
        <v>6.56</v>
      </c>
      <c r="L54" s="208">
        <v>6.19</v>
      </c>
      <c r="M54" s="208">
        <v>6.21</v>
      </c>
      <c r="N54" s="208">
        <v>5.74</v>
      </c>
      <c r="O54" s="208">
        <v>5.17</v>
      </c>
      <c r="P54" s="208">
        <v>5.57</v>
      </c>
      <c r="Q54" s="208">
        <v>5.7</v>
      </c>
      <c r="R54" s="208">
        <v>5.21</v>
      </c>
      <c r="S54" s="208">
        <v>4.79</v>
      </c>
      <c r="T54" s="208">
        <v>4.6100000000000003</v>
      </c>
      <c r="U54" s="208">
        <v>4.29</v>
      </c>
      <c r="V54" s="208">
        <v>3.84</v>
      </c>
      <c r="W54" s="208">
        <v>3.7</v>
      </c>
      <c r="X54" s="208">
        <v>3.73</v>
      </c>
      <c r="Y54" s="208">
        <v>3.88</v>
      </c>
      <c r="Z54" s="208">
        <v>3.06</v>
      </c>
      <c r="AA54" s="209">
        <v>-0.46967071057192372</v>
      </c>
      <c r="AC54" s="210">
        <f ca="1">OFFSET(C54,0,[1]Matrix!$C$2-2000)/$AC$2</f>
        <v>0.85</v>
      </c>
    </row>
    <row r="55" spans="2:29" ht="15">
      <c r="B55" s="206" t="s">
        <v>177</v>
      </c>
      <c r="C55" s="207">
        <v>13.18</v>
      </c>
      <c r="D55" s="208">
        <v>13.9</v>
      </c>
      <c r="E55" s="208">
        <v>14.02</v>
      </c>
      <c r="F55" s="208">
        <v>14.59</v>
      </c>
      <c r="G55" s="208">
        <v>14.77</v>
      </c>
      <c r="H55" s="208">
        <v>15.24</v>
      </c>
      <c r="I55" s="208">
        <v>15.72</v>
      </c>
      <c r="J55" s="208">
        <v>14.67</v>
      </c>
      <c r="K55" s="208">
        <v>15.26</v>
      </c>
      <c r="L55" s="208">
        <v>15.12</v>
      </c>
      <c r="M55" s="208">
        <v>17.03</v>
      </c>
      <c r="N55" s="208">
        <v>15.66</v>
      </c>
      <c r="O55" s="208">
        <v>16.649999999999999</v>
      </c>
      <c r="P55" s="208">
        <v>17.579999999999998</v>
      </c>
      <c r="Q55" s="208">
        <v>15.98</v>
      </c>
      <c r="R55" s="208">
        <v>18.14</v>
      </c>
      <c r="S55" s="208">
        <v>19.350000000000001</v>
      </c>
      <c r="T55" s="208">
        <v>19.79</v>
      </c>
      <c r="U55" s="208">
        <v>19.36</v>
      </c>
      <c r="V55" s="208">
        <v>21.53</v>
      </c>
      <c r="W55" s="208">
        <v>21.05</v>
      </c>
      <c r="X55" s="208">
        <v>23.09</v>
      </c>
      <c r="Y55" s="208">
        <v>21.36</v>
      </c>
      <c r="Z55" s="208">
        <v>22.31</v>
      </c>
      <c r="AA55" s="209">
        <v>0.69271623672230642</v>
      </c>
      <c r="AC55" s="210">
        <f ca="1">OFFSET(C55,0,[1]Matrix!$C$2-2000)/$AC$2</f>
        <v>6.197222222222222</v>
      </c>
    </row>
    <row r="56" spans="2:29" ht="15">
      <c r="B56" s="206" t="s">
        <v>427</v>
      </c>
      <c r="C56" s="207">
        <v>28.13</v>
      </c>
      <c r="D56" s="208">
        <v>29.95</v>
      </c>
      <c r="E56" s="208">
        <v>28.74</v>
      </c>
      <c r="F56" s="208">
        <v>30.77</v>
      </c>
      <c r="G56" s="208">
        <v>30.61</v>
      </c>
      <c r="H56" s="208">
        <v>31.92</v>
      </c>
      <c r="I56" s="208">
        <v>32.630000000000003</v>
      </c>
      <c r="J56" s="208">
        <v>31.75</v>
      </c>
      <c r="K56" s="208">
        <v>35.950000000000003</v>
      </c>
      <c r="L56" s="208">
        <v>37.21</v>
      </c>
      <c r="M56" s="208">
        <v>40.99</v>
      </c>
      <c r="N56" s="208">
        <v>35.67</v>
      </c>
      <c r="O56" s="208">
        <v>39.47</v>
      </c>
      <c r="P56" s="208">
        <v>43.5</v>
      </c>
      <c r="Q56" s="208">
        <v>36.729999999999997</v>
      </c>
      <c r="R56" s="208">
        <v>39.17</v>
      </c>
      <c r="S56" s="208">
        <v>42.34</v>
      </c>
      <c r="T56" s="208">
        <v>42.74</v>
      </c>
      <c r="U56" s="208">
        <v>40.44</v>
      </c>
      <c r="V56" s="208">
        <v>41.11</v>
      </c>
      <c r="W56" s="208">
        <v>40.17</v>
      </c>
      <c r="X56" s="208">
        <v>46.92</v>
      </c>
      <c r="Y56" s="208">
        <v>41.5</v>
      </c>
      <c r="Z56" s="208">
        <v>42.62</v>
      </c>
      <c r="AA56" s="209">
        <v>0.5151084251688588</v>
      </c>
      <c r="AC56" s="210">
        <f ca="1">OFFSET(C56,0,[1]Matrix!$C$2-2000)/$AC$2</f>
        <v>11.838888888888889</v>
      </c>
    </row>
    <row r="57" spans="2:29" ht="15">
      <c r="B57" s="206" t="s">
        <v>713</v>
      </c>
      <c r="C57" s="207">
        <v>6.33</v>
      </c>
      <c r="D57" s="208">
        <v>6.78</v>
      </c>
      <c r="E57" s="208">
        <v>6.93</v>
      </c>
      <c r="F57" s="208">
        <v>7.43</v>
      </c>
      <c r="G57" s="208">
        <v>7.79</v>
      </c>
      <c r="H57" s="208">
        <v>8.5299999999999994</v>
      </c>
      <c r="I57" s="208">
        <v>8.9700000000000006</v>
      </c>
      <c r="J57" s="208">
        <v>9.7100000000000009</v>
      </c>
      <c r="K57" s="208">
        <v>11.2</v>
      </c>
      <c r="L57" s="208">
        <v>12.05</v>
      </c>
      <c r="M57" s="208">
        <v>14.3</v>
      </c>
      <c r="N57" s="208">
        <v>14.2</v>
      </c>
      <c r="O57" s="208">
        <v>16.309999999999999</v>
      </c>
      <c r="P57" s="208">
        <v>17.89</v>
      </c>
      <c r="Q57" s="208">
        <v>17.440000000000001</v>
      </c>
      <c r="R57" s="208">
        <v>20.56</v>
      </c>
      <c r="S57" s="208">
        <v>23.69</v>
      </c>
      <c r="T57" s="208">
        <v>26.44</v>
      </c>
      <c r="U57" s="208">
        <v>28.31</v>
      </c>
      <c r="V57" s="208">
        <v>30.35</v>
      </c>
      <c r="W57" s="208">
        <v>30.42</v>
      </c>
      <c r="X57" s="208">
        <v>33.1</v>
      </c>
      <c r="Y57" s="208">
        <v>32.22</v>
      </c>
      <c r="Z57" s="208">
        <v>34.630000000000003</v>
      </c>
      <c r="AA57" s="209">
        <v>4.470774091627173</v>
      </c>
      <c r="AC57" s="210">
        <f ca="1">OFFSET(C57,0,[1]Matrix!$C$2-2000)/$AC$2</f>
        <v>9.6194444444444454</v>
      </c>
    </row>
    <row r="58" spans="2:29" ht="15">
      <c r="B58" s="206" t="s">
        <v>714</v>
      </c>
      <c r="C58" s="207">
        <v>10.44</v>
      </c>
      <c r="D58" s="208">
        <v>10.45</v>
      </c>
      <c r="E58" s="208">
        <v>10.19</v>
      </c>
      <c r="F58" s="208">
        <v>11.06</v>
      </c>
      <c r="G58" s="208">
        <v>10.98</v>
      </c>
      <c r="H58" s="208">
        <v>10.88</v>
      </c>
      <c r="I58" s="208">
        <v>10.99</v>
      </c>
      <c r="J58" s="208">
        <v>10.6</v>
      </c>
      <c r="K58" s="208">
        <v>11.11</v>
      </c>
      <c r="L58" s="208">
        <v>9.4600000000000009</v>
      </c>
      <c r="M58" s="208">
        <v>10.19</v>
      </c>
      <c r="N58" s="208">
        <v>10.72</v>
      </c>
      <c r="O58" s="208">
        <v>10.87</v>
      </c>
      <c r="P58" s="208">
        <v>11</v>
      </c>
      <c r="Q58" s="208">
        <v>12.65</v>
      </c>
      <c r="R58" s="208">
        <v>10.93</v>
      </c>
      <c r="S58" s="208">
        <v>11.51</v>
      </c>
      <c r="T58" s="208">
        <v>11.54</v>
      </c>
      <c r="U58" s="208">
        <v>11.38</v>
      </c>
      <c r="V58" s="208">
        <v>11.97</v>
      </c>
      <c r="W58" s="208">
        <v>12</v>
      </c>
      <c r="X58" s="208">
        <v>12.47</v>
      </c>
      <c r="Y58" s="208">
        <v>12.11</v>
      </c>
      <c r="Z58" s="208">
        <v>11.79</v>
      </c>
      <c r="AA58" s="209">
        <v>0.12931034482758619</v>
      </c>
      <c r="AC58" s="210">
        <f ca="1">OFFSET(C58,0,[1]Matrix!$C$2-2000)/$AC$2</f>
        <v>3.2749999999999995</v>
      </c>
    </row>
    <row r="59" spans="2:29" ht="15">
      <c r="B59" s="206" t="s">
        <v>198</v>
      </c>
      <c r="C59" s="207">
        <v>293.37</v>
      </c>
      <c r="D59" s="208">
        <v>285.88</v>
      </c>
      <c r="E59" s="208">
        <v>279.81</v>
      </c>
      <c r="F59" s="208">
        <v>276.64999999999998</v>
      </c>
      <c r="G59" s="208">
        <v>275.43</v>
      </c>
      <c r="H59" s="208">
        <v>277.5</v>
      </c>
      <c r="I59" s="208">
        <v>281.3</v>
      </c>
      <c r="J59" s="208">
        <v>289.33</v>
      </c>
      <c r="K59" s="208">
        <v>298.42</v>
      </c>
      <c r="L59" s="208">
        <v>293.45</v>
      </c>
      <c r="M59" s="208">
        <v>295.07</v>
      </c>
      <c r="N59" s="208">
        <v>296.58999999999997</v>
      </c>
      <c r="O59" s="208">
        <v>299.85000000000002</v>
      </c>
      <c r="P59" s="208">
        <v>299.76</v>
      </c>
      <c r="Q59" s="208">
        <v>298.27</v>
      </c>
      <c r="R59" s="208">
        <v>290.52</v>
      </c>
      <c r="S59" s="208">
        <v>291.82</v>
      </c>
      <c r="T59" s="208">
        <v>290.10000000000002</v>
      </c>
      <c r="U59" s="208">
        <v>294.3</v>
      </c>
      <c r="V59" s="208">
        <v>294.36</v>
      </c>
      <c r="W59" s="208">
        <v>226.72</v>
      </c>
      <c r="X59" s="208">
        <v>233.21</v>
      </c>
      <c r="Y59" s="208">
        <v>256.32</v>
      </c>
      <c r="Z59" s="208">
        <v>268.25</v>
      </c>
      <c r="AA59" s="209">
        <v>-8.5625660428810049E-2</v>
      </c>
      <c r="AC59" s="210">
        <f ca="1">OFFSET(C59,0,[1]Matrix!$C$2-2000)/$AC$2</f>
        <v>74.513888888888886</v>
      </c>
    </row>
    <row r="60" spans="2:29" ht="15">
      <c r="B60" s="206" t="s">
        <v>715</v>
      </c>
      <c r="C60" s="207">
        <v>169.33</v>
      </c>
      <c r="D60" s="208">
        <v>164.68</v>
      </c>
      <c r="E60" s="208">
        <v>161.38999999999999</v>
      </c>
      <c r="F60" s="208">
        <v>160.61000000000001</v>
      </c>
      <c r="G60" s="208">
        <v>157.74</v>
      </c>
      <c r="H60" s="208">
        <v>152.96</v>
      </c>
      <c r="I60" s="208">
        <v>148.26</v>
      </c>
      <c r="J60" s="208">
        <v>146.83000000000001</v>
      </c>
      <c r="K60" s="208">
        <v>143.62</v>
      </c>
      <c r="L60" s="208">
        <v>139.72999999999999</v>
      </c>
      <c r="M60" s="208">
        <v>134.72</v>
      </c>
      <c r="N60" s="208">
        <v>129.51</v>
      </c>
      <c r="O60" s="208">
        <v>124.97</v>
      </c>
      <c r="P60" s="208">
        <v>119.28</v>
      </c>
      <c r="Q60" s="208">
        <v>114.47</v>
      </c>
      <c r="R60" s="208">
        <v>106.07</v>
      </c>
      <c r="S60" s="208">
        <v>102.75</v>
      </c>
      <c r="T60" s="208">
        <v>99.6</v>
      </c>
      <c r="U60" s="208">
        <v>98.02</v>
      </c>
      <c r="V60" s="208">
        <v>97.21</v>
      </c>
      <c r="W60" s="208">
        <v>86.1</v>
      </c>
      <c r="X60" s="208">
        <v>87.97</v>
      </c>
      <c r="Y60" s="208">
        <v>85.41</v>
      </c>
      <c r="Z60" s="208">
        <v>88.31</v>
      </c>
      <c r="AA60" s="209">
        <v>-0.47847398570838012</v>
      </c>
      <c r="AC60" s="210">
        <f ca="1">OFFSET(C60,0,[1]Matrix!$C$2-2000)/$AC$2</f>
        <v>24.530555555555555</v>
      </c>
    </row>
    <row r="61" spans="2:29" ht="15">
      <c r="B61" s="206" t="s">
        <v>716</v>
      </c>
      <c r="C61" s="207">
        <v>55.97</v>
      </c>
      <c r="D61" s="208">
        <v>56.98</v>
      </c>
      <c r="E61" s="208">
        <v>59.01</v>
      </c>
      <c r="F61" s="208">
        <v>62.59</v>
      </c>
      <c r="G61" s="208">
        <v>67.239999999999995</v>
      </c>
      <c r="H61" s="208">
        <v>73.430000000000007</v>
      </c>
      <c r="I61" s="208">
        <v>79.459999999999994</v>
      </c>
      <c r="J61" s="208">
        <v>85.32</v>
      </c>
      <c r="K61" s="208">
        <v>93.64</v>
      </c>
      <c r="L61" s="208">
        <v>95.04</v>
      </c>
      <c r="M61" s="208">
        <v>98.72</v>
      </c>
      <c r="N61" s="208">
        <v>101.37</v>
      </c>
      <c r="O61" s="208">
        <v>107.55</v>
      </c>
      <c r="P61" s="208">
        <v>112.4</v>
      </c>
      <c r="Q61" s="208">
        <v>115.24</v>
      </c>
      <c r="R61" s="208">
        <v>113.65</v>
      </c>
      <c r="S61" s="208">
        <v>114.9</v>
      </c>
      <c r="T61" s="208">
        <v>114.55</v>
      </c>
      <c r="U61" s="208">
        <v>116.01</v>
      </c>
      <c r="V61" s="208">
        <v>116.06</v>
      </c>
      <c r="W61" s="208">
        <v>109.99</v>
      </c>
      <c r="X61" s="208">
        <v>111.24</v>
      </c>
      <c r="Y61" s="208">
        <v>111.03</v>
      </c>
      <c r="Z61" s="208">
        <v>108.7</v>
      </c>
      <c r="AA61" s="209">
        <v>0.94211184563158845</v>
      </c>
      <c r="AC61" s="210">
        <f ca="1">OFFSET(C61,0,[1]Matrix!$C$2-2000)/$AC$2</f>
        <v>30.194444444444443</v>
      </c>
    </row>
    <row r="62" spans="2:29" ht="15.5" thickBot="1">
      <c r="B62" s="211" t="s">
        <v>717</v>
      </c>
      <c r="C62" s="212">
        <v>68.069999999999993</v>
      </c>
      <c r="D62" s="213">
        <v>64.22</v>
      </c>
      <c r="E62" s="213">
        <v>59.41</v>
      </c>
      <c r="F62" s="213">
        <v>53.45</v>
      </c>
      <c r="G62" s="213">
        <v>50.45</v>
      </c>
      <c r="H62" s="213">
        <v>51.11</v>
      </c>
      <c r="I62" s="213">
        <v>53.58</v>
      </c>
      <c r="J62" s="213">
        <v>57.18</v>
      </c>
      <c r="K62" s="213">
        <v>61.16</v>
      </c>
      <c r="L62" s="213">
        <v>58.68</v>
      </c>
      <c r="M62" s="213">
        <v>61.63</v>
      </c>
      <c r="N62" s="213">
        <v>65.709999999999994</v>
      </c>
      <c r="O62" s="213">
        <v>67.33</v>
      </c>
      <c r="P62" s="213">
        <v>68.08</v>
      </c>
      <c r="Q62" s="213">
        <v>68.56</v>
      </c>
      <c r="R62" s="213">
        <v>70.8</v>
      </c>
      <c r="S62" s="213">
        <v>74.17</v>
      </c>
      <c r="T62" s="213">
        <v>75.95</v>
      </c>
      <c r="U62" s="213">
        <v>80.27</v>
      </c>
      <c r="V62" s="213">
        <v>81.09</v>
      </c>
      <c r="W62" s="213">
        <v>30.63</v>
      </c>
      <c r="X62" s="213">
        <v>34</v>
      </c>
      <c r="Y62" s="213">
        <v>59.88</v>
      </c>
      <c r="Z62" s="213">
        <v>71.239999999999995</v>
      </c>
      <c r="AA62" s="214">
        <v>4.6569707653885739E-2</v>
      </c>
      <c r="AC62" s="215">
        <f ca="1">OFFSET(C62,0,[1]Matrix!$C$2-2000)/$AC$2</f>
        <v>19.788888888888888</v>
      </c>
    </row>
    <row r="63" spans="2:29" ht="15.5" thickBot="1">
      <c r="B63" s="221" t="s">
        <v>61</v>
      </c>
      <c r="C63" s="222">
        <v>847.79</v>
      </c>
      <c r="D63" s="223">
        <v>870.65</v>
      </c>
      <c r="E63" s="223">
        <v>843.23</v>
      </c>
      <c r="F63" s="223">
        <v>863.41</v>
      </c>
      <c r="G63" s="223">
        <v>866.43</v>
      </c>
      <c r="H63" s="223">
        <v>878.99</v>
      </c>
      <c r="I63" s="223">
        <v>876.54</v>
      </c>
      <c r="J63" s="223">
        <v>853.32</v>
      </c>
      <c r="K63" s="223">
        <v>887.31</v>
      </c>
      <c r="L63" s="223">
        <v>867.34</v>
      </c>
      <c r="M63" s="223">
        <v>905.63</v>
      </c>
      <c r="N63" s="223">
        <v>844.86</v>
      </c>
      <c r="O63" s="223">
        <v>876.34</v>
      </c>
      <c r="P63" s="223">
        <v>898.38</v>
      </c>
      <c r="Q63" s="223">
        <v>828.55</v>
      </c>
      <c r="R63" s="223">
        <v>841.28</v>
      </c>
      <c r="S63" s="223">
        <v>856.98</v>
      </c>
      <c r="T63" s="223">
        <v>852.81</v>
      </c>
      <c r="U63" s="223">
        <v>833.78</v>
      </c>
      <c r="V63" s="223">
        <v>836.82</v>
      </c>
      <c r="W63" s="223">
        <v>748.92</v>
      </c>
      <c r="X63" s="223">
        <v>796.04</v>
      </c>
      <c r="Y63" s="223">
        <v>765.26</v>
      </c>
      <c r="Z63" s="223">
        <v>767.45</v>
      </c>
      <c r="AA63" s="219">
        <v>-9.4764033546043153E-2</v>
      </c>
      <c r="AC63" s="220">
        <f ca="1">OFFSET(C63,0,[1]Matrix!$C$2-2000)/$AC$2</f>
        <v>213.18055555555557</v>
      </c>
    </row>
    <row r="64" spans="2:29">
      <c r="B64" s="224" t="s">
        <v>718</v>
      </c>
    </row>
    <row r="65" spans="2:27">
      <c r="B65" s="224" t="s">
        <v>719</v>
      </c>
    </row>
    <row r="66" spans="2:27">
      <c r="B66" s="224" t="s">
        <v>720</v>
      </c>
    </row>
    <row r="67" spans="2:27">
      <c r="B67" s="224" t="s">
        <v>721</v>
      </c>
    </row>
    <row r="70" spans="2:27" ht="15.5">
      <c r="B70" s="198" t="s">
        <v>722</v>
      </c>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c r="AA70" s="199"/>
    </row>
    <row r="71" spans="2:27">
      <c r="B71" s="200" t="s">
        <v>723</v>
      </c>
      <c r="C71" s="201"/>
      <c r="D71" s="201"/>
      <c r="E71" s="201"/>
      <c r="F71" s="201"/>
      <c r="G71" s="201"/>
      <c r="H71" s="201"/>
      <c r="I71" s="201"/>
      <c r="J71" s="201"/>
      <c r="K71" s="201"/>
      <c r="L71" s="201"/>
      <c r="M71" s="201"/>
      <c r="N71" s="201"/>
      <c r="O71" s="201"/>
      <c r="P71" s="201"/>
      <c r="Q71" s="201"/>
      <c r="R71" s="201"/>
      <c r="S71" s="201"/>
      <c r="T71" s="201"/>
      <c r="U71" s="201"/>
      <c r="V71" s="201"/>
      <c r="W71" s="201"/>
      <c r="X71" s="201"/>
      <c r="Y71" s="201"/>
      <c r="Z71" s="201"/>
      <c r="AA71" s="201"/>
    </row>
    <row r="72" spans="2:27" ht="15.5" thickBot="1">
      <c r="B72" s="203" t="s">
        <v>724</v>
      </c>
      <c r="C72" s="204">
        <v>2000</v>
      </c>
      <c r="D72" s="204">
        <v>2001</v>
      </c>
      <c r="E72" s="204">
        <v>2002</v>
      </c>
      <c r="F72" s="204">
        <v>2003</v>
      </c>
      <c r="G72" s="204">
        <v>2004</v>
      </c>
      <c r="H72" s="204">
        <v>2005</v>
      </c>
      <c r="I72" s="204">
        <v>2006</v>
      </c>
      <c r="J72" s="204">
        <v>2007</v>
      </c>
      <c r="K72" s="204">
        <v>2008</v>
      </c>
      <c r="L72" s="204">
        <v>2009</v>
      </c>
      <c r="M72" s="204">
        <v>2010</v>
      </c>
      <c r="N72" s="204">
        <v>2011</v>
      </c>
      <c r="O72" s="204">
        <v>2012</v>
      </c>
      <c r="P72" s="204">
        <v>2013</v>
      </c>
      <c r="Q72" s="204">
        <v>2014</v>
      </c>
      <c r="R72" s="204">
        <v>2015</v>
      </c>
      <c r="S72" s="204">
        <v>2016</v>
      </c>
      <c r="T72" s="204">
        <v>2017</v>
      </c>
      <c r="U72" s="204">
        <v>2018</v>
      </c>
      <c r="V72" s="204">
        <v>2019</v>
      </c>
      <c r="W72" s="204">
        <v>2020</v>
      </c>
      <c r="X72" s="204">
        <v>2021</v>
      </c>
      <c r="Y72" s="204">
        <v>2022</v>
      </c>
      <c r="Z72" s="204">
        <v>2023</v>
      </c>
      <c r="AA72" s="204" t="s">
        <v>697</v>
      </c>
    </row>
    <row r="73" spans="2:27" ht="15">
      <c r="B73" s="206" t="s">
        <v>725</v>
      </c>
      <c r="C73" s="207">
        <v>236.49</v>
      </c>
      <c r="D73" s="208">
        <v>247.47</v>
      </c>
      <c r="E73" s="208">
        <v>242.06</v>
      </c>
      <c r="F73" s="208">
        <v>253.71</v>
      </c>
      <c r="G73" s="208">
        <v>255.72</v>
      </c>
      <c r="H73" s="208">
        <v>261.35000000000002</v>
      </c>
      <c r="I73" s="208">
        <v>255.05</v>
      </c>
      <c r="J73" s="208">
        <v>234.46</v>
      </c>
      <c r="K73" s="208">
        <v>249</v>
      </c>
      <c r="L73" s="208">
        <v>246.82</v>
      </c>
      <c r="M73" s="208">
        <v>266.11</v>
      </c>
      <c r="N73" s="208">
        <v>226.42</v>
      </c>
      <c r="O73" s="208">
        <v>244.88</v>
      </c>
      <c r="P73" s="208">
        <v>259.58</v>
      </c>
      <c r="Q73" s="208">
        <v>219.17</v>
      </c>
      <c r="R73" s="208">
        <v>232.97</v>
      </c>
      <c r="S73" s="208">
        <v>241.3</v>
      </c>
      <c r="T73" s="208">
        <v>236.61</v>
      </c>
      <c r="U73" s="208">
        <v>223.88</v>
      </c>
      <c r="V73" s="208">
        <v>226.74</v>
      </c>
      <c r="W73" s="208">
        <v>219.39</v>
      </c>
      <c r="X73" s="208">
        <v>241.62</v>
      </c>
      <c r="Y73" s="208">
        <v>211.38</v>
      </c>
      <c r="Z73" s="208">
        <v>210.02</v>
      </c>
      <c r="AA73" s="209">
        <v>-0.1119286227747473</v>
      </c>
    </row>
    <row r="74" spans="2:27" ht="15">
      <c r="B74" s="206" t="s">
        <v>726</v>
      </c>
      <c r="C74" s="207">
        <v>160.77000000000001</v>
      </c>
      <c r="D74" s="208">
        <v>166.26</v>
      </c>
      <c r="E74" s="208">
        <v>158.82</v>
      </c>
      <c r="F74" s="208">
        <v>162.54</v>
      </c>
      <c r="G74" s="208">
        <v>165</v>
      </c>
      <c r="H74" s="208">
        <v>166.92</v>
      </c>
      <c r="I74" s="208">
        <v>170.53</v>
      </c>
      <c r="J74" s="208">
        <v>168.58</v>
      </c>
      <c r="K74" s="208">
        <v>171.31</v>
      </c>
      <c r="L74" s="208">
        <v>161.21</v>
      </c>
      <c r="M74" s="208">
        <v>169.04</v>
      </c>
      <c r="N74" s="208">
        <v>162.62</v>
      </c>
      <c r="O74" s="208">
        <v>164.26</v>
      </c>
      <c r="P74" s="208">
        <v>165.16</v>
      </c>
      <c r="Q74" s="208">
        <v>157.6</v>
      </c>
      <c r="R74" s="208">
        <v>154.93</v>
      </c>
      <c r="S74" s="208">
        <v>155.33000000000001</v>
      </c>
      <c r="T74" s="208">
        <v>156.24</v>
      </c>
      <c r="U74" s="208">
        <v>150.76</v>
      </c>
      <c r="V74" s="208">
        <v>150.4</v>
      </c>
      <c r="W74" s="208">
        <v>146.01</v>
      </c>
      <c r="X74" s="208">
        <v>154.34</v>
      </c>
      <c r="Y74" s="208">
        <v>145.24</v>
      </c>
      <c r="Z74" s="208">
        <v>136.97</v>
      </c>
      <c r="AA74" s="209">
        <v>-0.1480375691982336</v>
      </c>
    </row>
    <row r="75" spans="2:27" ht="15">
      <c r="B75" s="206" t="s">
        <v>727</v>
      </c>
      <c r="C75" s="207">
        <v>137.19999999999999</v>
      </c>
      <c r="D75" s="208">
        <v>143.93</v>
      </c>
      <c r="E75" s="208">
        <v>138.75</v>
      </c>
      <c r="F75" s="208">
        <v>144.83000000000001</v>
      </c>
      <c r="G75" s="208">
        <v>144.26</v>
      </c>
      <c r="H75" s="208">
        <v>148.75</v>
      </c>
      <c r="I75" s="208">
        <v>145.68</v>
      </c>
      <c r="J75" s="208">
        <v>137.41</v>
      </c>
      <c r="K75" s="208">
        <v>144.62</v>
      </c>
      <c r="L75" s="208">
        <v>142.80000000000001</v>
      </c>
      <c r="M75" s="208">
        <v>152.29</v>
      </c>
      <c r="N75" s="208">
        <v>135.91999999999999</v>
      </c>
      <c r="O75" s="208">
        <v>144.02000000000001</v>
      </c>
      <c r="P75" s="208">
        <v>150.88999999999999</v>
      </c>
      <c r="Q75" s="208">
        <v>131.66</v>
      </c>
      <c r="R75" s="208">
        <v>139.13</v>
      </c>
      <c r="S75" s="208">
        <v>143.15</v>
      </c>
      <c r="T75" s="208">
        <v>141.13</v>
      </c>
      <c r="U75" s="208">
        <v>135.02000000000001</v>
      </c>
      <c r="V75" s="208">
        <v>135.62</v>
      </c>
      <c r="W75" s="208">
        <v>128.59</v>
      </c>
      <c r="X75" s="208">
        <v>137.03</v>
      </c>
      <c r="Y75" s="208">
        <v>122.6</v>
      </c>
      <c r="Z75" s="208">
        <v>121.51</v>
      </c>
      <c r="AA75" s="209">
        <v>-0.1143586005830903</v>
      </c>
    </row>
    <row r="76" spans="2:27" ht="15">
      <c r="B76" s="206" t="s">
        <v>728</v>
      </c>
      <c r="C76" s="207">
        <v>304.12</v>
      </c>
      <c r="D76" s="208">
        <v>296.83999999999997</v>
      </c>
      <c r="E76" s="208">
        <v>291.99</v>
      </c>
      <c r="F76" s="208">
        <v>289.44</v>
      </c>
      <c r="G76" s="208">
        <v>288.18</v>
      </c>
      <c r="H76" s="208">
        <v>290.47000000000003</v>
      </c>
      <c r="I76" s="208">
        <v>295.41000000000003</v>
      </c>
      <c r="J76" s="208">
        <v>303.42</v>
      </c>
      <c r="K76" s="208">
        <v>312.97000000000003</v>
      </c>
      <c r="L76" s="208">
        <v>307.19</v>
      </c>
      <c r="M76" s="208">
        <v>309.24</v>
      </c>
      <c r="N76" s="208">
        <v>310.45999999999998</v>
      </c>
      <c r="O76" s="208">
        <v>313.89999999999998</v>
      </c>
      <c r="P76" s="208">
        <v>313.54000000000002</v>
      </c>
      <c r="Q76" s="208">
        <v>312.56</v>
      </c>
      <c r="R76" s="208">
        <v>306.2</v>
      </c>
      <c r="S76" s="208">
        <v>308.81</v>
      </c>
      <c r="T76" s="208">
        <v>309.01</v>
      </c>
      <c r="U76" s="208">
        <v>315.14999999999998</v>
      </c>
      <c r="V76" s="208">
        <v>315.52</v>
      </c>
      <c r="W76" s="208">
        <v>246.54</v>
      </c>
      <c r="X76" s="208">
        <v>252.75</v>
      </c>
      <c r="Y76" s="208">
        <v>277.12</v>
      </c>
      <c r="Z76" s="208">
        <v>289.7</v>
      </c>
      <c r="AA76" s="209">
        <v>-4.7415493883993208E-2</v>
      </c>
    </row>
    <row r="77" spans="2:27" ht="15.5" thickBot="1">
      <c r="B77" s="211" t="s">
        <v>729</v>
      </c>
      <c r="C77" s="212">
        <v>9.2100000000000009</v>
      </c>
      <c r="D77" s="213">
        <v>16.149999999999999</v>
      </c>
      <c r="E77" s="213">
        <v>11.61</v>
      </c>
      <c r="F77" s="213">
        <v>12.89</v>
      </c>
      <c r="G77" s="213">
        <v>13.27</v>
      </c>
      <c r="H77" s="213">
        <v>11.5</v>
      </c>
      <c r="I77" s="213">
        <v>9.8699999999999992</v>
      </c>
      <c r="J77" s="213">
        <v>9.4499999999999993</v>
      </c>
      <c r="K77" s="213">
        <v>9.41</v>
      </c>
      <c r="L77" s="213">
        <v>9.32</v>
      </c>
      <c r="M77" s="213">
        <v>8.9499999999999993</v>
      </c>
      <c r="N77" s="213">
        <v>9.44</v>
      </c>
      <c r="O77" s="213">
        <v>9.2799999999999994</v>
      </c>
      <c r="P77" s="213">
        <v>9.2100000000000009</v>
      </c>
      <c r="Q77" s="213">
        <v>7.56</v>
      </c>
      <c r="R77" s="213">
        <v>8.0500000000000007</v>
      </c>
      <c r="S77" s="213">
        <v>8.39</v>
      </c>
      <c r="T77" s="213">
        <v>9.82</v>
      </c>
      <c r="U77" s="213">
        <v>8.9700000000000006</v>
      </c>
      <c r="V77" s="213">
        <v>8.5399999999999991</v>
      </c>
      <c r="W77" s="213">
        <v>8.39</v>
      </c>
      <c r="X77" s="213">
        <v>10.3</v>
      </c>
      <c r="Y77" s="213">
        <v>8.92</v>
      </c>
      <c r="Z77" s="213">
        <v>9.25</v>
      </c>
      <c r="AA77" s="214">
        <v>4.3431053203039248E-3</v>
      </c>
    </row>
    <row r="78" spans="2:27" ht="15.5" thickBot="1">
      <c r="B78" s="221" t="s">
        <v>61</v>
      </c>
      <c r="C78" s="222">
        <v>847.79000000000008</v>
      </c>
      <c r="D78" s="223">
        <v>870.65</v>
      </c>
      <c r="E78" s="223">
        <v>843.23</v>
      </c>
      <c r="F78" s="223">
        <v>863.41</v>
      </c>
      <c r="G78" s="223">
        <v>866.43000000000006</v>
      </c>
      <c r="H78" s="223">
        <v>878.99</v>
      </c>
      <c r="I78" s="223">
        <v>876.54000000000008</v>
      </c>
      <c r="J78" s="223">
        <v>853.32000000000016</v>
      </c>
      <c r="K78" s="223">
        <v>887.31000000000006</v>
      </c>
      <c r="L78" s="223">
        <v>867.34</v>
      </c>
      <c r="M78" s="223">
        <v>905.63</v>
      </c>
      <c r="N78" s="223">
        <v>844.8599999999999</v>
      </c>
      <c r="O78" s="223">
        <v>876.33999999999992</v>
      </c>
      <c r="P78" s="223">
        <v>898.38000000000011</v>
      </c>
      <c r="Q78" s="223">
        <v>828.55</v>
      </c>
      <c r="R78" s="223">
        <v>841.28</v>
      </c>
      <c r="S78" s="223">
        <v>856.9799999999999</v>
      </c>
      <c r="T78" s="223">
        <v>852.81000000000006</v>
      </c>
      <c r="U78" s="223">
        <v>833.78</v>
      </c>
      <c r="V78" s="223">
        <v>836.81999999999994</v>
      </c>
      <c r="W78" s="223">
        <v>748.92</v>
      </c>
      <c r="X78" s="223">
        <v>796.04</v>
      </c>
      <c r="Y78" s="223">
        <v>765.26</v>
      </c>
      <c r="Z78" s="223">
        <v>767.45</v>
      </c>
      <c r="AA78" s="219">
        <v>-9.4764033546043278E-2</v>
      </c>
    </row>
    <row r="82" spans="2:27" ht="15.5">
      <c r="B82" s="198" t="s">
        <v>730</v>
      </c>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c r="AA82" s="199"/>
    </row>
    <row r="83" spans="2:27">
      <c r="B83" s="200" t="s">
        <v>731</v>
      </c>
      <c r="C83" s="201"/>
      <c r="D83" s="201"/>
      <c r="E83" s="201"/>
      <c r="F83" s="201"/>
      <c r="G83" s="201"/>
      <c r="H83" s="201"/>
      <c r="I83" s="201"/>
      <c r="J83" s="201"/>
      <c r="K83" s="201"/>
      <c r="L83" s="201"/>
      <c r="M83" s="201"/>
      <c r="N83" s="201"/>
      <c r="O83" s="201"/>
      <c r="P83" s="201"/>
      <c r="Q83" s="201"/>
      <c r="R83" s="201"/>
      <c r="S83" s="201"/>
      <c r="T83" s="201"/>
      <c r="U83" s="201"/>
      <c r="V83" s="201"/>
      <c r="W83" s="201"/>
      <c r="X83" s="201"/>
      <c r="Y83" s="201"/>
      <c r="Z83" s="201"/>
      <c r="AA83" s="201"/>
    </row>
    <row r="84" spans="2:27" ht="15.5" thickBot="1">
      <c r="B84" s="203" t="s">
        <v>679</v>
      </c>
      <c r="C84" s="204">
        <v>2000</v>
      </c>
      <c r="D84" s="204">
        <v>2001</v>
      </c>
      <c r="E84" s="204">
        <v>2002</v>
      </c>
      <c r="F84" s="204">
        <v>2003</v>
      </c>
      <c r="G84" s="204">
        <v>2004</v>
      </c>
      <c r="H84" s="204">
        <v>2005</v>
      </c>
      <c r="I84" s="204">
        <v>2006</v>
      </c>
      <c r="J84" s="204">
        <v>2007</v>
      </c>
      <c r="K84" s="204">
        <v>2008</v>
      </c>
      <c r="L84" s="204">
        <v>2009</v>
      </c>
      <c r="M84" s="204">
        <v>2010</v>
      </c>
      <c r="N84" s="204">
        <v>2011</v>
      </c>
      <c r="O84" s="204">
        <v>2012</v>
      </c>
      <c r="P84" s="204">
        <v>2013</v>
      </c>
      <c r="Q84" s="204">
        <v>2014</v>
      </c>
      <c r="R84" s="204">
        <v>2015</v>
      </c>
      <c r="S84" s="204">
        <v>2016</v>
      </c>
      <c r="T84" s="204">
        <v>2017</v>
      </c>
      <c r="U84" s="204">
        <v>2018</v>
      </c>
      <c r="V84" s="204">
        <v>2019</v>
      </c>
      <c r="W84" s="204">
        <v>2020</v>
      </c>
      <c r="X84" s="204">
        <v>2021</v>
      </c>
      <c r="Y84" s="204">
        <v>2022</v>
      </c>
      <c r="Z84" s="204">
        <v>2023</v>
      </c>
      <c r="AA84" s="204" t="s">
        <v>680</v>
      </c>
    </row>
    <row r="85" spans="2:27" ht="15">
      <c r="B85" s="206" t="s">
        <v>681</v>
      </c>
      <c r="C85" s="207">
        <v>247.3107479870892</v>
      </c>
      <c r="D85" s="208">
        <v>269.62539366750349</v>
      </c>
      <c r="E85" s="208">
        <v>247.49340488399059</v>
      </c>
      <c r="F85" s="208">
        <v>269.70266555204819</v>
      </c>
      <c r="G85" s="208">
        <v>263.96037492524539</v>
      </c>
      <c r="H85" s="208">
        <v>272.48360683599822</v>
      </c>
      <c r="I85" s="208">
        <v>263.39991093113071</v>
      </c>
      <c r="J85" s="208">
        <v>229.94725221630509</v>
      </c>
      <c r="K85" s="208">
        <v>255.10886490933919</v>
      </c>
      <c r="L85" s="208">
        <v>250.13014599804049</v>
      </c>
      <c r="M85" s="208">
        <v>282.00455876539962</v>
      </c>
      <c r="N85" s="208">
        <v>216.93924480475059</v>
      </c>
      <c r="O85" s="208">
        <v>245.85132813213099</v>
      </c>
      <c r="P85" s="208">
        <v>271.20146748771242</v>
      </c>
      <c r="Q85" s="208">
        <v>201.08432740298139</v>
      </c>
      <c r="R85" s="208">
        <v>223.8367151836797</v>
      </c>
      <c r="S85" s="208">
        <v>239.46184311581871</v>
      </c>
      <c r="T85" s="208">
        <v>230.19038303352369</v>
      </c>
      <c r="U85" s="208">
        <v>208.71445917977769</v>
      </c>
      <c r="V85" s="208">
        <v>211.89549109204339</v>
      </c>
      <c r="W85" s="208">
        <v>196.34106876875521</v>
      </c>
      <c r="X85" s="208">
        <v>232.11571083964569</v>
      </c>
      <c r="Y85" s="208">
        <v>183.05074917216129</v>
      </c>
      <c r="Z85" s="208">
        <v>187.1322887792268</v>
      </c>
      <c r="AA85" s="209">
        <v>-0.24333135416744611</v>
      </c>
    </row>
    <row r="86" spans="2:27" ht="15">
      <c r="B86" s="206" t="s">
        <v>682</v>
      </c>
      <c r="C86" s="207">
        <v>40.312701240937919</v>
      </c>
      <c r="D86" s="208">
        <v>40.019629349002507</v>
      </c>
      <c r="E86" s="208">
        <v>40.115681178967051</v>
      </c>
      <c r="F86" s="208">
        <v>40.072389362479207</v>
      </c>
      <c r="G86" s="208">
        <v>39.894959288321047</v>
      </c>
      <c r="H86" s="208">
        <v>39.666571762388941</v>
      </c>
      <c r="I86" s="208">
        <v>39.718372419717802</v>
      </c>
      <c r="J86" s="208">
        <v>39.690658561095432</v>
      </c>
      <c r="K86" s="208">
        <v>39.462153014458508</v>
      </c>
      <c r="L86" s="208">
        <v>39.410551115726847</v>
      </c>
      <c r="M86" s="208">
        <v>39.070140737579962</v>
      </c>
      <c r="N86" s="208">
        <v>38.72234197682657</v>
      </c>
      <c r="O86" s="208">
        <v>38.296813161431039</v>
      </c>
      <c r="P86" s="208">
        <v>38.072038775246988</v>
      </c>
      <c r="Q86" s="208">
        <v>37.683463072869003</v>
      </c>
      <c r="R86" s="208">
        <v>37.35715429384134</v>
      </c>
      <c r="S86" s="208">
        <v>36.982727131098741</v>
      </c>
      <c r="T86" s="208">
        <v>36.41320063308347</v>
      </c>
      <c r="U86" s="208">
        <v>36.095446199370187</v>
      </c>
      <c r="V86" s="208">
        <v>35.939410793892343</v>
      </c>
      <c r="W86" s="208">
        <v>36.539809189012573</v>
      </c>
      <c r="X86" s="208">
        <v>35.516676835128273</v>
      </c>
      <c r="Y86" s="208">
        <v>35.051659294757627</v>
      </c>
      <c r="Z86" s="208">
        <v>34.424248516037537</v>
      </c>
      <c r="AA86" s="209">
        <v>-0.14606941593188491</v>
      </c>
    </row>
    <row r="87" spans="2:27" ht="15">
      <c r="B87" s="206" t="s">
        <v>683</v>
      </c>
      <c r="C87" s="207">
        <v>88.936111226039515</v>
      </c>
      <c r="D87" s="208">
        <v>87.596832377137446</v>
      </c>
      <c r="E87" s="208">
        <v>83.224421747758285</v>
      </c>
      <c r="F87" s="208">
        <v>83.411699958078927</v>
      </c>
      <c r="G87" s="208">
        <v>84.189976928344649</v>
      </c>
      <c r="H87" s="208">
        <v>85.526281549227704</v>
      </c>
      <c r="I87" s="208">
        <v>85.187356751647556</v>
      </c>
      <c r="J87" s="208">
        <v>86.557003327725766</v>
      </c>
      <c r="K87" s="208">
        <v>85.286548957811732</v>
      </c>
      <c r="L87" s="208">
        <v>75.99833182018746</v>
      </c>
      <c r="M87" s="208">
        <v>79.535041332890003</v>
      </c>
      <c r="N87" s="208">
        <v>79.08927200354718</v>
      </c>
      <c r="O87" s="208">
        <v>79.585267901266562</v>
      </c>
      <c r="P87" s="208">
        <v>78.610826182356718</v>
      </c>
      <c r="Q87" s="208">
        <v>76.676452003975967</v>
      </c>
      <c r="R87" s="208">
        <v>74.406308479968828</v>
      </c>
      <c r="S87" s="208">
        <v>74.772058707409599</v>
      </c>
      <c r="T87" s="208">
        <v>74.557342122259541</v>
      </c>
      <c r="U87" s="208">
        <v>75.275580574839751</v>
      </c>
      <c r="V87" s="208">
        <v>74.670220532821887</v>
      </c>
      <c r="W87" s="208">
        <v>71.748002178365851</v>
      </c>
      <c r="X87" s="208">
        <v>74.678724549547141</v>
      </c>
      <c r="Y87" s="208">
        <v>74.490726589275781</v>
      </c>
      <c r="Z87" s="208">
        <v>69.83487465307401</v>
      </c>
      <c r="AA87" s="209">
        <v>-0.21477481204926879</v>
      </c>
    </row>
    <row r="88" spans="2:27" ht="15">
      <c r="B88" s="206" t="s">
        <v>684</v>
      </c>
      <c r="C88" s="207">
        <v>0</v>
      </c>
      <c r="D88" s="208">
        <v>0</v>
      </c>
      <c r="E88" s="208">
        <v>0</v>
      </c>
      <c r="F88" s="208">
        <v>0</v>
      </c>
      <c r="G88" s="208">
        <v>0</v>
      </c>
      <c r="H88" s="208">
        <v>0</v>
      </c>
      <c r="I88" s="208">
        <v>0</v>
      </c>
      <c r="J88" s="208">
        <v>0</v>
      </c>
      <c r="K88" s="208">
        <v>0</v>
      </c>
      <c r="L88" s="208">
        <v>0</v>
      </c>
      <c r="M88" s="208">
        <v>0</v>
      </c>
      <c r="N88" s="208">
        <v>0</v>
      </c>
      <c r="O88" s="208">
        <v>0</v>
      </c>
      <c r="P88" s="208">
        <v>0</v>
      </c>
      <c r="Q88" s="208">
        <v>0</v>
      </c>
      <c r="R88" s="208">
        <v>0</v>
      </c>
      <c r="S88" s="208">
        <v>0</v>
      </c>
      <c r="T88" s="208">
        <v>0</v>
      </c>
      <c r="U88" s="208">
        <v>0</v>
      </c>
      <c r="V88" s="208">
        <v>0</v>
      </c>
      <c r="W88" s="208">
        <v>0</v>
      </c>
      <c r="X88" s="208">
        <v>0</v>
      </c>
      <c r="Y88" s="208">
        <v>0</v>
      </c>
      <c r="Z88" s="208">
        <v>0</v>
      </c>
      <c r="AA88" s="209">
        <v>0</v>
      </c>
    </row>
    <row r="89" spans="2:27" ht="15">
      <c r="B89" s="206" t="s">
        <v>685</v>
      </c>
      <c r="C89" s="207">
        <v>0</v>
      </c>
      <c r="D89" s="208">
        <v>0</v>
      </c>
      <c r="E89" s="208">
        <v>0</v>
      </c>
      <c r="F89" s="208">
        <v>0</v>
      </c>
      <c r="G89" s="208">
        <v>0</v>
      </c>
      <c r="H89" s="208">
        <v>0</v>
      </c>
      <c r="I89" s="208">
        <v>0</v>
      </c>
      <c r="J89" s="208">
        <v>0</v>
      </c>
      <c r="K89" s="208">
        <v>0</v>
      </c>
      <c r="L89" s="208">
        <v>0</v>
      </c>
      <c r="M89" s="208">
        <v>0</v>
      </c>
      <c r="N89" s="208">
        <v>0</v>
      </c>
      <c r="O89" s="208">
        <v>0</v>
      </c>
      <c r="P89" s="208">
        <v>0</v>
      </c>
      <c r="Q89" s="208">
        <v>0</v>
      </c>
      <c r="R89" s="208">
        <v>0</v>
      </c>
      <c r="S89" s="208">
        <v>0</v>
      </c>
      <c r="T89" s="208">
        <v>0</v>
      </c>
      <c r="U89" s="208">
        <v>0</v>
      </c>
      <c r="V89" s="208">
        <v>0</v>
      </c>
      <c r="W89" s="208">
        <v>0</v>
      </c>
      <c r="X89" s="208">
        <v>0</v>
      </c>
      <c r="Y89" s="208">
        <v>0</v>
      </c>
      <c r="Z89" s="208">
        <v>0</v>
      </c>
      <c r="AA89" s="209">
        <v>0</v>
      </c>
    </row>
    <row r="90" spans="2:27" ht="15">
      <c r="B90" s="206" t="s">
        <v>686</v>
      </c>
      <c r="C90" s="207">
        <v>0</v>
      </c>
      <c r="D90" s="208">
        <v>0</v>
      </c>
      <c r="E90" s="208">
        <v>0</v>
      </c>
      <c r="F90" s="208">
        <v>0</v>
      </c>
      <c r="G90" s="208">
        <v>0</v>
      </c>
      <c r="H90" s="208">
        <v>0</v>
      </c>
      <c r="I90" s="208">
        <v>0</v>
      </c>
      <c r="J90" s="208">
        <v>0</v>
      </c>
      <c r="K90" s="208">
        <v>0</v>
      </c>
      <c r="L90" s="208">
        <v>0</v>
      </c>
      <c r="M90" s="208">
        <v>0</v>
      </c>
      <c r="N90" s="208">
        <v>0</v>
      </c>
      <c r="O90" s="208">
        <v>0</v>
      </c>
      <c r="P90" s="208">
        <v>0</v>
      </c>
      <c r="Q90" s="208">
        <v>0</v>
      </c>
      <c r="R90" s="208">
        <v>0</v>
      </c>
      <c r="S90" s="208">
        <v>0</v>
      </c>
      <c r="T90" s="208">
        <v>0</v>
      </c>
      <c r="U90" s="208">
        <v>0</v>
      </c>
      <c r="V90" s="208">
        <v>0</v>
      </c>
      <c r="W90" s="208">
        <v>0</v>
      </c>
      <c r="X90" s="208">
        <v>0</v>
      </c>
      <c r="Y90" s="208">
        <v>0</v>
      </c>
      <c r="Z90" s="208">
        <v>0</v>
      </c>
      <c r="AA90" s="209">
        <v>0</v>
      </c>
    </row>
    <row r="91" spans="2:27" ht="15">
      <c r="B91" s="206" t="s">
        <v>687</v>
      </c>
      <c r="C91" s="207">
        <v>3.6557520839998858E-2</v>
      </c>
      <c r="D91" s="208">
        <v>3.8364443199995428E-2</v>
      </c>
      <c r="E91" s="208">
        <v>3.6808256789989002E-2</v>
      </c>
      <c r="F91" s="208">
        <v>3.8610026539984688E-2</v>
      </c>
      <c r="G91" s="208">
        <v>3.8459250259997191E-2</v>
      </c>
      <c r="H91" s="208">
        <v>4.0379313389983913E-2</v>
      </c>
      <c r="I91" s="208">
        <v>3.9662611380009587E-2</v>
      </c>
      <c r="J91" s="208">
        <v>3.7092490139997381E-2</v>
      </c>
      <c r="K91" s="208">
        <v>3.8188554779999613E-2</v>
      </c>
      <c r="L91" s="208">
        <v>3.5003409300003341E-2</v>
      </c>
      <c r="M91" s="208">
        <v>3.6023996099991962E-2</v>
      </c>
      <c r="N91" s="208">
        <v>3.6469635299987153E-2</v>
      </c>
      <c r="O91" s="208">
        <v>4.4204409799995403E-2</v>
      </c>
      <c r="P91" s="208">
        <v>4.2604223099985461E-2</v>
      </c>
      <c r="Q91" s="208">
        <v>3.571262869999714E-2</v>
      </c>
      <c r="R91" s="208">
        <v>3.5075180900001612E-2</v>
      </c>
      <c r="S91" s="208">
        <v>3.6871117099984467E-2</v>
      </c>
      <c r="T91" s="208">
        <v>3.6941280799986487E-2</v>
      </c>
      <c r="U91" s="208">
        <v>3.836639520000773E-2</v>
      </c>
      <c r="V91" s="208">
        <v>3.8573886899996523E-2</v>
      </c>
      <c r="W91" s="208">
        <v>3.8791822599996813E-2</v>
      </c>
      <c r="X91" s="208">
        <v>3.8926141299981509E-2</v>
      </c>
      <c r="Y91" s="208">
        <v>3.9066303699996752E-2</v>
      </c>
      <c r="Z91" s="208">
        <v>3.8364537099997882E-2</v>
      </c>
      <c r="AA91" s="209">
        <v>4.9429398342075138E-2</v>
      </c>
    </row>
    <row r="92" spans="2:27" ht="15">
      <c r="B92" s="206" t="s">
        <v>688</v>
      </c>
      <c r="C92" s="207">
        <v>215.09722062709011</v>
      </c>
      <c r="D92" s="208">
        <v>215.90337255349729</v>
      </c>
      <c r="E92" s="208">
        <v>216.46311230136891</v>
      </c>
      <c r="F92" s="208">
        <v>216.7959533360698</v>
      </c>
      <c r="G92" s="208">
        <v>217.4451065304055</v>
      </c>
      <c r="H92" s="208">
        <v>216.9996524439423</v>
      </c>
      <c r="I92" s="208">
        <v>217.14602254896289</v>
      </c>
      <c r="J92" s="208">
        <v>218.322799752408</v>
      </c>
      <c r="K92" s="208">
        <v>220.13418618168251</v>
      </c>
      <c r="L92" s="208">
        <v>222.10268414292051</v>
      </c>
      <c r="M92" s="208">
        <v>223.45482020963681</v>
      </c>
      <c r="N92" s="208">
        <v>223.20838641286969</v>
      </c>
      <c r="O92" s="208">
        <v>222.9806051947497</v>
      </c>
      <c r="P92" s="208">
        <v>223.4519292497109</v>
      </c>
      <c r="Q92" s="208">
        <v>223.85212988592761</v>
      </c>
      <c r="R92" s="208">
        <v>224.00374811016249</v>
      </c>
      <c r="S92" s="208">
        <v>224.98431375221219</v>
      </c>
      <c r="T92" s="208">
        <v>220.17299781624499</v>
      </c>
      <c r="U92" s="208">
        <v>219.29340776606179</v>
      </c>
      <c r="V92" s="208">
        <v>218.94568873356511</v>
      </c>
      <c r="W92" s="208">
        <v>200.21522764464541</v>
      </c>
      <c r="X92" s="208">
        <v>207.0282723087777</v>
      </c>
      <c r="Y92" s="208">
        <v>210.59650724448059</v>
      </c>
      <c r="Z92" s="208">
        <v>209.0536406832652</v>
      </c>
      <c r="AA92" s="209">
        <v>-2.8096969018035819E-2</v>
      </c>
    </row>
    <row r="93" spans="2:27" ht="15.5" thickBot="1">
      <c r="B93" s="211" t="s">
        <v>689</v>
      </c>
      <c r="C93" s="212">
        <v>1.832210371791281</v>
      </c>
      <c r="D93" s="213">
        <v>1.889050518745647</v>
      </c>
      <c r="E93" s="213">
        <v>1.8400148355171331</v>
      </c>
      <c r="F93" s="213">
        <v>1.91508600793761</v>
      </c>
      <c r="G93" s="213">
        <v>1.91178897825351</v>
      </c>
      <c r="H93" s="213">
        <v>2.0462687785051918</v>
      </c>
      <c r="I93" s="213">
        <v>1.8947670666337211</v>
      </c>
      <c r="J93" s="213">
        <v>1.807345913964219</v>
      </c>
      <c r="K93" s="213">
        <v>1.84361795685249</v>
      </c>
      <c r="L93" s="213">
        <v>1.743867315471253</v>
      </c>
      <c r="M93" s="213">
        <v>1.795396364807619</v>
      </c>
      <c r="N93" s="213">
        <v>1.907773920896259</v>
      </c>
      <c r="O93" s="213">
        <v>1.8939135129865521</v>
      </c>
      <c r="P93" s="213">
        <v>1.8234311091202811</v>
      </c>
      <c r="Q93" s="213">
        <v>1.7995072250599859</v>
      </c>
      <c r="R93" s="213">
        <v>1.7784946988082251</v>
      </c>
      <c r="S93" s="213">
        <v>1.8108916894558349</v>
      </c>
      <c r="T93" s="213">
        <v>1.7346274124928509</v>
      </c>
      <c r="U93" s="213">
        <v>1.77870364489968</v>
      </c>
      <c r="V93" s="213">
        <v>1.761541047141399</v>
      </c>
      <c r="W93" s="213">
        <v>1.7278682384813131</v>
      </c>
      <c r="X93" s="213">
        <v>1.7351640893316</v>
      </c>
      <c r="Y93" s="213">
        <v>1.7139536523637009</v>
      </c>
      <c r="Z93" s="213">
        <v>1.632998705609001</v>
      </c>
      <c r="AA93" s="214">
        <v>-0.1087275070861642</v>
      </c>
    </row>
    <row r="94" spans="2:27" ht="15.5" thickBot="1">
      <c r="B94" s="216" t="s">
        <v>690</v>
      </c>
      <c r="C94" s="217">
        <v>593.52554897378798</v>
      </c>
      <c r="D94" s="218">
        <v>615.07264290908643</v>
      </c>
      <c r="E94" s="218">
        <v>589.1734432043919</v>
      </c>
      <c r="F94" s="218">
        <v>611.93640424315367</v>
      </c>
      <c r="G94" s="218">
        <v>607.44066590083014</v>
      </c>
      <c r="H94" s="218">
        <v>616.76276068345237</v>
      </c>
      <c r="I94" s="218">
        <v>607.3860923294726</v>
      </c>
      <c r="J94" s="218">
        <v>576.36215226163847</v>
      </c>
      <c r="K94" s="218">
        <v>601.87355957492434</v>
      </c>
      <c r="L94" s="218">
        <v>589.42058380164656</v>
      </c>
      <c r="M94" s="218">
        <v>625.89598140641397</v>
      </c>
      <c r="N94" s="218">
        <v>559.90348875419033</v>
      </c>
      <c r="O94" s="218">
        <v>588.65213231236476</v>
      </c>
      <c r="P94" s="218">
        <v>613.20229702724737</v>
      </c>
      <c r="Q94" s="218">
        <v>541.13159221951389</v>
      </c>
      <c r="R94" s="218">
        <v>561.41749594736052</v>
      </c>
      <c r="S94" s="218">
        <v>578.048705513095</v>
      </c>
      <c r="T94" s="218">
        <v>563.10549229840456</v>
      </c>
      <c r="U94" s="218">
        <v>541.1959637601492</v>
      </c>
      <c r="V94" s="218">
        <v>543.25092608636407</v>
      </c>
      <c r="W94" s="218">
        <v>506.61076784186042</v>
      </c>
      <c r="X94" s="218">
        <v>551.11347476373055</v>
      </c>
      <c r="Y94" s="218">
        <v>504.94266225673903</v>
      </c>
      <c r="Z94" s="218">
        <v>502.11641587431251</v>
      </c>
      <c r="AA94" s="219">
        <v>-0.1540104436237377</v>
      </c>
    </row>
    <row r="95" spans="2:27" ht="15">
      <c r="B95" s="206" t="s">
        <v>691</v>
      </c>
      <c r="C95" s="207">
        <v>16.103935557916941</v>
      </c>
      <c r="D95" s="208">
        <v>9.8508335519246835</v>
      </c>
      <c r="E95" s="208">
        <v>10.330949684866511</v>
      </c>
      <c r="F95" s="208">
        <v>13.708517435768201</v>
      </c>
      <c r="G95" s="208">
        <v>14.69480951379721</v>
      </c>
      <c r="H95" s="208">
        <v>15.20574265320775</v>
      </c>
      <c r="I95" s="208">
        <v>16.249187660043901</v>
      </c>
      <c r="J95" s="208">
        <v>20.214787020014651</v>
      </c>
      <c r="K95" s="208">
        <v>19.098495083396109</v>
      </c>
      <c r="L95" s="208">
        <v>17.563770071635421</v>
      </c>
      <c r="M95" s="208">
        <v>14.575992190396009</v>
      </c>
      <c r="N95" s="208">
        <v>11.905002679826151</v>
      </c>
      <c r="O95" s="208">
        <v>11.884343873594879</v>
      </c>
      <c r="P95" s="208">
        <v>13.112617600293859</v>
      </c>
      <c r="Q95" s="208">
        <v>12.2777861214593</v>
      </c>
      <c r="R95" s="208">
        <v>3.9388062380758249</v>
      </c>
      <c r="S95" s="208">
        <v>3.6638750185761042</v>
      </c>
      <c r="T95" s="208">
        <v>3.6503978759189399</v>
      </c>
      <c r="U95" s="208">
        <v>3.650053932985843</v>
      </c>
      <c r="V95" s="208">
        <v>3.581323828272355</v>
      </c>
      <c r="W95" s="208">
        <v>2.8981204363684232</v>
      </c>
      <c r="X95" s="208">
        <v>3.239722266373573</v>
      </c>
      <c r="Y95" s="208">
        <v>-2.2719991267179922</v>
      </c>
      <c r="Z95" s="208">
        <v>-2.030560501890851</v>
      </c>
      <c r="AA95" s="209">
        <v>-1.126090948053539</v>
      </c>
    </row>
    <row r="96" spans="2:27" ht="15.5" thickBot="1">
      <c r="B96" s="211" t="s">
        <v>692</v>
      </c>
      <c r="C96" s="212">
        <v>63.725999999999978</v>
      </c>
      <c r="D96" s="213">
        <v>60.08121613246994</v>
      </c>
      <c r="E96" s="213">
        <v>55.543759743999942</v>
      </c>
      <c r="F96" s="213">
        <v>49.876295291025002</v>
      </c>
      <c r="G96" s="213">
        <v>46.986902798400003</v>
      </c>
      <c r="H96" s="213">
        <v>47.774999999999999</v>
      </c>
      <c r="I96" s="213">
        <v>50.232960705814982</v>
      </c>
      <c r="J96" s="213">
        <v>53.692337476642322</v>
      </c>
      <c r="K96" s="213">
        <v>58.023333134531903</v>
      </c>
      <c r="L96" s="213">
        <v>55.426115666133242</v>
      </c>
      <c r="M96" s="213">
        <v>58.333845351208659</v>
      </c>
      <c r="N96" s="213">
        <v>62.460999999999991</v>
      </c>
      <c r="O96" s="213">
        <v>63.903393344235667</v>
      </c>
      <c r="P96" s="213">
        <v>64.709217854733311</v>
      </c>
      <c r="Q96" s="213">
        <v>65.005934400000001</v>
      </c>
      <c r="R96" s="213">
        <v>67.333186146648785</v>
      </c>
      <c r="S96" s="213">
        <v>70.602530542076451</v>
      </c>
      <c r="T96" s="213">
        <v>72.823626141045082</v>
      </c>
      <c r="U96" s="213">
        <v>77.213772828316394</v>
      </c>
      <c r="V96" s="213">
        <v>78.196170522173119</v>
      </c>
      <c r="W96" s="213">
        <v>28.17015369921095</v>
      </c>
      <c r="X96" s="213">
        <v>31.872348443146649</v>
      </c>
      <c r="Y96" s="213">
        <v>57.579003214475357</v>
      </c>
      <c r="Z96" s="213">
        <v>68.498812525070633</v>
      </c>
      <c r="AA96" s="214">
        <v>7.4895843534360379E-2</v>
      </c>
    </row>
    <row r="97" spans="1:27" ht="15.5" thickBot="1">
      <c r="B97" s="221" t="s">
        <v>732</v>
      </c>
      <c r="C97" s="222">
        <v>673.35548453170486</v>
      </c>
      <c r="D97" s="223">
        <v>685.00469259348108</v>
      </c>
      <c r="E97" s="223">
        <v>655.04815263325827</v>
      </c>
      <c r="F97" s="223">
        <v>675.52121696994686</v>
      </c>
      <c r="G97" s="223">
        <v>669.12237821302733</v>
      </c>
      <c r="H97" s="223">
        <v>679.74350333666007</v>
      </c>
      <c r="I97" s="223">
        <v>673.86824069533156</v>
      </c>
      <c r="J97" s="223">
        <v>650.26927675829552</v>
      </c>
      <c r="K97" s="223">
        <v>678.99538779285228</v>
      </c>
      <c r="L97" s="223">
        <v>662.4104695394152</v>
      </c>
      <c r="M97" s="223">
        <v>698.80581894801867</v>
      </c>
      <c r="N97" s="223">
        <v>634.26949143401646</v>
      </c>
      <c r="O97" s="223">
        <v>664.43986953019532</v>
      </c>
      <c r="P97" s="223">
        <v>691.02413248227458</v>
      </c>
      <c r="Q97" s="223">
        <v>618.41531274097315</v>
      </c>
      <c r="R97" s="223">
        <v>632.68948833208515</v>
      </c>
      <c r="S97" s="223">
        <v>652.31511107374752</v>
      </c>
      <c r="T97" s="223">
        <v>639.57951631536855</v>
      </c>
      <c r="U97" s="223">
        <v>622.05979052145153</v>
      </c>
      <c r="V97" s="223">
        <v>625.0284204368096</v>
      </c>
      <c r="W97" s="223">
        <v>537.67904197743974</v>
      </c>
      <c r="X97" s="223">
        <v>586.22554547325069</v>
      </c>
      <c r="Y97" s="223">
        <v>560.24966634449629</v>
      </c>
      <c r="Z97" s="223">
        <v>568.5846678974923</v>
      </c>
      <c r="AA97" s="219">
        <v>-0.15559510398445331</v>
      </c>
    </row>
    <row r="98" spans="1:27">
      <c r="B98" s="224" t="s">
        <v>733</v>
      </c>
    </row>
    <row r="99" spans="1:27">
      <c r="B99" s="224" t="s">
        <v>734</v>
      </c>
    </row>
    <row r="100" spans="1:27">
      <c r="B100" s="224" t="s">
        <v>735</v>
      </c>
    </row>
    <row r="103" spans="1:27" ht="15.5">
      <c r="B103" s="198" t="s">
        <v>736</v>
      </c>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c r="AA103" s="199"/>
    </row>
    <row r="104" spans="1:27">
      <c r="B104" s="200" t="s">
        <v>677</v>
      </c>
      <c r="C104" s="201"/>
      <c r="D104" s="201"/>
      <c r="E104" s="201"/>
      <c r="F104" s="201"/>
      <c r="G104" s="201"/>
      <c r="H104" s="201"/>
      <c r="I104" s="201"/>
      <c r="J104" s="201"/>
      <c r="K104" s="201"/>
      <c r="L104" s="201"/>
      <c r="M104" s="201"/>
      <c r="N104" s="201"/>
      <c r="O104" s="201"/>
      <c r="P104" s="201"/>
      <c r="Q104" s="201"/>
      <c r="R104" s="201"/>
      <c r="S104" s="201"/>
      <c r="T104" s="201"/>
      <c r="U104" s="201"/>
      <c r="V104" s="201"/>
      <c r="W104" s="201"/>
      <c r="X104" s="201"/>
      <c r="Y104" s="201"/>
      <c r="Z104" s="201"/>
      <c r="AA104" s="201"/>
    </row>
    <row r="105" spans="1:27" ht="15.5" thickBot="1">
      <c r="B105" s="203" t="s">
        <v>679</v>
      </c>
      <c r="C105" s="204">
        <v>2000</v>
      </c>
      <c r="D105" s="204">
        <v>2001</v>
      </c>
      <c r="E105" s="204">
        <v>2002</v>
      </c>
      <c r="F105" s="204">
        <v>2003</v>
      </c>
      <c r="G105" s="204">
        <v>2004</v>
      </c>
      <c r="H105" s="204">
        <v>2005</v>
      </c>
      <c r="I105" s="204">
        <v>2006</v>
      </c>
      <c r="J105" s="204">
        <v>2007</v>
      </c>
      <c r="K105" s="204">
        <v>2008</v>
      </c>
      <c r="L105" s="204">
        <v>2009</v>
      </c>
      <c r="M105" s="204">
        <v>2010</v>
      </c>
      <c r="N105" s="204">
        <v>2011</v>
      </c>
      <c r="O105" s="204">
        <v>2012</v>
      </c>
      <c r="P105" s="204">
        <v>2013</v>
      </c>
      <c r="Q105" s="204">
        <v>2014</v>
      </c>
      <c r="R105" s="204">
        <v>2015</v>
      </c>
      <c r="S105" s="204">
        <v>2016</v>
      </c>
      <c r="T105" s="204">
        <v>2017</v>
      </c>
      <c r="U105" s="204">
        <v>2018</v>
      </c>
      <c r="V105" s="204">
        <v>2019</v>
      </c>
      <c r="W105" s="204">
        <v>2020</v>
      </c>
      <c r="X105" s="204">
        <v>2021</v>
      </c>
      <c r="Y105" s="204">
        <v>2022</v>
      </c>
      <c r="Z105" s="204">
        <v>2023</v>
      </c>
      <c r="AA105" s="204">
        <v>2024</v>
      </c>
    </row>
    <row r="106" spans="1:27" ht="15">
      <c r="B106" s="206" t="s">
        <v>681</v>
      </c>
      <c r="C106" s="207">
        <v>15.37673771916929</v>
      </c>
      <c r="D106" s="208">
        <v>16.82126946318024</v>
      </c>
      <c r="E106" s="208">
        <v>15.643585692540141</v>
      </c>
      <c r="F106" s="208">
        <v>17.03044652650031</v>
      </c>
      <c r="G106" s="208">
        <v>16.952159090417229</v>
      </c>
      <c r="H106" s="208">
        <v>17.724630296139249</v>
      </c>
      <c r="I106" s="208">
        <v>17.452952528609149</v>
      </c>
      <c r="J106" s="208">
        <v>15.53044604788205</v>
      </c>
      <c r="K106" s="208">
        <v>17.41594093911937</v>
      </c>
      <c r="L106" s="208">
        <v>17.303509116752409</v>
      </c>
      <c r="M106" s="208">
        <v>19.67993785605216</v>
      </c>
      <c r="N106" s="208">
        <v>15.52896462631549</v>
      </c>
      <c r="O106" s="208">
        <v>17.850504000731672</v>
      </c>
      <c r="P106" s="208">
        <v>20.14111436842067</v>
      </c>
      <c r="Q106" s="208">
        <v>15.37297175288222</v>
      </c>
      <c r="R106" s="208">
        <v>17.268298180893041</v>
      </c>
      <c r="S106" s="208">
        <v>18.85018786562518</v>
      </c>
      <c r="T106" s="208">
        <v>18.56164785867896</v>
      </c>
      <c r="U106" s="208">
        <v>17.397036763233029</v>
      </c>
      <c r="V106" s="208">
        <v>18.124893553303671</v>
      </c>
      <c r="W106" s="208">
        <v>17.501438271183918</v>
      </c>
      <c r="X106" s="208">
        <v>21.462816950553901</v>
      </c>
      <c r="Y106" s="208">
        <v>17.920371173920149</v>
      </c>
      <c r="Z106" s="208">
        <v>19.890838775439239</v>
      </c>
      <c r="AA106" s="208">
        <v>21.248557673661029</v>
      </c>
    </row>
    <row r="107" spans="1:27" ht="15">
      <c r="B107" s="206" t="s">
        <v>682</v>
      </c>
      <c r="C107" s="207">
        <v>9.360048544217797</v>
      </c>
      <c r="D107" s="208">
        <v>9.321922840663099</v>
      </c>
      <c r="E107" s="208">
        <v>9.3393506459000477</v>
      </c>
      <c r="F107" s="208">
        <v>9.3899164000852888</v>
      </c>
      <c r="G107" s="208">
        <v>9.4214402998130673</v>
      </c>
      <c r="H107" s="208">
        <v>9.4845797696823624</v>
      </c>
      <c r="I107" s="208">
        <v>9.5291254719136766</v>
      </c>
      <c r="J107" s="208">
        <v>9.5960219797070376</v>
      </c>
      <c r="K107" s="208">
        <v>9.7419513566013549</v>
      </c>
      <c r="L107" s="208">
        <v>9.8870577295331366</v>
      </c>
      <c r="M107" s="208">
        <v>10.00630786414046</v>
      </c>
      <c r="N107" s="208">
        <v>10.078660350230759</v>
      </c>
      <c r="O107" s="208">
        <v>10.165021648879369</v>
      </c>
      <c r="P107" s="208">
        <v>10.194908480054099</v>
      </c>
      <c r="Q107" s="208">
        <v>10.254750339734249</v>
      </c>
      <c r="R107" s="208">
        <v>10.294278337532489</v>
      </c>
      <c r="S107" s="208">
        <v>10.320310891034289</v>
      </c>
      <c r="T107" s="208">
        <v>10.414517962483989</v>
      </c>
      <c r="U107" s="208">
        <v>10.52002087068839</v>
      </c>
      <c r="V107" s="208">
        <v>10.650262908652889</v>
      </c>
      <c r="W107" s="208">
        <v>11.27332591161939</v>
      </c>
      <c r="X107" s="208">
        <v>11.06119023115177</v>
      </c>
      <c r="Y107" s="208">
        <v>11.094629119351019</v>
      </c>
      <c r="Z107" s="208">
        <v>10.772410287205251</v>
      </c>
      <c r="AA107" s="208">
        <v>11.321776927414961</v>
      </c>
    </row>
    <row r="108" spans="1:27" ht="15">
      <c r="A108" s="244"/>
      <c r="B108" s="206" t="s">
        <v>683</v>
      </c>
      <c r="C108" s="207">
        <v>18.824717027053769</v>
      </c>
      <c r="D108" s="208">
        <v>18.61654844813058</v>
      </c>
      <c r="E108" s="208">
        <v>17.801893122078571</v>
      </c>
      <c r="F108" s="208">
        <v>17.790610845012111</v>
      </c>
      <c r="G108" s="208">
        <v>17.96217945765795</v>
      </c>
      <c r="H108" s="208">
        <v>18.243332301428609</v>
      </c>
      <c r="I108" s="208">
        <v>18.503043185973201</v>
      </c>
      <c r="J108" s="208">
        <v>18.75961850586825</v>
      </c>
      <c r="K108" s="208">
        <v>18.796439265944471</v>
      </c>
      <c r="L108" s="208">
        <v>17.32738441838654</v>
      </c>
      <c r="M108" s="208">
        <v>18.414500577982999</v>
      </c>
      <c r="N108" s="208">
        <v>18.64865162509501</v>
      </c>
      <c r="O108" s="208">
        <v>18.978043654221931</v>
      </c>
      <c r="P108" s="208">
        <v>19.068856352575651</v>
      </c>
      <c r="Q108" s="208">
        <v>18.81367372746114</v>
      </c>
      <c r="R108" s="208">
        <v>18.520516067632951</v>
      </c>
      <c r="S108" s="208">
        <v>18.91590802082019</v>
      </c>
      <c r="T108" s="208">
        <v>18.825726548881651</v>
      </c>
      <c r="U108" s="208">
        <v>19.333227014797341</v>
      </c>
      <c r="V108" s="208">
        <v>19.320952752467349</v>
      </c>
      <c r="W108" s="208">
        <v>18.241982820989922</v>
      </c>
      <c r="X108" s="208">
        <v>18.911698920065291</v>
      </c>
      <c r="Y108" s="208">
        <v>19.21971275647546</v>
      </c>
      <c r="Z108" s="208">
        <v>19.040016656044589</v>
      </c>
      <c r="AA108" s="208">
        <v>18.813963148601321</v>
      </c>
    </row>
    <row r="109" spans="1:27" ht="15">
      <c r="B109" s="206" t="s">
        <v>684</v>
      </c>
      <c r="C109" s="207">
        <v>27.82148342382958</v>
      </c>
      <c r="D109" s="208">
        <v>28.19755488220936</v>
      </c>
      <c r="E109" s="208">
        <v>28.10390439071973</v>
      </c>
      <c r="F109" s="208">
        <v>28.525084557334559</v>
      </c>
      <c r="G109" s="208">
        <v>28.63358262717718</v>
      </c>
      <c r="H109" s="208">
        <v>28.54495568222163</v>
      </c>
      <c r="I109" s="208">
        <v>28.826802376250669</v>
      </c>
      <c r="J109" s="208">
        <v>28.988116312548058</v>
      </c>
      <c r="K109" s="208">
        <v>28.76936517497855</v>
      </c>
      <c r="L109" s="208">
        <v>28.953385557981569</v>
      </c>
      <c r="M109" s="208">
        <v>29.39373405921814</v>
      </c>
      <c r="N109" s="208">
        <v>29.205205955190831</v>
      </c>
      <c r="O109" s="208">
        <v>28.61014353230275</v>
      </c>
      <c r="P109" s="208">
        <v>28.296130693865489</v>
      </c>
      <c r="Q109" s="208">
        <v>28.072607562511859</v>
      </c>
      <c r="R109" s="208">
        <v>27.751271791884871</v>
      </c>
      <c r="S109" s="208">
        <v>27.093908384790801</v>
      </c>
      <c r="T109" s="208">
        <v>26.251028193907061</v>
      </c>
      <c r="U109" s="208">
        <v>25.29033402924231</v>
      </c>
      <c r="V109" s="208">
        <v>24.132200870712971</v>
      </c>
      <c r="W109" s="208">
        <v>22.435927412605</v>
      </c>
      <c r="X109" s="208">
        <v>21.681778046368901</v>
      </c>
      <c r="Y109" s="208">
        <v>20.671505931639089</v>
      </c>
      <c r="Z109" s="208">
        <v>19.849952979125788</v>
      </c>
      <c r="AA109" s="208">
        <v>20.000804683741141</v>
      </c>
    </row>
    <row r="110" spans="1:27" ht="15">
      <c r="B110" s="206" t="s">
        <v>685</v>
      </c>
      <c r="C110" s="207">
        <v>19.115341801946741</v>
      </c>
      <c r="D110" s="208">
        <v>19.648603141893531</v>
      </c>
      <c r="E110" s="208">
        <v>19.33775136077201</v>
      </c>
      <c r="F110" s="208">
        <v>20.581571109915739</v>
      </c>
      <c r="G110" s="208">
        <v>20.204600004146801</v>
      </c>
      <c r="H110" s="208">
        <v>20.56096992569752</v>
      </c>
      <c r="I110" s="208">
        <v>20.816643206458441</v>
      </c>
      <c r="J110" s="208">
        <v>20.117745875456059</v>
      </c>
      <c r="K110" s="208">
        <v>20.900731517250581</v>
      </c>
      <c r="L110" s="208">
        <v>21.315708676724839</v>
      </c>
      <c r="M110" s="208">
        <v>22.296895716702831</v>
      </c>
      <c r="N110" s="208">
        <v>21.138468080562749</v>
      </c>
      <c r="O110" s="208">
        <v>21.709428188172989</v>
      </c>
      <c r="P110" s="208">
        <v>22.341442881129499</v>
      </c>
      <c r="Q110" s="208">
        <v>20.54842541350008</v>
      </c>
      <c r="R110" s="208">
        <v>21.978747199473801</v>
      </c>
      <c r="S110" s="208">
        <v>22.08412355491966</v>
      </c>
      <c r="T110" s="208">
        <v>22.19521223359401</v>
      </c>
      <c r="U110" s="208">
        <v>22.04895036560935</v>
      </c>
      <c r="V110" s="208">
        <v>22.17453921489901</v>
      </c>
      <c r="W110" s="208">
        <v>21.537910724822378</v>
      </c>
      <c r="X110" s="208">
        <v>22.021859386177681</v>
      </c>
      <c r="Y110" s="208">
        <v>21.640057158836669</v>
      </c>
      <c r="Z110" s="208">
        <v>22.082709638895679</v>
      </c>
      <c r="AA110" s="208">
        <v>22.127453674864</v>
      </c>
    </row>
    <row r="111" spans="1:27" ht="15">
      <c r="B111" s="206" t="s">
        <v>686</v>
      </c>
      <c r="C111" s="207">
        <v>11.88945852734671</v>
      </c>
      <c r="D111" s="208">
        <v>12.43556549971451</v>
      </c>
      <c r="E111" s="208">
        <v>12.80361568650097</v>
      </c>
      <c r="F111" s="208">
        <v>13.11707868251972</v>
      </c>
      <c r="G111" s="208">
        <v>13.45990539949962</v>
      </c>
      <c r="H111" s="208">
        <v>13.870163147165631</v>
      </c>
      <c r="I111" s="208">
        <v>14.469083499768219</v>
      </c>
      <c r="J111" s="208">
        <v>15.314860031592691</v>
      </c>
      <c r="K111" s="208">
        <v>16.19593098568426</v>
      </c>
      <c r="L111" s="208">
        <v>16.632691758423221</v>
      </c>
      <c r="M111" s="208">
        <v>17.030189763307849</v>
      </c>
      <c r="N111" s="208">
        <v>16.93105985676652</v>
      </c>
      <c r="O111" s="208">
        <v>16.875601790254699</v>
      </c>
      <c r="P111" s="208">
        <v>16.71414252621533</v>
      </c>
      <c r="Q111" s="208">
        <v>16.573890549551269</v>
      </c>
      <c r="R111" s="208">
        <v>16.51189976745535</v>
      </c>
      <c r="S111" s="208">
        <v>16.16955887677933</v>
      </c>
      <c r="T111" s="208">
        <v>15.873361843718961</v>
      </c>
      <c r="U111" s="208">
        <v>15.72563411778955</v>
      </c>
      <c r="V111" s="208">
        <v>15.653620147770051</v>
      </c>
      <c r="W111" s="208">
        <v>15.738583869821531</v>
      </c>
      <c r="X111" s="208">
        <v>15.732326965112041</v>
      </c>
      <c r="Y111" s="208">
        <v>15.716979263715951</v>
      </c>
      <c r="Z111" s="208">
        <v>15.60459804864761</v>
      </c>
      <c r="AA111" s="208">
        <v>16.770460487277969</v>
      </c>
    </row>
    <row r="112" spans="1:27" ht="15">
      <c r="B112" s="206" t="s">
        <v>687</v>
      </c>
      <c r="C112" s="207">
        <v>65.140237530941747</v>
      </c>
      <c r="D112" s="208">
        <v>65.070851348316211</v>
      </c>
      <c r="E112" s="208">
        <v>64.141409614965184</v>
      </c>
      <c r="F112" s="208">
        <v>64.105930771923482</v>
      </c>
      <c r="G112" s="208">
        <v>65.108828195185666</v>
      </c>
      <c r="H112" s="208">
        <v>65.838789158293451</v>
      </c>
      <c r="I112" s="208">
        <v>66.801733543206467</v>
      </c>
      <c r="J112" s="208">
        <v>69.041422128542436</v>
      </c>
      <c r="K112" s="208">
        <v>70.270952738913337</v>
      </c>
      <c r="L112" s="208">
        <v>66.840340502952515</v>
      </c>
      <c r="M112" s="208">
        <v>68.940485947663788</v>
      </c>
      <c r="N112" s="208">
        <v>69.085332771265243</v>
      </c>
      <c r="O112" s="208">
        <v>68.549583815344405</v>
      </c>
      <c r="P112" s="208">
        <v>67.777619021873022</v>
      </c>
      <c r="Q112" s="208">
        <v>67.324287057915001</v>
      </c>
      <c r="R112" s="208">
        <v>66.285793844653654</v>
      </c>
      <c r="S112" s="208">
        <v>65.45621180167808</v>
      </c>
      <c r="T112" s="208">
        <v>65.246667813042791</v>
      </c>
      <c r="U112" s="208">
        <v>65.390581734793145</v>
      </c>
      <c r="V112" s="208">
        <v>64.891943489935116</v>
      </c>
      <c r="W112" s="208">
        <v>62.590670346087251</v>
      </c>
      <c r="X112" s="208">
        <v>64.109480132497268</v>
      </c>
      <c r="Y112" s="208">
        <v>63.866607327140599</v>
      </c>
      <c r="Z112" s="208">
        <v>61.767826260270013</v>
      </c>
      <c r="AA112" s="208">
        <v>61.627616747168602</v>
      </c>
    </row>
    <row r="113" spans="2:27" ht="15">
      <c r="B113" s="206" t="s">
        <v>688</v>
      </c>
      <c r="C113" s="207">
        <v>10.33603758414284</v>
      </c>
      <c r="D113" s="208">
        <v>10.540423776473419</v>
      </c>
      <c r="E113" s="208">
        <v>10.89600407104972</v>
      </c>
      <c r="F113" s="208">
        <v>11.561184143042571</v>
      </c>
      <c r="G113" s="208">
        <v>11.398358843719009</v>
      </c>
      <c r="H113" s="208">
        <v>11.548739205039769</v>
      </c>
      <c r="I113" s="208">
        <v>11.94255460942659</v>
      </c>
      <c r="J113" s="208">
        <v>11.879184675053761</v>
      </c>
      <c r="K113" s="208">
        <v>12.11463688874696</v>
      </c>
      <c r="L113" s="208">
        <v>11.83169987560496</v>
      </c>
      <c r="M113" s="208">
        <v>12.186008059663701</v>
      </c>
      <c r="N113" s="208">
        <v>11.881648353266209</v>
      </c>
      <c r="O113" s="208">
        <v>12.03866521984186</v>
      </c>
      <c r="P113" s="208">
        <v>12.17487478836582</v>
      </c>
      <c r="Q113" s="208">
        <v>11.9332185523668</v>
      </c>
      <c r="R113" s="208">
        <v>12.211911793134229</v>
      </c>
      <c r="S113" s="208">
        <v>12.48680478067801</v>
      </c>
      <c r="T113" s="208">
        <v>12.353078215623411</v>
      </c>
      <c r="U113" s="208">
        <v>12.254827035493919</v>
      </c>
      <c r="V113" s="208">
        <v>12.182209310144399</v>
      </c>
      <c r="W113" s="208">
        <v>11.436307139659251</v>
      </c>
      <c r="X113" s="208">
        <v>12.21112283328061</v>
      </c>
      <c r="Y113" s="208">
        <v>13.08368319881775</v>
      </c>
      <c r="Z113" s="208">
        <v>13.703261668106551</v>
      </c>
      <c r="AA113" s="208">
        <v>15.06954455251199</v>
      </c>
    </row>
    <row r="114" spans="2:27" ht="15.5" thickBot="1">
      <c r="B114" s="211" t="s">
        <v>689</v>
      </c>
      <c r="C114" s="212">
        <v>12.489033624673541</v>
      </c>
      <c r="D114" s="213">
        <v>12.92041590321538</v>
      </c>
      <c r="E114" s="213">
        <v>13.3290532546833</v>
      </c>
      <c r="F114" s="213">
        <v>13.976304655284331</v>
      </c>
      <c r="G114" s="213">
        <v>14.38834680561124</v>
      </c>
      <c r="H114" s="213">
        <v>14.888673580764779</v>
      </c>
      <c r="I114" s="213">
        <v>13.35474908074425</v>
      </c>
      <c r="J114" s="213">
        <v>12.96704125349785</v>
      </c>
      <c r="K114" s="213">
        <v>13.205473439122359</v>
      </c>
      <c r="L114" s="213">
        <v>13.116781475340719</v>
      </c>
      <c r="M114" s="213">
        <v>13.75236211652061</v>
      </c>
      <c r="N114" s="213">
        <v>13.926011218333359</v>
      </c>
      <c r="O114" s="213">
        <v>14.060542034149989</v>
      </c>
      <c r="P114" s="213">
        <v>14.03134619552095</v>
      </c>
      <c r="Q114" s="213">
        <v>14.14839972238752</v>
      </c>
      <c r="R114" s="213">
        <v>14.253513208242859</v>
      </c>
      <c r="S114" s="213">
        <v>14.419414042392271</v>
      </c>
      <c r="T114" s="213">
        <v>14.55106050575343</v>
      </c>
      <c r="U114" s="213">
        <v>14.916444876844871</v>
      </c>
      <c r="V114" s="213">
        <v>15.02384993442262</v>
      </c>
      <c r="W114" s="213">
        <v>14.782955679293361</v>
      </c>
      <c r="X114" s="213">
        <v>15.093954537341009</v>
      </c>
      <c r="Y114" s="213">
        <v>15.303013647132181</v>
      </c>
      <c r="Z114" s="213">
        <v>15.29509331133619</v>
      </c>
      <c r="AA114" s="213">
        <v>15.59259081391888</v>
      </c>
    </row>
    <row r="115" spans="2:27" ht="15.5" thickBot="1">
      <c r="B115" s="221" t="s">
        <v>737</v>
      </c>
      <c r="C115" s="222">
        <v>190.353095783322</v>
      </c>
      <c r="D115" s="223">
        <v>193.57315530379631</v>
      </c>
      <c r="E115" s="223">
        <v>191.39656783920961</v>
      </c>
      <c r="F115" s="223">
        <v>196.07812769161811</v>
      </c>
      <c r="G115" s="223">
        <v>197.52940072322781</v>
      </c>
      <c r="H115" s="223">
        <v>200.704833066433</v>
      </c>
      <c r="I115" s="223">
        <v>201.6966875023507</v>
      </c>
      <c r="J115" s="223">
        <v>202.19445681014821</v>
      </c>
      <c r="K115" s="223">
        <v>207.41142230636129</v>
      </c>
      <c r="L115" s="223">
        <v>203.20855911169991</v>
      </c>
      <c r="M115" s="223">
        <v>211.70042196125249</v>
      </c>
      <c r="N115" s="223">
        <v>206.42400283702619</v>
      </c>
      <c r="O115" s="223">
        <v>208.83753388389971</v>
      </c>
      <c r="P115" s="223">
        <v>210.74043530802061</v>
      </c>
      <c r="Q115" s="223">
        <v>203.04222467831011</v>
      </c>
      <c r="R115" s="223">
        <v>205.0762301909032</v>
      </c>
      <c r="S115" s="223">
        <v>205.79642821871781</v>
      </c>
      <c r="T115" s="223">
        <v>204.27230117568431</v>
      </c>
      <c r="U115" s="223">
        <v>202.87705680849189</v>
      </c>
      <c r="V115" s="223">
        <v>202.1544721823081</v>
      </c>
      <c r="W115" s="223">
        <v>195.539102176082</v>
      </c>
      <c r="X115" s="223">
        <v>202.28622800254851</v>
      </c>
      <c r="Y115" s="223">
        <v>198.51655957702889</v>
      </c>
      <c r="Z115" s="223">
        <v>198.0067076250709</v>
      </c>
      <c r="AA115" s="223">
        <v>202.5727687091599</v>
      </c>
    </row>
    <row r="116" spans="2:27">
      <c r="B116" s="224" t="s">
        <v>738</v>
      </c>
    </row>
    <row r="117" spans="2:27">
      <c r="B117" s="224" t="s">
        <v>735</v>
      </c>
    </row>
    <row r="121" spans="2:27" ht="15.5">
      <c r="B121" s="198" t="s">
        <v>739</v>
      </c>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c r="AA121" s="199"/>
    </row>
    <row r="122" spans="2:27">
      <c r="B122" s="200" t="s">
        <v>740</v>
      </c>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row>
    <row r="123" spans="2:27" ht="15.5" thickBot="1">
      <c r="B123" s="203" t="s">
        <v>679</v>
      </c>
      <c r="C123" s="204">
        <v>2000</v>
      </c>
      <c r="D123" s="204">
        <v>2001</v>
      </c>
      <c r="E123" s="204">
        <v>2002</v>
      </c>
      <c r="F123" s="204">
        <v>2003</v>
      </c>
      <c r="G123" s="204">
        <v>2004</v>
      </c>
      <c r="H123" s="204">
        <v>2005</v>
      </c>
      <c r="I123" s="204">
        <v>2006</v>
      </c>
      <c r="J123" s="204">
        <v>2007</v>
      </c>
      <c r="K123" s="204">
        <v>2008</v>
      </c>
      <c r="L123" s="204">
        <v>2009</v>
      </c>
      <c r="M123" s="204">
        <v>2010</v>
      </c>
      <c r="N123" s="204">
        <v>2011</v>
      </c>
      <c r="O123" s="204">
        <v>2012</v>
      </c>
      <c r="P123" s="204">
        <v>2013</v>
      </c>
      <c r="Q123" s="204">
        <v>2014</v>
      </c>
      <c r="R123" s="204">
        <v>2015</v>
      </c>
      <c r="S123" s="204">
        <v>2016</v>
      </c>
      <c r="T123" s="204">
        <v>2017</v>
      </c>
      <c r="U123" s="204">
        <v>2018</v>
      </c>
      <c r="V123" s="204">
        <v>2019</v>
      </c>
      <c r="W123" s="204">
        <v>2020</v>
      </c>
      <c r="X123" s="204">
        <v>2021</v>
      </c>
      <c r="Y123" s="204">
        <v>2022</v>
      </c>
      <c r="Z123" s="204">
        <v>2023</v>
      </c>
      <c r="AA123" s="204" t="s">
        <v>680</v>
      </c>
    </row>
    <row r="124" spans="2:27" ht="15">
      <c r="B124" s="206" t="s">
        <v>681</v>
      </c>
      <c r="C124" s="207">
        <v>169.699614524856</v>
      </c>
      <c r="D124" s="208">
        <v>184.64467206945369</v>
      </c>
      <c r="E124" s="208">
        <v>171.20120011469641</v>
      </c>
      <c r="F124" s="208">
        <v>184.88770006214841</v>
      </c>
      <c r="G124" s="208">
        <v>182.0250475357264</v>
      </c>
      <c r="H124" s="208">
        <v>187.97442906946159</v>
      </c>
      <c r="I124" s="208">
        <v>181.8487692912262</v>
      </c>
      <c r="J124" s="208">
        <v>159.07970942656459</v>
      </c>
      <c r="K124" s="208">
        <v>175.88732997165101</v>
      </c>
      <c r="L124" s="208">
        <v>171.83886364247661</v>
      </c>
      <c r="M124" s="208">
        <v>194.03719074872251</v>
      </c>
      <c r="N124" s="208">
        <v>149.35975590723669</v>
      </c>
      <c r="O124" s="208">
        <v>169.95402357817409</v>
      </c>
      <c r="P124" s="208">
        <v>188.18959194218729</v>
      </c>
      <c r="Q124" s="208">
        <v>140.550709044434</v>
      </c>
      <c r="R124" s="208">
        <v>156.01064616143179</v>
      </c>
      <c r="S124" s="208">
        <v>167.0531996817127</v>
      </c>
      <c r="T124" s="208">
        <v>161.2980865349557</v>
      </c>
      <c r="U124" s="208">
        <v>146.95507805586311</v>
      </c>
      <c r="V124" s="208">
        <v>149.82316004723529</v>
      </c>
      <c r="W124" s="208">
        <v>140.12778723038431</v>
      </c>
      <c r="X124" s="208">
        <v>166.20218993101301</v>
      </c>
      <c r="Y124" s="208">
        <v>131.84705375998851</v>
      </c>
      <c r="Z124" s="208">
        <v>136.75611790114559</v>
      </c>
      <c r="AA124" s="209">
        <v>-0.1941282937851643</v>
      </c>
    </row>
    <row r="125" spans="2:27" ht="15">
      <c r="B125" s="206" t="s">
        <v>741</v>
      </c>
      <c r="C125" s="207">
        <v>168.18427432550419</v>
      </c>
      <c r="D125" s="208">
        <v>183.07226668403359</v>
      </c>
      <c r="E125" s="208">
        <v>169.71963303892079</v>
      </c>
      <c r="F125" s="208">
        <v>183.40215375353159</v>
      </c>
      <c r="G125" s="208">
        <v>180.5104765757842</v>
      </c>
      <c r="H125" s="208">
        <v>186.44880696020951</v>
      </c>
      <c r="I125" s="208">
        <v>180.4203628718877</v>
      </c>
      <c r="J125" s="208">
        <v>157.74108109969751</v>
      </c>
      <c r="K125" s="208">
        <v>174.50508767520981</v>
      </c>
      <c r="L125" s="208">
        <v>170.52071012846869</v>
      </c>
      <c r="M125" s="208">
        <v>192.61731370977799</v>
      </c>
      <c r="N125" s="208">
        <v>148.15126292392779</v>
      </c>
      <c r="O125" s="208">
        <v>168.66895763234379</v>
      </c>
      <c r="P125" s="208">
        <v>186.84782233082981</v>
      </c>
      <c r="Q125" s="208">
        <v>139.39642006390699</v>
      </c>
      <c r="R125" s="208">
        <v>154.82977234392709</v>
      </c>
      <c r="S125" s="208">
        <v>165.83800992191689</v>
      </c>
      <c r="T125" s="208">
        <v>160.1220710365447</v>
      </c>
      <c r="U125" s="208">
        <v>145.89582831853801</v>
      </c>
      <c r="V125" s="208">
        <v>148.7228912099074</v>
      </c>
      <c r="W125" s="208">
        <v>139.05842560247731</v>
      </c>
      <c r="X125" s="208">
        <v>165.04119497646019</v>
      </c>
      <c r="Y125" s="208">
        <v>130.74554292217539</v>
      </c>
      <c r="Z125" s="208">
        <v>135.60386080649721</v>
      </c>
      <c r="AA125" s="209">
        <v>-0.193718548595993</v>
      </c>
    </row>
    <row r="126" spans="2:27" ht="15">
      <c r="B126" s="206" t="s">
        <v>742</v>
      </c>
      <c r="C126" s="207">
        <v>1.515340199351801</v>
      </c>
      <c r="D126" s="208">
        <v>1.572405385420111</v>
      </c>
      <c r="E126" s="208">
        <v>1.481567075775601</v>
      </c>
      <c r="F126" s="208">
        <v>1.4855463086167959</v>
      </c>
      <c r="G126" s="208">
        <v>1.5145709599422259</v>
      </c>
      <c r="H126" s="208">
        <v>1.525622109252093</v>
      </c>
      <c r="I126" s="208">
        <v>1.428406419338514</v>
      </c>
      <c r="J126" s="208">
        <v>1.338628326867102</v>
      </c>
      <c r="K126" s="208">
        <v>1.3822422964412431</v>
      </c>
      <c r="L126" s="208">
        <v>1.318153514007899</v>
      </c>
      <c r="M126" s="208">
        <v>1.41987703894443</v>
      </c>
      <c r="N126" s="208">
        <v>1.2084929833088509</v>
      </c>
      <c r="O126" s="208">
        <v>1.285065945830292</v>
      </c>
      <c r="P126" s="208">
        <v>1.341769611357539</v>
      </c>
      <c r="Q126" s="208">
        <v>1.1542889805269909</v>
      </c>
      <c r="R126" s="208">
        <v>1.1808738175047211</v>
      </c>
      <c r="S126" s="208">
        <v>1.2151897597957511</v>
      </c>
      <c r="T126" s="208">
        <v>1.1760154984109501</v>
      </c>
      <c r="U126" s="208">
        <v>1.059249737325054</v>
      </c>
      <c r="V126" s="208">
        <v>1.100268837327915</v>
      </c>
      <c r="W126" s="208">
        <v>1.0693616279070159</v>
      </c>
      <c r="X126" s="208">
        <v>1.1609949545528151</v>
      </c>
      <c r="Y126" s="208">
        <v>1.101510837812995</v>
      </c>
      <c r="Z126" s="208">
        <v>1.152257094648423</v>
      </c>
      <c r="AA126" s="209">
        <v>-0.2396050107155408</v>
      </c>
    </row>
    <row r="127" spans="2:27" ht="15">
      <c r="B127" s="206" t="s">
        <v>682</v>
      </c>
      <c r="C127" s="207">
        <v>31.564856339984001</v>
      </c>
      <c r="D127" s="208">
        <v>31.433508027537901</v>
      </c>
      <c r="E127" s="208">
        <v>31.407596743352411</v>
      </c>
      <c r="F127" s="208">
        <v>31.341646795023841</v>
      </c>
      <c r="G127" s="208">
        <v>31.279149537905951</v>
      </c>
      <c r="H127" s="208">
        <v>31.181364782877559</v>
      </c>
      <c r="I127" s="208">
        <v>31.101272030881159</v>
      </c>
      <c r="J127" s="208">
        <v>31.08998040978312</v>
      </c>
      <c r="K127" s="208">
        <v>31.199178073713689</v>
      </c>
      <c r="L127" s="208">
        <v>31.284619091623291</v>
      </c>
      <c r="M127" s="208">
        <v>31.316370083044781</v>
      </c>
      <c r="N127" s="208">
        <v>31.421760245809779</v>
      </c>
      <c r="O127" s="208">
        <v>31.530570659062281</v>
      </c>
      <c r="P127" s="208">
        <v>31.668629701152881</v>
      </c>
      <c r="Q127" s="208">
        <v>31.809291710747399</v>
      </c>
      <c r="R127" s="208">
        <v>31.92743936013116</v>
      </c>
      <c r="S127" s="208">
        <v>32.051457182361673</v>
      </c>
      <c r="T127" s="208">
        <v>32.147024485866588</v>
      </c>
      <c r="U127" s="208">
        <v>32.174256535990907</v>
      </c>
      <c r="V127" s="208">
        <v>32.185741735605717</v>
      </c>
      <c r="W127" s="208">
        <v>33.950719348126107</v>
      </c>
      <c r="X127" s="208">
        <v>33.078036061367023</v>
      </c>
      <c r="Y127" s="208">
        <v>32.485900532271302</v>
      </c>
      <c r="Z127" s="208">
        <v>31.77290608312596</v>
      </c>
      <c r="AA127" s="209">
        <v>6.5911829568006354E-3</v>
      </c>
    </row>
    <row r="128" spans="2:27" ht="15">
      <c r="B128" s="206" t="s">
        <v>743</v>
      </c>
      <c r="C128" s="207">
        <v>3.6121668401578462</v>
      </c>
      <c r="D128" s="208">
        <v>3.850399082077737</v>
      </c>
      <c r="E128" s="208">
        <v>3.6927366964306749</v>
      </c>
      <c r="F128" s="208">
        <v>3.9314830954695208</v>
      </c>
      <c r="G128" s="208">
        <v>3.9337497910750541</v>
      </c>
      <c r="H128" s="208">
        <v>4.0700340228463574</v>
      </c>
      <c r="I128" s="208">
        <v>4.0751050953370003</v>
      </c>
      <c r="J128" s="208">
        <v>3.718573988240403</v>
      </c>
      <c r="K128" s="208">
        <v>4.0498388653856443</v>
      </c>
      <c r="L128" s="208">
        <v>4.0954579483893516</v>
      </c>
      <c r="M128" s="208">
        <v>4.4943134825483666</v>
      </c>
      <c r="N128" s="208">
        <v>3.8448149299369789</v>
      </c>
      <c r="O128" s="208">
        <v>4.2546436002837362</v>
      </c>
      <c r="P128" s="208">
        <v>4.6676039840095997</v>
      </c>
      <c r="Q128" s="208">
        <v>3.826464519280719</v>
      </c>
      <c r="R128" s="208">
        <v>4.4381416994998011</v>
      </c>
      <c r="S128" s="208">
        <v>4.5178659021539644</v>
      </c>
      <c r="T128" s="208">
        <v>4.5884789060194686</v>
      </c>
      <c r="U128" s="208">
        <v>4.4767811596196054</v>
      </c>
      <c r="V128" s="208">
        <v>4.4915491896068627</v>
      </c>
      <c r="W128" s="208">
        <v>4.2939866588876114</v>
      </c>
      <c r="X128" s="208">
        <v>4.5062469823650142</v>
      </c>
      <c r="Y128" s="208">
        <v>4.4731478480615623</v>
      </c>
      <c r="Z128" s="208">
        <v>4.6195993568544624</v>
      </c>
      <c r="AA128" s="209">
        <v>0.27889977436717522</v>
      </c>
    </row>
    <row r="129" spans="2:27" ht="15">
      <c r="B129" s="206" t="s">
        <v>744</v>
      </c>
      <c r="C129" s="207">
        <v>2.3622258645157821</v>
      </c>
      <c r="D129" s="208">
        <v>2.5931045464781222</v>
      </c>
      <c r="E129" s="208">
        <v>2.4256230151105762</v>
      </c>
      <c r="F129" s="208">
        <v>2.6427571639969192</v>
      </c>
      <c r="G129" s="208">
        <v>2.625685169969171</v>
      </c>
      <c r="H129" s="208">
        <v>2.7394100652771942</v>
      </c>
      <c r="I129" s="208">
        <v>2.682695025393754</v>
      </c>
      <c r="J129" s="208">
        <v>2.3470031417997488</v>
      </c>
      <c r="K129" s="208">
        <v>2.6176819484817742</v>
      </c>
      <c r="L129" s="208">
        <v>2.5773964436350161</v>
      </c>
      <c r="M129" s="208">
        <v>2.9170982186403909</v>
      </c>
      <c r="N129" s="208">
        <v>2.2634456552683382</v>
      </c>
      <c r="O129" s="208">
        <v>2.5923897858956679</v>
      </c>
      <c r="P129" s="208">
        <v>2.9093046114928578</v>
      </c>
      <c r="Q129" s="208">
        <v>2.1666704511542498</v>
      </c>
      <c r="R129" s="208">
        <v>2.4209865230617762</v>
      </c>
      <c r="S129" s="208">
        <v>2.6292693041623432</v>
      </c>
      <c r="T129" s="208">
        <v>2.520538964300131</v>
      </c>
      <c r="U129" s="208">
        <v>2.3233523315445721</v>
      </c>
      <c r="V129" s="208">
        <v>2.3530744700507511</v>
      </c>
      <c r="W129" s="208">
        <v>2.2039528065235312</v>
      </c>
      <c r="X129" s="208">
        <v>2.604393052704598</v>
      </c>
      <c r="Y129" s="208">
        <v>2.0538094870533601</v>
      </c>
      <c r="Z129" s="208">
        <v>2.1883272500977631</v>
      </c>
      <c r="AA129" s="209">
        <v>-7.3616421287329106E-2</v>
      </c>
    </row>
    <row r="130" spans="2:27" ht="15">
      <c r="B130" s="206" t="s">
        <v>745</v>
      </c>
      <c r="C130" s="207">
        <v>0.7931657391833189</v>
      </c>
      <c r="D130" s="208">
        <v>0.80090840863009771</v>
      </c>
      <c r="E130" s="208">
        <v>0.81050194423211874</v>
      </c>
      <c r="F130" s="208">
        <v>0.81998091386734062</v>
      </c>
      <c r="G130" s="208">
        <v>0.82872606814035343</v>
      </c>
      <c r="H130" s="208">
        <v>0.83785506582405556</v>
      </c>
      <c r="I130" s="208">
        <v>0.88858955687874097</v>
      </c>
      <c r="J130" s="208">
        <v>0.85291163703843875</v>
      </c>
      <c r="K130" s="208">
        <v>0.89361620029491728</v>
      </c>
      <c r="L130" s="208">
        <v>0.95465351036052071</v>
      </c>
      <c r="M130" s="208">
        <v>0.9884177443744615</v>
      </c>
      <c r="N130" s="208">
        <v>0.95970900266249004</v>
      </c>
      <c r="O130" s="208">
        <v>0.99777589630728702</v>
      </c>
      <c r="P130" s="208">
        <v>1.040053498937008</v>
      </c>
      <c r="Q130" s="208">
        <v>0.90795573035976751</v>
      </c>
      <c r="R130" s="208">
        <v>1.2353599899571031</v>
      </c>
      <c r="S130" s="208">
        <v>1.078975009672857</v>
      </c>
      <c r="T130" s="208">
        <v>1.2333828480406279</v>
      </c>
      <c r="U130" s="208">
        <v>1.298259777613791</v>
      </c>
      <c r="V130" s="208">
        <v>1.263530553507217</v>
      </c>
      <c r="W130" s="208">
        <v>1.18426994695386</v>
      </c>
      <c r="X130" s="208">
        <v>0.99022198726327026</v>
      </c>
      <c r="Y130" s="208">
        <v>1.51357827727049</v>
      </c>
      <c r="Z130" s="208">
        <v>1.536540165092821</v>
      </c>
      <c r="AA130" s="209">
        <v>0.9372245789069451</v>
      </c>
    </row>
    <row r="131" spans="2:27" ht="15">
      <c r="B131" s="206" t="s">
        <v>746</v>
      </c>
      <c r="C131" s="207">
        <v>0.45677523645874502</v>
      </c>
      <c r="D131" s="208">
        <v>0.45638612696951791</v>
      </c>
      <c r="E131" s="208">
        <v>0.45661173708798058</v>
      </c>
      <c r="F131" s="208">
        <v>0.46874501760526083</v>
      </c>
      <c r="G131" s="208">
        <v>0.47933855296552991</v>
      </c>
      <c r="H131" s="208">
        <v>0.49276889174510657</v>
      </c>
      <c r="I131" s="208">
        <v>0.50382051306450593</v>
      </c>
      <c r="J131" s="208">
        <v>0.51865920940221621</v>
      </c>
      <c r="K131" s="208">
        <v>0.53854071660895331</v>
      </c>
      <c r="L131" s="208">
        <v>0.56340799439381495</v>
      </c>
      <c r="M131" s="208">
        <v>0.588797519533514</v>
      </c>
      <c r="N131" s="208">
        <v>0.6216602720061517</v>
      </c>
      <c r="O131" s="208">
        <v>0.66447791808078116</v>
      </c>
      <c r="P131" s="208">
        <v>0.71824587357973357</v>
      </c>
      <c r="Q131" s="208">
        <v>0.75183833776670173</v>
      </c>
      <c r="R131" s="208">
        <v>0.78179518648092194</v>
      </c>
      <c r="S131" s="208">
        <v>0.8096215883187643</v>
      </c>
      <c r="T131" s="208">
        <v>0.83455709367870989</v>
      </c>
      <c r="U131" s="208">
        <v>0.85516905046124236</v>
      </c>
      <c r="V131" s="208">
        <v>0.87494416604889524</v>
      </c>
      <c r="W131" s="208">
        <v>0.90576390541022045</v>
      </c>
      <c r="X131" s="208">
        <v>0.91163194239714629</v>
      </c>
      <c r="Y131" s="208">
        <v>0.90576008373771288</v>
      </c>
      <c r="Z131" s="208">
        <v>0.89473194166387726</v>
      </c>
      <c r="AA131" s="209">
        <v>0.95880133213983365</v>
      </c>
    </row>
    <row r="132" spans="2:27" ht="15">
      <c r="B132" s="206" t="s">
        <v>686</v>
      </c>
      <c r="C132" s="207">
        <v>5.666799819242855</v>
      </c>
      <c r="D132" s="208">
        <v>5.808639198923534</v>
      </c>
      <c r="E132" s="208">
        <v>5.8804279479457282</v>
      </c>
      <c r="F132" s="208">
        <v>5.9264136784028576</v>
      </c>
      <c r="G132" s="208">
        <v>5.9753856308375148</v>
      </c>
      <c r="H132" s="208">
        <v>6.0899430835462232</v>
      </c>
      <c r="I132" s="208">
        <v>6.2270104683679488</v>
      </c>
      <c r="J132" s="208">
        <v>6.5250473446606234</v>
      </c>
      <c r="K132" s="208">
        <v>6.9172712228197319</v>
      </c>
      <c r="L132" s="208">
        <v>7.0057299179453247</v>
      </c>
      <c r="M132" s="208">
        <v>6.9143033002796734</v>
      </c>
      <c r="N132" s="208">
        <v>6.7052728687307166</v>
      </c>
      <c r="O132" s="208">
        <v>6.6601195706696563</v>
      </c>
      <c r="P132" s="208">
        <v>6.5373634071048574</v>
      </c>
      <c r="Q132" s="208">
        <v>6.3712647417476633</v>
      </c>
      <c r="R132" s="208">
        <v>6.3361356476620738</v>
      </c>
      <c r="S132" s="208">
        <v>6.1585237103957944</v>
      </c>
      <c r="T132" s="208">
        <v>5.9486185347616933</v>
      </c>
      <c r="U132" s="208">
        <v>5.7680543082424061</v>
      </c>
      <c r="V132" s="208">
        <v>5.7075587363982976</v>
      </c>
      <c r="W132" s="208">
        <v>5.940951155650815</v>
      </c>
      <c r="X132" s="208">
        <v>5.8782596770294564</v>
      </c>
      <c r="Y132" s="208">
        <v>5.7469832851427141</v>
      </c>
      <c r="Z132" s="208">
        <v>5.7367949746683582</v>
      </c>
      <c r="AA132" s="209">
        <v>1.235179601506645E-2</v>
      </c>
    </row>
    <row r="133" spans="2:27" ht="15">
      <c r="B133" s="206" t="s">
        <v>747</v>
      </c>
      <c r="C133" s="207">
        <v>7.3550158399384902</v>
      </c>
      <c r="D133" s="208">
        <v>7.3557083894165984</v>
      </c>
      <c r="E133" s="208">
        <v>7.3815446981328439</v>
      </c>
      <c r="F133" s="208">
        <v>7.39869922222735</v>
      </c>
      <c r="G133" s="208">
        <v>7.4148422144864483</v>
      </c>
      <c r="H133" s="208">
        <v>7.4204793186643183</v>
      </c>
      <c r="I133" s="208">
        <v>7.4275398638379588</v>
      </c>
      <c r="J133" s="208">
        <v>7.4600467059475406</v>
      </c>
      <c r="K133" s="208">
        <v>7.5155419133593293</v>
      </c>
      <c r="L133" s="208">
        <v>7.593608589419425</v>
      </c>
      <c r="M133" s="208">
        <v>7.6633424744240504</v>
      </c>
      <c r="N133" s="208">
        <v>7.7222838966892819</v>
      </c>
      <c r="O133" s="208">
        <v>7.7870729550016664</v>
      </c>
      <c r="P133" s="208">
        <v>7.8518341083985774</v>
      </c>
      <c r="Q133" s="208">
        <v>7.9279104384316064</v>
      </c>
      <c r="R133" s="208">
        <v>7.9886238558536693</v>
      </c>
      <c r="S133" s="208">
        <v>8.0544371457472081</v>
      </c>
      <c r="T133" s="208">
        <v>8.1109556293958907</v>
      </c>
      <c r="U133" s="208">
        <v>8.1506505672611009</v>
      </c>
      <c r="V133" s="208">
        <v>8.1857661157952766</v>
      </c>
      <c r="W133" s="208">
        <v>8.7138334626832652</v>
      </c>
      <c r="X133" s="208">
        <v>8.5024982555754534</v>
      </c>
      <c r="Y133" s="208">
        <v>8.5371936450357992</v>
      </c>
      <c r="Z133" s="208">
        <v>8.6046314253714975</v>
      </c>
      <c r="AA133" s="209">
        <v>0.16989978167653519</v>
      </c>
    </row>
    <row r="134" spans="2:27" ht="15">
      <c r="B134" s="206" t="s">
        <v>684</v>
      </c>
      <c r="C134" s="207">
        <v>6.4599422800811874</v>
      </c>
      <c r="D134" s="208">
        <v>6.7421020325706298</v>
      </c>
      <c r="E134" s="208">
        <v>6.9497433602773082</v>
      </c>
      <c r="F134" s="208">
        <v>7.0931120484162964</v>
      </c>
      <c r="G134" s="208">
        <v>7.1940146157610423</v>
      </c>
      <c r="H134" s="208">
        <v>7.2192629090396494</v>
      </c>
      <c r="I134" s="208">
        <v>7.3229339410440621</v>
      </c>
      <c r="J134" s="208">
        <v>7.4435688654706427</v>
      </c>
      <c r="K134" s="208">
        <v>7.26008992017832</v>
      </c>
      <c r="L134" s="208">
        <v>7.085190227816816</v>
      </c>
      <c r="M134" s="208">
        <v>7.3155611032377648</v>
      </c>
      <c r="N134" s="208">
        <v>7.1807078724924356</v>
      </c>
      <c r="O134" s="208">
        <v>7.0513804571343677</v>
      </c>
      <c r="P134" s="208">
        <v>6.9511749589907978</v>
      </c>
      <c r="Q134" s="208">
        <v>6.864969998945373</v>
      </c>
      <c r="R134" s="208">
        <v>6.8016769006142326</v>
      </c>
      <c r="S134" s="208">
        <v>6.6547052113648446</v>
      </c>
      <c r="T134" s="208">
        <v>6.4393792903418099</v>
      </c>
      <c r="U134" s="208">
        <v>6.1822061168442204</v>
      </c>
      <c r="V134" s="208">
        <v>5.3850171211008977</v>
      </c>
      <c r="W134" s="208">
        <v>5.0307986315735551</v>
      </c>
      <c r="X134" s="208">
        <v>4.3207062270800458</v>
      </c>
      <c r="Y134" s="208">
        <v>3.7079880057466079</v>
      </c>
      <c r="Z134" s="208">
        <v>3.5262133287471289</v>
      </c>
      <c r="AA134" s="209">
        <v>-0.45414166630869462</v>
      </c>
    </row>
    <row r="135" spans="2:27" ht="15">
      <c r="B135" s="206" t="s">
        <v>748</v>
      </c>
      <c r="C135" s="207">
        <v>2.6077521431059298</v>
      </c>
      <c r="D135" s="208">
        <v>2.8898431048819888</v>
      </c>
      <c r="E135" s="208">
        <v>3.1114838207547968</v>
      </c>
      <c r="F135" s="208">
        <v>3.3478321568158589</v>
      </c>
      <c r="G135" s="208">
        <v>3.5953495620592899</v>
      </c>
      <c r="H135" s="208">
        <v>3.8894858790870992</v>
      </c>
      <c r="I135" s="208">
        <v>4.0876179139166116</v>
      </c>
      <c r="J135" s="208">
        <v>4.2969567579899124</v>
      </c>
      <c r="K135" s="208">
        <v>4.5036598678167223</v>
      </c>
      <c r="L135" s="208">
        <v>4.7082832554563208</v>
      </c>
      <c r="M135" s="208">
        <v>4.8941962262751453</v>
      </c>
      <c r="N135" s="208">
        <v>4.9954990350524291</v>
      </c>
      <c r="O135" s="208">
        <v>5.011333248176328</v>
      </c>
      <c r="P135" s="208">
        <v>5.0272256242824316</v>
      </c>
      <c r="Q135" s="208">
        <v>5.005670284269284</v>
      </c>
      <c r="R135" s="208">
        <v>4.9626296185470054</v>
      </c>
      <c r="S135" s="208">
        <v>4.8846554341908686</v>
      </c>
      <c r="T135" s="208">
        <v>4.8034364079328382</v>
      </c>
      <c r="U135" s="208">
        <v>4.707950868953831</v>
      </c>
      <c r="V135" s="208">
        <v>4.6092806638492023</v>
      </c>
      <c r="W135" s="208">
        <v>4.5104841272693799</v>
      </c>
      <c r="X135" s="208">
        <v>4.3788397764674736</v>
      </c>
      <c r="Y135" s="208">
        <v>4.2455425498731358</v>
      </c>
      <c r="Z135" s="208">
        <v>4.1330932407871854</v>
      </c>
      <c r="AA135" s="209">
        <v>0.584925642459454</v>
      </c>
    </row>
    <row r="136" spans="2:27" ht="15">
      <c r="B136" s="206" t="s">
        <v>749</v>
      </c>
      <c r="C136" s="207">
        <v>6.8620275651721654</v>
      </c>
      <c r="D136" s="208">
        <v>6.8878198863056879</v>
      </c>
      <c r="E136" s="208">
        <v>6.9059712153678818</v>
      </c>
      <c r="F136" s="208">
        <v>6.9358011813526579</v>
      </c>
      <c r="G136" s="208">
        <v>6.9165788629050997</v>
      </c>
      <c r="H136" s="208">
        <v>6.9212485376755239</v>
      </c>
      <c r="I136" s="208">
        <v>6.8913356792693659</v>
      </c>
      <c r="J136" s="208">
        <v>6.858285884300015</v>
      </c>
      <c r="K136" s="208">
        <v>6.8512276525997784</v>
      </c>
      <c r="L136" s="208">
        <v>6.8440813455769467</v>
      </c>
      <c r="M136" s="208">
        <v>6.799077069399317</v>
      </c>
      <c r="N136" s="208">
        <v>6.7071766523039287</v>
      </c>
      <c r="O136" s="208">
        <v>6.6024147914708662</v>
      </c>
      <c r="P136" s="208">
        <v>6.4659712153314466</v>
      </c>
      <c r="Q136" s="208">
        <v>6.3371263112887997</v>
      </c>
      <c r="R136" s="208">
        <v>6.2009290314956544</v>
      </c>
      <c r="S136" s="208">
        <v>6.0608948489236969</v>
      </c>
      <c r="T136" s="208">
        <v>5.9134001674984358</v>
      </c>
      <c r="U136" s="208">
        <v>5.76187445407413</v>
      </c>
      <c r="V136" s="208">
        <v>5.618425975188611</v>
      </c>
      <c r="W136" s="208">
        <v>5.5596987266395912</v>
      </c>
      <c r="X136" s="208">
        <v>5.4130113072497554</v>
      </c>
      <c r="Y136" s="208">
        <v>5.2781355771607741</v>
      </c>
      <c r="Z136" s="208">
        <v>5.2083486603194942</v>
      </c>
      <c r="AA136" s="209">
        <v>-0.24098983706300239</v>
      </c>
    </row>
    <row r="137" spans="2:27" ht="15">
      <c r="B137" s="206" t="s">
        <v>750</v>
      </c>
      <c r="C137" s="207">
        <v>1.8147132443754299</v>
      </c>
      <c r="D137" s="208">
        <v>1.8166378635481171</v>
      </c>
      <c r="E137" s="208">
        <v>1.8165000461350229</v>
      </c>
      <c r="F137" s="208">
        <v>1.816918307568391</v>
      </c>
      <c r="G137" s="208">
        <v>1.8168092172935839</v>
      </c>
      <c r="H137" s="208">
        <v>1.817883647484106</v>
      </c>
      <c r="I137" s="208">
        <v>1.816409657176145</v>
      </c>
      <c r="J137" s="208">
        <v>1.823183522542829</v>
      </c>
      <c r="K137" s="208">
        <v>1.841370372326109</v>
      </c>
      <c r="L137" s="208">
        <v>1.867258616107937</v>
      </c>
      <c r="M137" s="208">
        <v>1.8939305212869371</v>
      </c>
      <c r="N137" s="208">
        <v>1.9355327223348651</v>
      </c>
      <c r="O137" s="208">
        <v>1.9706605502747701</v>
      </c>
      <c r="P137" s="208">
        <v>1.99618112407058</v>
      </c>
      <c r="Q137" s="208">
        <v>2.021475042697968</v>
      </c>
      <c r="R137" s="208">
        <v>2.0455231342265461</v>
      </c>
      <c r="S137" s="208">
        <v>2.061018775767907</v>
      </c>
      <c r="T137" s="208">
        <v>2.0725725377772801</v>
      </c>
      <c r="U137" s="208">
        <v>2.081580710044979</v>
      </c>
      <c r="V137" s="208">
        <v>2.0892441641704549</v>
      </c>
      <c r="W137" s="208">
        <v>2.1385793230715229</v>
      </c>
      <c r="X137" s="208">
        <v>2.0963560909297718</v>
      </c>
      <c r="Y137" s="208">
        <v>2.050349668010031</v>
      </c>
      <c r="Z137" s="208">
        <v>2.041536981256233</v>
      </c>
      <c r="AA137" s="209">
        <v>0.1249915035247726</v>
      </c>
    </row>
    <row r="138" spans="2:27" ht="15.5" thickBot="1">
      <c r="B138" s="211" t="s">
        <v>751</v>
      </c>
      <c r="C138" s="212">
        <v>4.6221304640399996</v>
      </c>
      <c r="D138" s="213">
        <v>4.8798717996486856</v>
      </c>
      <c r="E138" s="213">
        <v>5.1510314678608484</v>
      </c>
      <c r="F138" s="213">
        <v>5.4224667874315928</v>
      </c>
      <c r="G138" s="213">
        <v>5.713173707233107</v>
      </c>
      <c r="H138" s="213">
        <v>6.0042764996201283</v>
      </c>
      <c r="I138" s="213">
        <v>6.1863109181436</v>
      </c>
      <c r="J138" s="213">
        <v>6.3395769948390086</v>
      </c>
      <c r="K138" s="213">
        <v>6.522213750732452</v>
      </c>
      <c r="L138" s="213">
        <v>6.7781082765599177</v>
      </c>
      <c r="M138" s="213">
        <v>7.0326150270763828</v>
      </c>
      <c r="N138" s="213">
        <v>7.1448115635877887</v>
      </c>
      <c r="O138" s="213">
        <v>7.2579582350129819</v>
      </c>
      <c r="P138" s="213">
        <v>7.3721365525831537</v>
      </c>
      <c r="Q138" s="213">
        <v>7.6330604386426346</v>
      </c>
      <c r="R138" s="213">
        <v>7.7554001325496529</v>
      </c>
      <c r="S138" s="213">
        <v>7.8891664820524188</v>
      </c>
      <c r="T138" s="213">
        <v>8.0174296119749577</v>
      </c>
      <c r="U138" s="213">
        <v>8.1337737935292864</v>
      </c>
      <c r="V138" s="213">
        <v>8.2599803714981181</v>
      </c>
      <c r="W138" s="213">
        <v>8.400197110849577</v>
      </c>
      <c r="X138" s="213">
        <v>8.5426217706513601</v>
      </c>
      <c r="Y138" s="213">
        <v>8.6719044220337356</v>
      </c>
      <c r="Z138" s="213">
        <v>8.8270751601023196</v>
      </c>
      <c r="AA138" s="214">
        <v>0.90974167189278388</v>
      </c>
    </row>
    <row r="139" spans="2:27" ht="15.5" thickBot="1">
      <c r="B139" s="221" t="s">
        <v>752</v>
      </c>
      <c r="C139" s="222">
        <v>240.2650190609539</v>
      </c>
      <c r="D139" s="223">
        <v>256.30920145436448</v>
      </c>
      <c r="E139" s="223">
        <v>243.49823611095391</v>
      </c>
      <c r="F139" s="223">
        <v>258.10207333485681</v>
      </c>
      <c r="G139" s="223">
        <v>255.86410067528351</v>
      </c>
      <c r="H139" s="223">
        <v>262.58840775030251</v>
      </c>
      <c r="I139" s="223">
        <v>256.98430485920011</v>
      </c>
      <c r="J139" s="223">
        <v>234.6349299003387</v>
      </c>
      <c r="K139" s="223">
        <v>252.54772161058281</v>
      </c>
      <c r="L139" s="223">
        <v>249.1012009113719</v>
      </c>
      <c r="M139" s="223">
        <v>272.36090003629488</v>
      </c>
      <c r="N139" s="223">
        <v>227.01761569417491</v>
      </c>
      <c r="O139" s="223">
        <v>248.08017764526079</v>
      </c>
      <c r="P139" s="223">
        <v>266.7277126181117</v>
      </c>
      <c r="Q139" s="223">
        <v>218.34794253048551</v>
      </c>
      <c r="R139" s="223">
        <v>234.46714554201159</v>
      </c>
      <c r="S139" s="223">
        <v>245.38592437467111</v>
      </c>
      <c r="T139" s="223">
        <v>239.33938210652471</v>
      </c>
      <c r="U139" s="223">
        <v>224.3922065704235</v>
      </c>
      <c r="V139" s="223">
        <v>226.3557241204488</v>
      </c>
      <c r="W139" s="223">
        <v>218.66703577513579</v>
      </c>
      <c r="X139" s="223">
        <v>242.91876607972841</v>
      </c>
      <c r="Y139" s="223">
        <v>207.04419929332411</v>
      </c>
      <c r="Z139" s="223">
        <v>211.2263171123783</v>
      </c>
      <c r="AA139" s="219">
        <v>-0.1208611310213606</v>
      </c>
    </row>
    <row r="140" spans="2:27">
      <c r="B140" s="224" t="s">
        <v>738</v>
      </c>
    </row>
    <row r="141" spans="2:27">
      <c r="B141" s="224" t="s">
        <v>753</v>
      </c>
    </row>
    <row r="144" spans="2:27" ht="15.5">
      <c r="B144" s="198" t="s">
        <v>754</v>
      </c>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c r="AA144" s="199"/>
    </row>
    <row r="145" spans="2:27">
      <c r="B145" s="200" t="s">
        <v>755</v>
      </c>
      <c r="C145" s="201"/>
      <c r="D145" s="201"/>
      <c r="E145" s="201"/>
      <c r="F145" s="201"/>
      <c r="G145" s="201"/>
      <c r="H145" s="201"/>
      <c r="I145" s="201"/>
      <c r="J145" s="201"/>
      <c r="K145" s="201"/>
      <c r="L145" s="201"/>
      <c r="M145" s="201"/>
      <c r="N145" s="201"/>
      <c r="O145" s="201"/>
      <c r="P145" s="201"/>
      <c r="Q145" s="201"/>
      <c r="R145" s="201"/>
      <c r="S145" s="201"/>
      <c r="T145" s="201"/>
      <c r="U145" s="201"/>
      <c r="V145" s="201"/>
      <c r="W145" s="201"/>
      <c r="X145" s="201"/>
      <c r="Y145" s="201"/>
      <c r="Z145" s="201"/>
      <c r="AA145" s="201"/>
    </row>
    <row r="146" spans="2:27" ht="15.5" thickBot="1">
      <c r="B146" s="203" t="s">
        <v>679</v>
      </c>
      <c r="C146" s="204">
        <v>2000</v>
      </c>
      <c r="D146" s="204">
        <v>2001</v>
      </c>
      <c r="E146" s="204">
        <v>2002</v>
      </c>
      <c r="F146" s="204">
        <v>2003</v>
      </c>
      <c r="G146" s="204">
        <v>2004</v>
      </c>
      <c r="H146" s="204">
        <v>2005</v>
      </c>
      <c r="I146" s="204">
        <v>2006</v>
      </c>
      <c r="J146" s="204">
        <v>2007</v>
      </c>
      <c r="K146" s="204">
        <v>2008</v>
      </c>
      <c r="L146" s="204">
        <v>2009</v>
      </c>
      <c r="M146" s="204">
        <v>2010</v>
      </c>
      <c r="N146" s="204">
        <v>2011</v>
      </c>
      <c r="O146" s="204">
        <v>2012</v>
      </c>
      <c r="P146" s="204">
        <v>2013</v>
      </c>
      <c r="Q146" s="204">
        <v>2014</v>
      </c>
      <c r="R146" s="204">
        <v>2015</v>
      </c>
      <c r="S146" s="204">
        <v>2016</v>
      </c>
      <c r="T146" s="204">
        <v>2017</v>
      </c>
      <c r="U146" s="204">
        <v>2018</v>
      </c>
      <c r="V146" s="204">
        <v>2019</v>
      </c>
      <c r="W146" s="204">
        <v>2020</v>
      </c>
      <c r="X146" s="204">
        <v>2021</v>
      </c>
      <c r="Y146" s="204">
        <v>2022</v>
      </c>
      <c r="Z146" s="204">
        <v>2023</v>
      </c>
      <c r="AA146" s="204" t="s">
        <v>680</v>
      </c>
    </row>
    <row r="147" spans="2:27" ht="15">
      <c r="B147" s="206" t="s">
        <v>681</v>
      </c>
      <c r="C147" s="207">
        <v>12.69673497941506</v>
      </c>
      <c r="D147" s="208">
        <v>13.887924181798819</v>
      </c>
      <c r="E147" s="208">
        <v>12.98790187319833</v>
      </c>
      <c r="F147" s="208">
        <v>14.081442119374</v>
      </c>
      <c r="G147" s="208">
        <v>14.042889982845351</v>
      </c>
      <c r="H147" s="208">
        <v>14.68861483711291</v>
      </c>
      <c r="I147" s="208">
        <v>14.450796188745221</v>
      </c>
      <c r="J147" s="208">
        <v>12.898149222400979</v>
      </c>
      <c r="K147" s="208">
        <v>14.420012337921341</v>
      </c>
      <c r="L147" s="208">
        <v>14.30426925334071</v>
      </c>
      <c r="M147" s="208">
        <v>16.267108730558981</v>
      </c>
      <c r="N147" s="208">
        <v>12.88423972704803</v>
      </c>
      <c r="O147" s="208">
        <v>14.84688179428168</v>
      </c>
      <c r="P147" s="208">
        <v>16.766077246483881</v>
      </c>
      <c r="Q147" s="208">
        <v>12.885709374770689</v>
      </c>
      <c r="R147" s="208">
        <v>14.460761713966919</v>
      </c>
      <c r="S147" s="208">
        <v>15.78866661257617</v>
      </c>
      <c r="T147" s="208">
        <v>15.619426984998061</v>
      </c>
      <c r="U147" s="208">
        <v>14.678158925938691</v>
      </c>
      <c r="V147" s="208">
        <v>15.350966410498719</v>
      </c>
      <c r="W147" s="208">
        <v>14.88835933921534</v>
      </c>
      <c r="X147" s="208">
        <v>18.293350305555961</v>
      </c>
      <c r="Y147" s="208">
        <v>15.311755315423889</v>
      </c>
      <c r="Z147" s="208">
        <v>17.005236561945662</v>
      </c>
      <c r="AA147" s="209">
        <v>0.33933933326291149</v>
      </c>
    </row>
    <row r="148" spans="2:27" ht="15">
      <c r="B148" s="206" t="s">
        <v>682</v>
      </c>
      <c r="C148" s="207">
        <v>7.2414301551683611</v>
      </c>
      <c r="D148" s="208">
        <v>7.2712298916544329</v>
      </c>
      <c r="E148" s="208">
        <v>7.329825724225568</v>
      </c>
      <c r="F148" s="208">
        <v>7.3959067516702408</v>
      </c>
      <c r="G148" s="208">
        <v>7.4662622359337476</v>
      </c>
      <c r="H148" s="208">
        <v>7.5590700144405334</v>
      </c>
      <c r="I148" s="208">
        <v>7.6265563486522296</v>
      </c>
      <c r="J148" s="208">
        <v>7.7257289919596834</v>
      </c>
      <c r="K148" s="208">
        <v>7.9047060715628126</v>
      </c>
      <c r="L148" s="208">
        <v>8.0795854938134681</v>
      </c>
      <c r="M148" s="208">
        <v>8.2435888163619069</v>
      </c>
      <c r="N148" s="208">
        <v>8.3758591217489151</v>
      </c>
      <c r="O148" s="208">
        <v>8.50976345270543</v>
      </c>
      <c r="P148" s="208">
        <v>8.5939847389350135</v>
      </c>
      <c r="Q148" s="208">
        <v>8.7288185466591859</v>
      </c>
      <c r="R148" s="208">
        <v>8.8216065102416668</v>
      </c>
      <c r="S148" s="208">
        <v>8.912035620004195</v>
      </c>
      <c r="T148" s="208">
        <v>9.0663572780466897</v>
      </c>
      <c r="U148" s="208">
        <v>9.2241927435860198</v>
      </c>
      <c r="V148" s="208">
        <v>9.4112430674969225</v>
      </c>
      <c r="W148" s="208">
        <v>10.122303326228391</v>
      </c>
      <c r="X148" s="208">
        <v>9.9719673591536537</v>
      </c>
      <c r="Y148" s="208">
        <v>9.9900675147867375</v>
      </c>
      <c r="Z148" s="208">
        <v>9.6758314739910851</v>
      </c>
      <c r="AA148" s="209">
        <v>0.33617686930049873</v>
      </c>
    </row>
    <row r="149" spans="2:27" ht="15">
      <c r="B149" s="206" t="s">
        <v>743</v>
      </c>
      <c r="C149" s="207">
        <v>3.6121668401578462</v>
      </c>
      <c r="D149" s="208">
        <v>3.850399082077737</v>
      </c>
      <c r="E149" s="208">
        <v>3.6927366964306749</v>
      </c>
      <c r="F149" s="208">
        <v>3.9314830954695208</v>
      </c>
      <c r="G149" s="208">
        <v>3.9337497910750541</v>
      </c>
      <c r="H149" s="208">
        <v>4.0700340228463556</v>
      </c>
      <c r="I149" s="208">
        <v>4.0751050953370003</v>
      </c>
      <c r="J149" s="208">
        <v>3.718573988240403</v>
      </c>
      <c r="K149" s="208">
        <v>4.0498388653856443</v>
      </c>
      <c r="L149" s="208">
        <v>4.0954579483893516</v>
      </c>
      <c r="M149" s="208">
        <v>4.4943134825483666</v>
      </c>
      <c r="N149" s="208">
        <v>3.8448149299369789</v>
      </c>
      <c r="O149" s="208">
        <v>4.2546436002837362</v>
      </c>
      <c r="P149" s="208">
        <v>4.6676039840095997</v>
      </c>
      <c r="Q149" s="208">
        <v>3.826464519280719</v>
      </c>
      <c r="R149" s="208">
        <v>4.4381416994998011</v>
      </c>
      <c r="S149" s="208">
        <v>4.5178659021539644</v>
      </c>
      <c r="T149" s="208">
        <v>4.5884789060194686</v>
      </c>
      <c r="U149" s="208">
        <v>4.4767811596196054</v>
      </c>
      <c r="V149" s="208">
        <v>4.4915491896068627</v>
      </c>
      <c r="W149" s="208">
        <v>4.2939866588876114</v>
      </c>
      <c r="X149" s="208">
        <v>4.5062469823650142</v>
      </c>
      <c r="Y149" s="208">
        <v>4.4731478480615623</v>
      </c>
      <c r="Z149" s="208">
        <v>4.6195993568544624</v>
      </c>
      <c r="AA149" s="209">
        <v>0.27889977436717522</v>
      </c>
    </row>
    <row r="150" spans="2:27" ht="15">
      <c r="B150" s="206" t="s">
        <v>686</v>
      </c>
      <c r="C150" s="207">
        <v>5.6667998192428604</v>
      </c>
      <c r="D150" s="208">
        <v>5.808639198923534</v>
      </c>
      <c r="E150" s="208">
        <v>5.8804279479457282</v>
      </c>
      <c r="F150" s="208">
        <v>5.9264136784028576</v>
      </c>
      <c r="G150" s="208">
        <v>5.9753856308375148</v>
      </c>
      <c r="H150" s="208">
        <v>6.0899430835462232</v>
      </c>
      <c r="I150" s="208">
        <v>6.2270104683679488</v>
      </c>
      <c r="J150" s="208">
        <v>6.5250473446606234</v>
      </c>
      <c r="K150" s="208">
        <v>6.9172712228197319</v>
      </c>
      <c r="L150" s="208">
        <v>7.0057299179453247</v>
      </c>
      <c r="M150" s="208">
        <v>6.9143033002796734</v>
      </c>
      <c r="N150" s="208">
        <v>6.7052728687307166</v>
      </c>
      <c r="O150" s="208">
        <v>6.6601195706696563</v>
      </c>
      <c r="P150" s="208">
        <v>6.5373634071048574</v>
      </c>
      <c r="Q150" s="208">
        <v>6.3712647417476633</v>
      </c>
      <c r="R150" s="208">
        <v>6.3361356476620738</v>
      </c>
      <c r="S150" s="208">
        <v>6.1585237103957944</v>
      </c>
      <c r="T150" s="208">
        <v>5.95</v>
      </c>
      <c r="U150" s="208">
        <v>5.7680543082424096</v>
      </c>
      <c r="V150" s="208">
        <v>5.7075587363982976</v>
      </c>
      <c r="W150" s="208">
        <v>5.940951155650815</v>
      </c>
      <c r="X150" s="208">
        <v>5.8782596770294564</v>
      </c>
      <c r="Y150" s="208">
        <v>5.7469832851427141</v>
      </c>
      <c r="Z150" s="208">
        <v>5.7367949746683582</v>
      </c>
      <c r="AA150" s="209">
        <v>1.235179601506645E-2</v>
      </c>
    </row>
    <row r="151" spans="2:27" ht="15">
      <c r="B151" s="206" t="s">
        <v>756</v>
      </c>
      <c r="C151" s="207">
        <v>4.6830246648054743</v>
      </c>
      <c r="D151" s="208">
        <v>4.6818486880813603</v>
      </c>
      <c r="E151" s="208">
        <v>4.6879489810108996</v>
      </c>
      <c r="F151" s="208">
        <v>4.6918081399827329</v>
      </c>
      <c r="G151" s="208">
        <v>4.6992912789793984</v>
      </c>
      <c r="H151" s="208">
        <v>4.7073632321523231</v>
      </c>
      <c r="I151" s="208">
        <v>4.716833584298624</v>
      </c>
      <c r="J151" s="208">
        <v>4.7427468295823196</v>
      </c>
      <c r="K151" s="208">
        <v>4.7930523231674966</v>
      </c>
      <c r="L151" s="208">
        <v>4.8474924518265086</v>
      </c>
      <c r="M151" s="208">
        <v>4.885536144148559</v>
      </c>
      <c r="N151" s="208">
        <v>4.92538450611318</v>
      </c>
      <c r="O151" s="208">
        <v>4.9713367925164844</v>
      </c>
      <c r="P151" s="208">
        <v>5.0176189522216728</v>
      </c>
      <c r="Q151" s="208">
        <v>5.0698514873605012</v>
      </c>
      <c r="R151" s="208">
        <v>5.1206439015402454</v>
      </c>
      <c r="S151" s="208">
        <v>5.1607845736437836</v>
      </c>
      <c r="T151" s="208">
        <v>5.1951801609365482</v>
      </c>
      <c r="U151" s="208">
        <v>5.218198172109922</v>
      </c>
      <c r="V151" s="208">
        <v>5.2364876504146114</v>
      </c>
      <c r="W151" s="208">
        <v>5.7268999819632498</v>
      </c>
      <c r="X151" s="208">
        <v>5.5142607139206312</v>
      </c>
      <c r="Y151" s="208">
        <v>5.5421750077253886</v>
      </c>
      <c r="Z151" s="208">
        <v>5.5913584596816062</v>
      </c>
      <c r="AA151" s="209">
        <v>0.19396306017830101</v>
      </c>
    </row>
    <row r="152" spans="2:27" ht="15">
      <c r="B152" s="206" t="s">
        <v>684</v>
      </c>
      <c r="C152" s="207">
        <v>6.4599422800811874</v>
      </c>
      <c r="D152" s="208">
        <v>6.7421020325706298</v>
      </c>
      <c r="E152" s="208">
        <v>6.9497433602773082</v>
      </c>
      <c r="F152" s="208">
        <v>7.0931120484162964</v>
      </c>
      <c r="G152" s="208">
        <v>7.1940146157610423</v>
      </c>
      <c r="H152" s="208">
        <v>7.2192629090396494</v>
      </c>
      <c r="I152" s="208">
        <v>7.3229339410440621</v>
      </c>
      <c r="J152" s="208">
        <v>7.4435688654706427</v>
      </c>
      <c r="K152" s="208">
        <v>7.26008992017832</v>
      </c>
      <c r="L152" s="208">
        <v>7.085190227816816</v>
      </c>
      <c r="M152" s="208">
        <v>7.3155611032377648</v>
      </c>
      <c r="N152" s="208">
        <v>7.1807078724924356</v>
      </c>
      <c r="O152" s="208">
        <v>7.0513804571343677</v>
      </c>
      <c r="P152" s="208">
        <v>6.9511749589907978</v>
      </c>
      <c r="Q152" s="208">
        <v>6.864969998945373</v>
      </c>
      <c r="R152" s="208">
        <v>6.8016769006142326</v>
      </c>
      <c r="S152" s="208">
        <v>6.6547052113648446</v>
      </c>
      <c r="T152" s="208">
        <v>6.4393792903418099</v>
      </c>
      <c r="U152" s="208">
        <v>6.1822061168442204</v>
      </c>
      <c r="V152" s="208">
        <v>5.3850171211008977</v>
      </c>
      <c r="W152" s="208">
        <v>5.0307986315735551</v>
      </c>
      <c r="X152" s="208">
        <v>4.3207062270800458</v>
      </c>
      <c r="Y152" s="208">
        <v>3.7079880057466079</v>
      </c>
      <c r="Z152" s="208">
        <v>3.5262133287471289</v>
      </c>
      <c r="AA152" s="209">
        <v>-0.45414166630869462</v>
      </c>
    </row>
    <row r="153" spans="2:27" ht="15">
      <c r="B153" s="206" t="s">
        <v>687</v>
      </c>
      <c r="C153" s="207">
        <v>13.151751943218761</v>
      </c>
      <c r="D153" s="208">
        <v>13.49890175655665</v>
      </c>
      <c r="E153" s="208">
        <v>13.780977266286371</v>
      </c>
      <c r="F153" s="208">
        <v>14.089885141769891</v>
      </c>
      <c r="G153" s="208">
        <v>14.36029901390836</v>
      </c>
      <c r="H153" s="208">
        <v>14.702458961962019</v>
      </c>
      <c r="I153" s="208">
        <v>14.90120311881781</v>
      </c>
      <c r="J153" s="208">
        <v>15.122361097526531</v>
      </c>
      <c r="K153" s="208">
        <v>15.38719674285962</v>
      </c>
      <c r="L153" s="208">
        <v>15.66222510419356</v>
      </c>
      <c r="M153" s="208">
        <v>15.878450441360499</v>
      </c>
      <c r="N153" s="208">
        <v>15.96328517831645</v>
      </c>
      <c r="O153" s="208">
        <v>15.94332431158155</v>
      </c>
      <c r="P153" s="208">
        <v>15.882162613312961</v>
      </c>
      <c r="Q153" s="208">
        <v>15.795341845186201</v>
      </c>
      <c r="R153" s="208">
        <v>15.669477362187219</v>
      </c>
      <c r="S153" s="208">
        <v>15.496927665434979</v>
      </c>
      <c r="T153" s="208">
        <v>15.306462544415799</v>
      </c>
      <c r="U153" s="208">
        <v>15.090537306278691</v>
      </c>
      <c r="V153" s="208">
        <v>14.87781559603502</v>
      </c>
      <c r="W153" s="208">
        <v>14.793234618260639</v>
      </c>
      <c r="X153" s="208">
        <v>14.484082546466681</v>
      </c>
      <c r="Y153" s="208">
        <v>14.17890130226858</v>
      </c>
      <c r="Z153" s="208">
        <v>14.008480892031789</v>
      </c>
      <c r="AA153" s="209">
        <v>6.5141811715417303E-2</v>
      </c>
    </row>
    <row r="154" spans="2:27" ht="15.5" thickBot="1">
      <c r="B154" s="211" t="s">
        <v>751</v>
      </c>
      <c r="C154" s="212">
        <v>4.6221304640399996</v>
      </c>
      <c r="D154" s="213">
        <v>4.8798717996486856</v>
      </c>
      <c r="E154" s="213">
        <v>5.1510314678608484</v>
      </c>
      <c r="F154" s="213">
        <v>5.4224667874315928</v>
      </c>
      <c r="G154" s="213">
        <v>5.713173707233107</v>
      </c>
      <c r="H154" s="213">
        <v>6.0042764996201283</v>
      </c>
      <c r="I154" s="213">
        <v>6.1863109181436</v>
      </c>
      <c r="J154" s="213">
        <v>6.3395769948390086</v>
      </c>
      <c r="K154" s="213">
        <v>6.522213750732452</v>
      </c>
      <c r="L154" s="213">
        <v>6.7781082765599177</v>
      </c>
      <c r="M154" s="213">
        <v>7.0326150270763828</v>
      </c>
      <c r="N154" s="213">
        <v>7.1448115635877887</v>
      </c>
      <c r="O154" s="213">
        <v>7.2579582350129819</v>
      </c>
      <c r="P154" s="213">
        <v>7.3721365525831537</v>
      </c>
      <c r="Q154" s="213">
        <v>7.6330604386426346</v>
      </c>
      <c r="R154" s="213">
        <v>7.7554001325496529</v>
      </c>
      <c r="S154" s="213">
        <v>7.8891664820524188</v>
      </c>
      <c r="T154" s="213">
        <v>8.0174296119749577</v>
      </c>
      <c r="U154" s="213">
        <v>8.1337737935292864</v>
      </c>
      <c r="V154" s="213">
        <v>8.2599803714981181</v>
      </c>
      <c r="W154" s="213">
        <v>8.400197110849577</v>
      </c>
      <c r="X154" s="213">
        <v>8.5426217706513601</v>
      </c>
      <c r="Y154" s="213">
        <v>8.6719044220337356</v>
      </c>
      <c r="Z154" s="213">
        <v>8.8270751601023196</v>
      </c>
      <c r="AA154" s="214">
        <v>0.90974167189278388</v>
      </c>
    </row>
    <row r="155" spans="2:27" ht="15.5" thickBot="1">
      <c r="B155" s="221" t="s">
        <v>61</v>
      </c>
      <c r="C155" s="222">
        <v>58.13398114612955</v>
      </c>
      <c r="D155" s="223">
        <v>60.620916631311843</v>
      </c>
      <c r="E155" s="223">
        <v>60.460593317235727</v>
      </c>
      <c r="F155" s="223">
        <v>62.632517762517139</v>
      </c>
      <c r="G155" s="223">
        <v>63.385066256573573</v>
      </c>
      <c r="H155" s="223">
        <v>65.041023560720149</v>
      </c>
      <c r="I155" s="223">
        <v>65.506749663406495</v>
      </c>
      <c r="J155" s="223">
        <v>64.515753334680198</v>
      </c>
      <c r="K155" s="223">
        <v>67.254381234627402</v>
      </c>
      <c r="L155" s="223">
        <v>67.858058673885665</v>
      </c>
      <c r="M155" s="223">
        <v>71.031477045572132</v>
      </c>
      <c r="N155" s="223">
        <v>67.024375767974504</v>
      </c>
      <c r="O155" s="223">
        <v>69.495408214185872</v>
      </c>
      <c r="P155" s="223">
        <v>71.788122453641932</v>
      </c>
      <c r="Q155" s="223">
        <v>67.175480952592963</v>
      </c>
      <c r="R155" s="223">
        <v>69.403843868261816</v>
      </c>
      <c r="S155" s="223">
        <v>70.578675777626145</v>
      </c>
      <c r="T155" s="223">
        <v>70.181333311495024</v>
      </c>
      <c r="U155" s="223">
        <v>68.771902526148835</v>
      </c>
      <c r="V155" s="223">
        <v>68.72061814304945</v>
      </c>
      <c r="W155" s="223">
        <v>69.196730822629178</v>
      </c>
      <c r="X155" s="223">
        <v>71.511495582222807</v>
      </c>
      <c r="Y155" s="223">
        <v>67.622922701189211</v>
      </c>
      <c r="Z155" s="223">
        <v>68.990590208022411</v>
      </c>
      <c r="AA155" s="219">
        <v>0.18675151516981001</v>
      </c>
    </row>
    <row r="156" spans="2:27">
      <c r="B156" s="224" t="s">
        <v>738</v>
      </c>
    </row>
    <row r="157" spans="2:27">
      <c r="B157" s="224" t="s">
        <v>757</v>
      </c>
    </row>
    <row r="162" spans="1:31" ht="15.5">
      <c r="B162" s="198" t="s">
        <v>758</v>
      </c>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c r="AA162" s="199"/>
    </row>
    <row r="163" spans="1:31">
      <c r="B163" s="200" t="s">
        <v>759</v>
      </c>
      <c r="C163" s="201"/>
      <c r="D163" s="201"/>
      <c r="E163" s="201"/>
      <c r="F163" s="201"/>
      <c r="G163" s="201"/>
      <c r="H163" s="201"/>
      <c r="I163" s="201"/>
      <c r="J163" s="201"/>
      <c r="K163" s="201"/>
      <c r="L163" s="201"/>
      <c r="M163" s="201"/>
      <c r="N163" s="201"/>
      <c r="O163" s="201"/>
      <c r="P163" s="201"/>
      <c r="Q163" s="201"/>
      <c r="R163" s="201"/>
      <c r="S163" s="201"/>
      <c r="T163" s="201"/>
      <c r="U163" s="201"/>
      <c r="V163" s="201"/>
      <c r="W163" s="201"/>
      <c r="X163" s="201"/>
      <c r="Y163" s="201"/>
      <c r="Z163" s="201"/>
      <c r="AA163" s="201"/>
      <c r="AC163" s="202" t="s">
        <v>678</v>
      </c>
    </row>
    <row r="164" spans="1:31" ht="15.5" thickBot="1">
      <c r="B164" s="203" t="s">
        <v>760</v>
      </c>
      <c r="C164" s="204">
        <v>2000</v>
      </c>
      <c r="D164" s="204">
        <v>2001</v>
      </c>
      <c r="E164" s="204">
        <v>2002</v>
      </c>
      <c r="F164" s="204">
        <v>2003</v>
      </c>
      <c r="G164" s="204">
        <v>2004</v>
      </c>
      <c r="H164" s="204">
        <v>2005</v>
      </c>
      <c r="I164" s="204">
        <v>2006</v>
      </c>
      <c r="J164" s="204">
        <v>2007</v>
      </c>
      <c r="K164" s="204">
        <v>2008</v>
      </c>
      <c r="L164" s="204">
        <v>2009</v>
      </c>
      <c r="M164" s="204">
        <v>2010</v>
      </c>
      <c r="N164" s="204">
        <v>2011</v>
      </c>
      <c r="O164" s="204">
        <v>2012</v>
      </c>
      <c r="P164" s="204">
        <v>2013</v>
      </c>
      <c r="Q164" s="204">
        <v>2014</v>
      </c>
      <c r="R164" s="204">
        <v>2015</v>
      </c>
      <c r="S164" s="204">
        <v>2016</v>
      </c>
      <c r="T164" s="204">
        <v>2017</v>
      </c>
      <c r="U164" s="204">
        <v>2018</v>
      </c>
      <c r="V164" s="204">
        <v>2019</v>
      </c>
      <c r="W164" s="204">
        <v>2020</v>
      </c>
      <c r="X164" s="204">
        <v>2021</v>
      </c>
      <c r="Y164" s="204">
        <v>2022</v>
      </c>
      <c r="Z164" s="204">
        <v>2023</v>
      </c>
      <c r="AA164" s="204">
        <v>2024</v>
      </c>
      <c r="AC164" s="205">
        <f ca="1">OFFSET(C164,0,[1]Matrix!$C$2-2000)</f>
        <v>2023</v>
      </c>
    </row>
    <row r="165" spans="1:31" ht="15">
      <c r="B165" s="206" t="s">
        <v>701</v>
      </c>
      <c r="C165" s="207">
        <v>102.953357811975</v>
      </c>
      <c r="D165" s="208">
        <v>110.5682307196337</v>
      </c>
      <c r="E165" s="208">
        <v>101.3464194711093</v>
      </c>
      <c r="F165" s="208">
        <v>108.06744250045089</v>
      </c>
      <c r="G165" s="208">
        <v>104.7441468748777</v>
      </c>
      <c r="H165" s="208">
        <v>106.2511817397487</v>
      </c>
      <c r="I165" s="208">
        <v>100.8446213936073</v>
      </c>
      <c r="J165" s="208">
        <v>86.715320030543879</v>
      </c>
      <c r="K165" s="208">
        <v>94.120384154991029</v>
      </c>
      <c r="L165" s="208">
        <v>90.136256999973526</v>
      </c>
      <c r="M165" s="208">
        <v>99.651111741859552</v>
      </c>
      <c r="N165" s="208">
        <v>74.820114747633866</v>
      </c>
      <c r="O165" s="208">
        <v>83.231452082539818</v>
      </c>
      <c r="P165" s="208">
        <v>89.597719921904798</v>
      </c>
      <c r="Q165" s="208">
        <v>65.030406604068361</v>
      </c>
      <c r="R165" s="208">
        <v>70.145601115742139</v>
      </c>
      <c r="S165" s="208">
        <v>72.93139104259393</v>
      </c>
      <c r="T165" s="208">
        <v>67.508135250997839</v>
      </c>
      <c r="U165" s="208">
        <v>58.621067841956808</v>
      </c>
      <c r="V165" s="208">
        <v>56.919437300697659</v>
      </c>
      <c r="W165" s="208">
        <v>50.25767499046399</v>
      </c>
      <c r="X165" s="208">
        <v>56.199861854978103</v>
      </c>
      <c r="Y165" s="208">
        <v>41.690445525492272</v>
      </c>
      <c r="Z165" s="208">
        <v>40.918249095113502</v>
      </c>
      <c r="AA165" s="208">
        <v>39.267000943433082</v>
      </c>
      <c r="AC165" s="210">
        <f ca="1">OFFSET(C165,0,[1]Matrix!$C$2-2000)/$AC$2</f>
        <v>11.366180304198195</v>
      </c>
    </row>
    <row r="166" spans="1:31" ht="15">
      <c r="B166" s="206" t="s">
        <v>609</v>
      </c>
      <c r="C166" s="207">
        <v>28.60450610755441</v>
      </c>
      <c r="D166" s="208">
        <v>32.209949978558967</v>
      </c>
      <c r="E166" s="208">
        <v>30.847937417802768</v>
      </c>
      <c r="F166" s="208">
        <v>34.36173781282961</v>
      </c>
      <c r="G166" s="208">
        <v>34.917771152713463</v>
      </c>
      <c r="H166" s="208">
        <v>37.141832600297732</v>
      </c>
      <c r="I166" s="208">
        <v>36.913875583311388</v>
      </c>
      <c r="J166" s="208">
        <v>33.152485934635131</v>
      </c>
      <c r="K166" s="208">
        <v>37.479136762884337</v>
      </c>
      <c r="L166" s="208">
        <v>37.4528267547052</v>
      </c>
      <c r="M166" s="208">
        <v>43.312761453458137</v>
      </c>
      <c r="N166" s="208">
        <v>34.032388192105323</v>
      </c>
      <c r="O166" s="208">
        <v>39.542903967533569</v>
      </c>
      <c r="P166" s="208">
        <v>44.691044089353142</v>
      </c>
      <c r="Q166" s="208">
        <v>33.985878067270477</v>
      </c>
      <c r="R166" s="208">
        <v>38.404953569094168</v>
      </c>
      <c r="S166" s="208">
        <v>41.713336822774238</v>
      </c>
      <c r="T166" s="208">
        <v>41.354948102948413</v>
      </c>
      <c r="U166" s="208">
        <v>38.490217399346541</v>
      </c>
      <c r="V166" s="208">
        <v>40.142515816235623</v>
      </c>
      <c r="W166" s="208">
        <v>38.187311981789009</v>
      </c>
      <c r="X166" s="208">
        <v>45.646663954389041</v>
      </c>
      <c r="Y166" s="208">
        <v>36.211809541119713</v>
      </c>
      <c r="Z166" s="208">
        <v>35.033856913644406</v>
      </c>
      <c r="AA166" s="208">
        <v>35.661877301432817</v>
      </c>
      <c r="AC166" s="210">
        <f ca="1">OFFSET(C166,0,[1]Matrix!$C$2-2000)/$AC$2</f>
        <v>9.7316269204567796</v>
      </c>
    </row>
    <row r="167" spans="1:31" ht="15">
      <c r="A167" s="244"/>
      <c r="B167" s="206" t="s">
        <v>761</v>
      </c>
      <c r="C167" s="207">
        <v>11.237375504101969</v>
      </c>
      <c r="D167" s="208">
        <v>12.184489357046809</v>
      </c>
      <c r="E167" s="208">
        <v>11.30668122530855</v>
      </c>
      <c r="F167" s="208">
        <v>12.150570785189331</v>
      </c>
      <c r="G167" s="208">
        <v>11.99435997667843</v>
      </c>
      <c r="H167" s="208">
        <v>12.410638908257139</v>
      </c>
      <c r="I167" s="208">
        <v>12.03841744469174</v>
      </c>
      <c r="J167" s="208">
        <v>10.6029208044896</v>
      </c>
      <c r="K167" s="208">
        <v>11.64927413729842</v>
      </c>
      <c r="L167" s="208">
        <v>11.35996486792278</v>
      </c>
      <c r="M167" s="208">
        <v>12.662334695113319</v>
      </c>
      <c r="N167" s="208">
        <v>9.852426443255208</v>
      </c>
      <c r="O167" s="208">
        <v>11.11679628924991</v>
      </c>
      <c r="P167" s="208">
        <v>12.198773558773629</v>
      </c>
      <c r="Q167" s="208">
        <v>9.2164717786117318</v>
      </c>
      <c r="R167" s="208">
        <v>10.047048807360969</v>
      </c>
      <c r="S167" s="208">
        <v>10.70990530339906</v>
      </c>
      <c r="T167" s="208">
        <v>10.3511410860851</v>
      </c>
      <c r="U167" s="208">
        <v>9.4789567690619876</v>
      </c>
      <c r="V167" s="208">
        <v>9.640762295117522</v>
      </c>
      <c r="W167" s="208">
        <v>9.0224135098368254</v>
      </c>
      <c r="X167" s="208">
        <v>10.576048331948011</v>
      </c>
      <c r="Y167" s="208">
        <v>8.5401031285813769</v>
      </c>
      <c r="Z167" s="208">
        <v>8.8212841233512478</v>
      </c>
      <c r="AA167" s="208">
        <v>8.8544267207110838</v>
      </c>
      <c r="AC167" s="210">
        <f ca="1">OFFSET(C167,0,[1]Matrix!$C$2-2000)/$AC$2</f>
        <v>2.450356700930902</v>
      </c>
    </row>
    <row r="168" spans="1:31" ht="15">
      <c r="B168" s="206" t="s">
        <v>762</v>
      </c>
      <c r="C168" s="207">
        <v>1.459359475313091</v>
      </c>
      <c r="D168" s="208">
        <v>1.703434824752013</v>
      </c>
      <c r="E168" s="208">
        <v>1.681220647889772</v>
      </c>
      <c r="F168" s="208">
        <v>1.9308713341846711</v>
      </c>
      <c r="G168" s="208">
        <v>2.0485300061669172</v>
      </c>
      <c r="H168" s="208">
        <v>2.2779759288557671</v>
      </c>
      <c r="I168" s="208">
        <v>2.412378744053477</v>
      </c>
      <c r="J168" s="208">
        <v>2.295228417911388</v>
      </c>
      <c r="K168" s="208">
        <v>2.7707382006229131</v>
      </c>
      <c r="L168" s="208">
        <v>2.9443043854179298</v>
      </c>
      <c r="M168" s="208">
        <v>3.6047740354456579</v>
      </c>
      <c r="N168" s="208">
        <v>3.0318132837928249</v>
      </c>
      <c r="O168" s="208">
        <v>3.7300855050317669</v>
      </c>
      <c r="P168" s="208">
        <v>4.5673036877102549</v>
      </c>
      <c r="Q168" s="208">
        <v>3.6692375961589598</v>
      </c>
      <c r="R168" s="208">
        <v>4.4137129066059497</v>
      </c>
      <c r="S168" s="208">
        <v>5.0787613091771107</v>
      </c>
      <c r="T168" s="208">
        <v>5.2682858989129606</v>
      </c>
      <c r="U168" s="208">
        <v>5.1992021568767024</v>
      </c>
      <c r="V168" s="208">
        <v>5.7102041153811953</v>
      </c>
      <c r="W168" s="208">
        <v>5.8659458293785178</v>
      </c>
      <c r="X168" s="208">
        <v>7.7173019736079516</v>
      </c>
      <c r="Y168" s="208">
        <v>6.7716521868425126</v>
      </c>
      <c r="Z168" s="208">
        <v>8.183952438594412</v>
      </c>
      <c r="AA168" s="208">
        <v>9.4631806307016024</v>
      </c>
      <c r="AC168" s="210">
        <f ca="1">OFFSET(C168,0,[1]Matrix!$C$2-2000)/$AC$2</f>
        <v>2.2733201218317811</v>
      </c>
    </row>
    <row r="169" spans="1:31" ht="15">
      <c r="B169" s="206" t="s">
        <v>427</v>
      </c>
      <c r="C169" s="207">
        <v>18.033401807398491</v>
      </c>
      <c r="D169" s="208">
        <v>19.472898814359709</v>
      </c>
      <c r="E169" s="208">
        <v>17.81682793214997</v>
      </c>
      <c r="F169" s="208">
        <v>19.069539562516059</v>
      </c>
      <c r="G169" s="208">
        <v>18.70143263554813</v>
      </c>
      <c r="H169" s="208">
        <v>19.323768980721269</v>
      </c>
      <c r="I169" s="208">
        <v>18.775343220533671</v>
      </c>
      <c r="J169" s="208">
        <v>16.168021490850371</v>
      </c>
      <c r="K169" s="208">
        <v>17.964921403436879</v>
      </c>
      <c r="L169" s="208">
        <v>17.65939111300785</v>
      </c>
      <c r="M169" s="208">
        <v>19.994479611930561</v>
      </c>
      <c r="N169" s="208">
        <v>15.458248086130761</v>
      </c>
      <c r="O169" s="208">
        <v>17.624692781996739</v>
      </c>
      <c r="P169" s="208">
        <v>19.678593916280871</v>
      </c>
      <c r="Q169" s="208">
        <v>14.7341248033559</v>
      </c>
      <c r="R169" s="208">
        <v>16.549078810493491</v>
      </c>
      <c r="S169" s="208">
        <v>17.965393208285349</v>
      </c>
      <c r="T169" s="208">
        <v>17.641824805423081</v>
      </c>
      <c r="U169" s="208">
        <v>16.49429699107101</v>
      </c>
      <c r="V169" s="208">
        <v>17.060687679707449</v>
      </c>
      <c r="W169" s="208">
        <v>16.272400081467609</v>
      </c>
      <c r="X169" s="208">
        <v>19.712327357131549</v>
      </c>
      <c r="Y169" s="208">
        <v>15.88959828164564</v>
      </c>
      <c r="Z169" s="208">
        <v>17.006005832278689</v>
      </c>
      <c r="AA169" s="208">
        <v>17.464883557844288</v>
      </c>
      <c r="AC169" s="210">
        <f ca="1">OFFSET(C169,0,[1]Matrix!$C$2-2000)/$AC$2</f>
        <v>4.7238905089663019</v>
      </c>
      <c r="AE169" s="226" t="s">
        <v>763</v>
      </c>
    </row>
    <row r="170" spans="1:31" ht="15">
      <c r="B170" s="206" t="s">
        <v>83</v>
      </c>
      <c r="C170" s="207">
        <v>0.44042403355825649</v>
      </c>
      <c r="D170" s="208">
        <v>0.47668085453289738</v>
      </c>
      <c r="E170" s="208">
        <v>0.41853205630370099</v>
      </c>
      <c r="F170" s="208">
        <v>0.45149551743030769</v>
      </c>
      <c r="G170" s="208">
        <v>0.44386896912885998</v>
      </c>
      <c r="H170" s="208">
        <v>0.45822256654148019</v>
      </c>
      <c r="I170" s="208">
        <v>0.4424563298606522</v>
      </c>
      <c r="J170" s="208">
        <v>0.34661877208203851</v>
      </c>
      <c r="K170" s="208">
        <v>0.36476674322389552</v>
      </c>
      <c r="L170" s="208">
        <v>0.29374301209220921</v>
      </c>
      <c r="M170" s="208">
        <v>0.32348332387678008</v>
      </c>
      <c r="N170" s="208">
        <v>0.24701684637588739</v>
      </c>
      <c r="O170" s="208">
        <v>0.26083277446488379</v>
      </c>
      <c r="P170" s="208">
        <v>0.1610845841765452</v>
      </c>
      <c r="Q170" s="208">
        <v>0.1198651334519043</v>
      </c>
      <c r="R170" s="208">
        <v>0.13304214561163269</v>
      </c>
      <c r="S170" s="208">
        <v>0.11590170281564539</v>
      </c>
      <c r="T170" s="208">
        <v>0.1065776167063278</v>
      </c>
      <c r="U170" s="208">
        <v>9.3222839147870246E-2</v>
      </c>
      <c r="V170" s="208">
        <v>8.9775785027461558E-2</v>
      </c>
      <c r="W170" s="208">
        <v>7.7789125508535673E-2</v>
      </c>
      <c r="X170" s="208">
        <v>8.7029843276121691E-2</v>
      </c>
      <c r="Y170" s="208">
        <v>6.4827474722723349E-2</v>
      </c>
      <c r="Z170" s="208">
        <v>5.3957368240395667E-2</v>
      </c>
      <c r="AA170" s="208">
        <v>4.3300414810172633E-2</v>
      </c>
      <c r="AC170" s="210">
        <f ca="1">OFFSET(C170,0,[1]Matrix!$C$2-2000)/$AC$2</f>
        <v>1.4988157844554352E-2</v>
      </c>
      <c r="AE170" s="227">
        <f ca="1">SUM(AC167:AC168,AC172)</f>
        <v>9.8050137592233853</v>
      </c>
    </row>
    <row r="171" spans="1:31" ht="15">
      <c r="B171" s="206" t="s">
        <v>177</v>
      </c>
      <c r="C171" s="207">
        <v>4.3112630871578466</v>
      </c>
      <c r="D171" s="208">
        <v>4.8453357058573658</v>
      </c>
      <c r="E171" s="208">
        <v>4.6083877046488686</v>
      </c>
      <c r="F171" s="208">
        <v>5.1281383266248062</v>
      </c>
      <c r="G171" s="208">
        <v>5.1902807338604502</v>
      </c>
      <c r="H171" s="208">
        <v>5.553075584669207</v>
      </c>
      <c r="I171" s="208">
        <v>5.5501143327917202</v>
      </c>
      <c r="J171" s="208">
        <v>5.0501030963190674</v>
      </c>
      <c r="K171" s="208">
        <v>5.751827616600397</v>
      </c>
      <c r="L171" s="208">
        <v>5.773099124920682</v>
      </c>
      <c r="M171" s="208">
        <v>6.7405972514602723</v>
      </c>
      <c r="N171" s="208">
        <v>5.3438767910965224</v>
      </c>
      <c r="O171" s="208">
        <v>6.2592631627901811</v>
      </c>
      <c r="P171" s="208">
        <v>7.1374532698212088</v>
      </c>
      <c r="Q171" s="208">
        <v>5.5155217445428901</v>
      </c>
      <c r="R171" s="208">
        <v>6.2976553266737083</v>
      </c>
      <c r="S171" s="208">
        <v>6.888340334891411</v>
      </c>
      <c r="T171" s="208">
        <v>6.947529184334388</v>
      </c>
      <c r="U171" s="208">
        <v>6.5418752606519508</v>
      </c>
      <c r="V171" s="208">
        <v>6.9873710043132986</v>
      </c>
      <c r="W171" s="208">
        <v>6.8006553984689564</v>
      </c>
      <c r="X171" s="208">
        <v>8.406070115694197</v>
      </c>
      <c r="Y171" s="208">
        <v>6.9503961579413964</v>
      </c>
      <c r="Z171" s="208">
        <v>7.6494357118666976</v>
      </c>
      <c r="AA171" s="208">
        <v>8.1145277135482274</v>
      </c>
      <c r="AC171" s="210">
        <f ca="1">OFFSET(C171,0,[1]Matrix!$C$2-2000)/$AC$2</f>
        <v>2.1248432532963046</v>
      </c>
    </row>
    <row r="172" spans="1:31" ht="15">
      <c r="B172" s="206" t="s">
        <v>202</v>
      </c>
      <c r="C172" s="207">
        <v>2.619926697797017</v>
      </c>
      <c r="D172" s="208">
        <v>3.0806183367307698</v>
      </c>
      <c r="E172" s="208">
        <v>3.0657640715824979</v>
      </c>
      <c r="F172" s="208">
        <v>3.554340185797376</v>
      </c>
      <c r="G172" s="208">
        <v>3.8073582937043549</v>
      </c>
      <c r="H172" s="208">
        <v>4.2825275705860966</v>
      </c>
      <c r="I172" s="208">
        <v>4.5882992917922731</v>
      </c>
      <c r="J172" s="208">
        <v>4.4286573729046488</v>
      </c>
      <c r="K172" s="208">
        <v>5.4146754658292648</v>
      </c>
      <c r="L172" s="208">
        <v>5.8222360133975544</v>
      </c>
      <c r="M172" s="208">
        <v>7.21712014018585</v>
      </c>
      <c r="N172" s="208">
        <v>6.1424487072025489</v>
      </c>
      <c r="O172" s="208">
        <v>7.657500032579855</v>
      </c>
      <c r="P172" s="208">
        <v>9.5042590313678357</v>
      </c>
      <c r="Q172" s="208">
        <v>7.733019431813041</v>
      </c>
      <c r="R172" s="208">
        <v>9.3810344889056054</v>
      </c>
      <c r="S172" s="208">
        <v>10.874304916642011</v>
      </c>
      <c r="T172" s="208">
        <v>11.351700065341291</v>
      </c>
      <c r="U172" s="208">
        <v>11.301404716003359</v>
      </c>
      <c r="V172" s="208">
        <v>12.52373523896213</v>
      </c>
      <c r="W172" s="208">
        <v>12.93421208596981</v>
      </c>
      <c r="X172" s="208">
        <v>17.004301422999351</v>
      </c>
      <c r="Y172" s="208">
        <v>15.00241142942844</v>
      </c>
      <c r="Z172" s="208">
        <v>18.292812971258531</v>
      </c>
      <c r="AA172" s="208">
        <v>20.31726134376758</v>
      </c>
      <c r="AC172" s="210">
        <f ca="1">OFFSET(C172,0,[1]Matrix!$C$2-2000)/$AC$2</f>
        <v>5.0813369364607031</v>
      </c>
    </row>
    <row r="173" spans="1:31" ht="15.5" thickBot="1">
      <c r="B173" s="211" t="s">
        <v>764</v>
      </c>
      <c r="C173" s="212">
        <v>0.04</v>
      </c>
      <c r="D173" s="213">
        <v>0.1030334779814687</v>
      </c>
      <c r="E173" s="213">
        <v>0.1094295879009798</v>
      </c>
      <c r="F173" s="213">
        <v>0.17356403712536439</v>
      </c>
      <c r="G173" s="213">
        <v>0.17729889304812541</v>
      </c>
      <c r="H173" s="213">
        <v>0.27520518978421538</v>
      </c>
      <c r="I173" s="213">
        <v>0.28326295058399392</v>
      </c>
      <c r="J173" s="213">
        <v>0.32035350682856117</v>
      </c>
      <c r="K173" s="213">
        <v>0.37160548676385519</v>
      </c>
      <c r="L173" s="213">
        <v>0.39704137103884202</v>
      </c>
      <c r="M173" s="213">
        <v>0.53052849539235369</v>
      </c>
      <c r="N173" s="213">
        <v>0.43142280964368102</v>
      </c>
      <c r="O173" s="213">
        <v>0.53049698198737072</v>
      </c>
      <c r="P173" s="213">
        <v>0.65335988279909663</v>
      </c>
      <c r="Q173" s="213">
        <v>0.54618388516073579</v>
      </c>
      <c r="R173" s="213">
        <v>0.63851899094409748</v>
      </c>
      <c r="S173" s="213">
        <v>0.77586504113395105</v>
      </c>
      <c r="T173" s="213">
        <v>0.76794452420629178</v>
      </c>
      <c r="U173" s="213">
        <v>0.73483408174684617</v>
      </c>
      <c r="V173" s="213">
        <v>0.7486708117930071</v>
      </c>
      <c r="W173" s="213">
        <v>0.70938422750107577</v>
      </c>
      <c r="X173" s="213">
        <v>0.85258507698868169</v>
      </c>
      <c r="Y173" s="213">
        <v>0.72581003421436818</v>
      </c>
      <c r="Z173" s="213">
        <v>0.79656344679776858</v>
      </c>
      <c r="AA173" s="213">
        <v>0.85798148070746427</v>
      </c>
      <c r="AC173" s="215">
        <f ca="1">OFFSET(C173,0,[1]Matrix!$C$2-2000)/$AC$2</f>
        <v>0.22126762411049128</v>
      </c>
    </row>
    <row r="174" spans="1:31" ht="15">
      <c r="B174" s="228" t="s">
        <v>61</v>
      </c>
      <c r="C174" s="229">
        <v>169.699614524856</v>
      </c>
      <c r="D174" s="230">
        <v>184.64467206945369</v>
      </c>
      <c r="E174" s="230">
        <v>171.20120011469641</v>
      </c>
      <c r="F174" s="230">
        <v>184.88770006214841</v>
      </c>
      <c r="G174" s="230">
        <v>182.0250475357264</v>
      </c>
      <c r="H174" s="230">
        <v>187.97442906946159</v>
      </c>
      <c r="I174" s="230">
        <v>181.8487692912262</v>
      </c>
      <c r="J174" s="230">
        <v>159.07970942656459</v>
      </c>
      <c r="K174" s="230">
        <v>175.88732997165101</v>
      </c>
      <c r="L174" s="230">
        <v>171.83886364247661</v>
      </c>
      <c r="M174" s="230">
        <v>194.03719074872251</v>
      </c>
      <c r="N174" s="230">
        <v>149.35975590723669</v>
      </c>
      <c r="O174" s="230">
        <v>169.95402357817409</v>
      </c>
      <c r="P174" s="230">
        <v>188.18959194218741</v>
      </c>
      <c r="Q174" s="230">
        <v>140.550709044434</v>
      </c>
      <c r="R174" s="230">
        <v>156.01064616143179</v>
      </c>
      <c r="S174" s="230">
        <v>167.0531996817127</v>
      </c>
      <c r="T174" s="230">
        <v>161.2980865349557</v>
      </c>
      <c r="U174" s="230">
        <v>146.95507805586311</v>
      </c>
      <c r="V174" s="230">
        <v>149.82316004723529</v>
      </c>
      <c r="W174" s="230">
        <v>140.12778723038431</v>
      </c>
      <c r="X174" s="230">
        <v>166.20218993101301</v>
      </c>
      <c r="Y174" s="230">
        <v>131.8470537599884</v>
      </c>
      <c r="Z174" s="230">
        <v>136.75611790114559</v>
      </c>
      <c r="AA174" s="230">
        <v>140.0444401069563</v>
      </c>
      <c r="AC174" s="231">
        <f ca="1">OFFSET(C174,0,[1]Matrix!$C$2-2000)/$AC$2</f>
        <v>37.987810528095999</v>
      </c>
    </row>
    <row r="175" spans="1:31" ht="15.5" thickBot="1">
      <c r="B175" s="221" t="s">
        <v>765</v>
      </c>
      <c r="C175" s="222">
        <v>189.5053053440466</v>
      </c>
      <c r="D175" s="223">
        <v>189.38925481898031</v>
      </c>
      <c r="E175" s="223">
        <v>189.09828194765879</v>
      </c>
      <c r="F175" s="223">
        <v>188.52349957367201</v>
      </c>
      <c r="G175" s="223">
        <v>187.98725827946731</v>
      </c>
      <c r="H175" s="223">
        <v>187.0419216395758</v>
      </c>
      <c r="I175" s="223">
        <v>186.24038012896989</v>
      </c>
      <c r="J175" s="223">
        <v>185.41204602938001</v>
      </c>
      <c r="K175" s="223">
        <v>184.96407896651479</v>
      </c>
      <c r="L175" s="223">
        <v>184.17709998564001</v>
      </c>
      <c r="M175" s="223">
        <v>183.32650485320781</v>
      </c>
      <c r="N175" s="223">
        <v>182.1338409185052</v>
      </c>
      <c r="O175" s="223">
        <v>181.22300051308281</v>
      </c>
      <c r="P175" s="223">
        <v>180.40464976940959</v>
      </c>
      <c r="Q175" s="223">
        <v>179.37925758282611</v>
      </c>
      <c r="R175" s="223">
        <v>178.51167726146929</v>
      </c>
      <c r="S175" s="223">
        <v>177.75950949528379</v>
      </c>
      <c r="T175" s="223">
        <v>177.15820373034549</v>
      </c>
      <c r="U175" s="223">
        <v>176.01365909762259</v>
      </c>
      <c r="V175" s="223">
        <v>174.85837881904479</v>
      </c>
      <c r="W175" s="223">
        <v>174.09649383844061</v>
      </c>
      <c r="X175" s="223">
        <v>174.5337148998905</v>
      </c>
      <c r="Y175" s="223">
        <v>173.8931780755525</v>
      </c>
      <c r="Z175" s="223">
        <v>170.09905596026249</v>
      </c>
      <c r="AA175" s="223">
        <v>169.7499652416148</v>
      </c>
      <c r="AC175" s="220">
        <f ca="1">OFFSET(C175,0,[1]Matrix!$C$2-2000)/$AC$2</f>
        <v>47.249737766739578</v>
      </c>
    </row>
    <row r="178" spans="1:27" ht="15.5">
      <c r="B178" s="198" t="s">
        <v>766</v>
      </c>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c r="AA178" s="199"/>
    </row>
    <row r="179" spans="1:27">
      <c r="B179" s="200" t="s">
        <v>767</v>
      </c>
      <c r="C179" s="201"/>
      <c r="D179" s="201"/>
      <c r="E179" s="201"/>
      <c r="F179" s="201"/>
      <c r="G179" s="201"/>
      <c r="H179" s="201"/>
      <c r="I179" s="201"/>
      <c r="J179" s="201"/>
      <c r="K179" s="201"/>
      <c r="L179" s="201"/>
      <c r="M179" s="201"/>
      <c r="N179" s="201"/>
      <c r="O179" s="201"/>
      <c r="P179" s="201"/>
      <c r="Q179" s="201"/>
      <c r="R179" s="201"/>
      <c r="S179" s="201"/>
      <c r="T179" s="201"/>
      <c r="U179" s="201"/>
      <c r="V179" s="201"/>
      <c r="W179" s="201"/>
      <c r="X179" s="201"/>
      <c r="Y179" s="201"/>
      <c r="Z179" s="201"/>
      <c r="AA179" s="201"/>
    </row>
    <row r="180" spans="1:27" ht="15.5" thickBot="1">
      <c r="B180" s="203" t="s">
        <v>760</v>
      </c>
      <c r="C180" s="204">
        <v>2000</v>
      </c>
      <c r="D180" s="204">
        <v>2001</v>
      </c>
      <c r="E180" s="204">
        <v>2002</v>
      </c>
      <c r="F180" s="204">
        <v>2003</v>
      </c>
      <c r="G180" s="204">
        <v>2004</v>
      </c>
      <c r="H180" s="204">
        <v>2005</v>
      </c>
      <c r="I180" s="204">
        <v>2006</v>
      </c>
      <c r="J180" s="204">
        <v>2007</v>
      </c>
      <c r="K180" s="204">
        <v>2008</v>
      </c>
      <c r="L180" s="204">
        <v>2009</v>
      </c>
      <c r="M180" s="204">
        <v>2010</v>
      </c>
      <c r="N180" s="204">
        <v>2011</v>
      </c>
      <c r="O180" s="204">
        <v>2012</v>
      </c>
      <c r="P180" s="204">
        <v>2013</v>
      </c>
      <c r="Q180" s="204">
        <v>2014</v>
      </c>
      <c r="R180" s="204">
        <v>2015</v>
      </c>
      <c r="S180" s="204">
        <v>2016</v>
      </c>
      <c r="T180" s="204">
        <v>2017</v>
      </c>
      <c r="U180" s="204">
        <v>2018</v>
      </c>
      <c r="V180" s="204">
        <v>2019</v>
      </c>
      <c r="W180" s="204">
        <v>2020</v>
      </c>
      <c r="X180" s="204">
        <v>2021</v>
      </c>
      <c r="Y180" s="204">
        <v>2022</v>
      </c>
      <c r="Z180" s="204">
        <v>2023</v>
      </c>
      <c r="AA180" s="204">
        <v>2024</v>
      </c>
    </row>
    <row r="181" spans="1:27" ht="15">
      <c r="B181" s="206" t="s">
        <v>701</v>
      </c>
      <c r="C181" s="207">
        <v>16.893883043771631</v>
      </c>
      <c r="D181" s="208">
        <v>16.513541012205138</v>
      </c>
      <c r="E181" s="208">
        <v>16.192435699210041</v>
      </c>
      <c r="F181" s="208">
        <v>15.81130650353934</v>
      </c>
      <c r="G181" s="208">
        <v>15.435775302570921</v>
      </c>
      <c r="H181" s="208">
        <v>14.975135968493531</v>
      </c>
      <c r="I181" s="208">
        <v>14.5411433720404</v>
      </c>
      <c r="J181" s="208">
        <v>14.122041799590161</v>
      </c>
      <c r="K181" s="208">
        <v>13.73166771067797</v>
      </c>
      <c r="L181" s="208">
        <v>13.2956149781539</v>
      </c>
      <c r="M181" s="208">
        <v>12.83261179518397</v>
      </c>
      <c r="N181" s="208">
        <v>12.453983669770549</v>
      </c>
      <c r="O181" s="208">
        <v>12.088753755595249</v>
      </c>
      <c r="P181" s="208">
        <v>11.754151570016511</v>
      </c>
      <c r="Q181" s="208">
        <v>11.349060903763091</v>
      </c>
      <c r="R181" s="208">
        <v>10.965276374435479</v>
      </c>
      <c r="S181" s="208">
        <v>10.605411588152871</v>
      </c>
      <c r="T181" s="208">
        <v>10.0804134659813</v>
      </c>
      <c r="U181" s="208">
        <v>9.5198169115652629</v>
      </c>
      <c r="V181" s="208">
        <v>8.9375831544509072</v>
      </c>
      <c r="W181" s="208">
        <v>8.7942488958067866</v>
      </c>
      <c r="X181" s="208">
        <v>8.0063901676314249</v>
      </c>
      <c r="Y181" s="208">
        <v>7.2830658939903712</v>
      </c>
      <c r="Z181" s="208">
        <v>6.7128742853589474</v>
      </c>
      <c r="AA181" s="208">
        <v>6.5265512013327474</v>
      </c>
    </row>
    <row r="182" spans="1:27" ht="15">
      <c r="B182" s="206" t="s">
        <v>609</v>
      </c>
      <c r="C182" s="207">
        <v>4.9495529621417731</v>
      </c>
      <c r="D182" s="208">
        <v>5.0872901921640654</v>
      </c>
      <c r="E182" s="208">
        <v>5.2480329345026213</v>
      </c>
      <c r="F182" s="208">
        <v>5.4032528960301889</v>
      </c>
      <c r="G182" s="208">
        <v>5.5664633508605919</v>
      </c>
      <c r="H182" s="208">
        <v>5.7167205918481656</v>
      </c>
      <c r="I182" s="208">
        <v>5.8746413725001876</v>
      </c>
      <c r="J182" s="208">
        <v>6.0093038496984983</v>
      </c>
      <c r="K182" s="208">
        <v>6.177802187469724</v>
      </c>
      <c r="L182" s="208">
        <v>6.338409756780532</v>
      </c>
      <c r="M182" s="208">
        <v>6.488171217685835</v>
      </c>
      <c r="N182" s="208">
        <v>6.6599920727161974</v>
      </c>
      <c r="O182" s="208">
        <v>6.8283991312300616</v>
      </c>
      <c r="P182" s="208">
        <v>6.9829164558981613</v>
      </c>
      <c r="Q182" s="208">
        <v>7.139609455908599</v>
      </c>
      <c r="R182" s="208">
        <v>7.2837190643259078</v>
      </c>
      <c r="S182" s="208">
        <v>7.3978972154046643</v>
      </c>
      <c r="T182" s="208">
        <v>7.5860216204051314</v>
      </c>
      <c r="U182" s="208">
        <v>7.7471654553383464</v>
      </c>
      <c r="V182" s="208">
        <v>7.8853236271990923</v>
      </c>
      <c r="W182" s="208">
        <v>8.4403012454478183</v>
      </c>
      <c r="X182" s="208">
        <v>8.2558551968466212</v>
      </c>
      <c r="Y182" s="208">
        <v>8.0282281480440361</v>
      </c>
      <c r="Z182" s="208">
        <v>7.4927883505330257</v>
      </c>
      <c r="AA182" s="208">
        <v>7.4442904182042167</v>
      </c>
    </row>
    <row r="183" spans="1:27" ht="15">
      <c r="B183" s="206" t="s">
        <v>427</v>
      </c>
      <c r="C183" s="207">
        <v>1.085390490128654</v>
      </c>
      <c r="D183" s="208">
        <v>1.077330256122434</v>
      </c>
      <c r="E183" s="208">
        <v>1.0701254399362059</v>
      </c>
      <c r="F183" s="208">
        <v>1.057397117327699</v>
      </c>
      <c r="G183" s="208">
        <v>1.054564786924082</v>
      </c>
      <c r="H183" s="208">
        <v>1.0564734599995791</v>
      </c>
      <c r="I183" s="208">
        <v>1.0678557425329791</v>
      </c>
      <c r="J183" s="208">
        <v>1.0843747918746991</v>
      </c>
      <c r="K183" s="208">
        <v>1.10196803709786</v>
      </c>
      <c r="L183" s="208">
        <v>1.1189514914103931</v>
      </c>
      <c r="M183" s="208">
        <v>1.121498049002736</v>
      </c>
      <c r="N183" s="208">
        <v>1.155703946222097</v>
      </c>
      <c r="O183" s="208">
        <v>1.17675448209108</v>
      </c>
      <c r="P183" s="208">
        <v>1.2057909156619659</v>
      </c>
      <c r="Q183" s="208">
        <v>1.2377075250577709</v>
      </c>
      <c r="R183" s="208">
        <v>1.2783032649883721</v>
      </c>
      <c r="S183" s="208">
        <v>1.3077558550002999</v>
      </c>
      <c r="T183" s="208">
        <v>1.351878022406654</v>
      </c>
      <c r="U183" s="208">
        <v>1.3913699712103571</v>
      </c>
      <c r="V183" s="208">
        <v>1.4265551256151281</v>
      </c>
      <c r="W183" s="208">
        <v>1.5395100812580349</v>
      </c>
      <c r="X183" s="208">
        <v>1.5402183019262159</v>
      </c>
      <c r="Y183" s="208">
        <v>1.5431935089724651</v>
      </c>
      <c r="Z183" s="208">
        <v>1.5575658630536631</v>
      </c>
      <c r="AA183" s="208">
        <v>1.5667225274600109</v>
      </c>
    </row>
    <row r="184" spans="1:27" ht="15">
      <c r="B184" s="206" t="s">
        <v>177</v>
      </c>
      <c r="C184" s="207">
        <v>0.9464774726114249</v>
      </c>
      <c r="D184" s="208">
        <v>0.9591574036825834</v>
      </c>
      <c r="E184" s="208">
        <v>0.96725166128282858</v>
      </c>
      <c r="F184" s="208">
        <v>0.97791678748949518</v>
      </c>
      <c r="G184" s="208">
        <v>0.98811022130906589</v>
      </c>
      <c r="H184" s="208">
        <v>1.004520341549989</v>
      </c>
      <c r="I184" s="208">
        <v>1.029075164622437</v>
      </c>
      <c r="J184" s="208">
        <v>1.0543601001982179</v>
      </c>
      <c r="K184" s="208">
        <v>1.0777903346322359</v>
      </c>
      <c r="L184" s="208">
        <v>1.0972888499934019</v>
      </c>
      <c r="M184" s="208">
        <v>1.1227113009678</v>
      </c>
      <c r="N184" s="208">
        <v>1.160481302671208</v>
      </c>
      <c r="O184" s="208">
        <v>1.1972861314751539</v>
      </c>
      <c r="P184" s="208">
        <v>1.2445555812460261</v>
      </c>
      <c r="Q184" s="208">
        <v>1.29711463577256</v>
      </c>
      <c r="R184" s="208">
        <v>1.3367109636132699</v>
      </c>
      <c r="S184" s="208">
        <v>1.377579108434591</v>
      </c>
      <c r="T184" s="208">
        <v>1.445882941564163</v>
      </c>
      <c r="U184" s="208">
        <v>1.5089125286992111</v>
      </c>
      <c r="V184" s="208">
        <v>1.581080115060731</v>
      </c>
      <c r="W184" s="208">
        <v>1.7450616961774521</v>
      </c>
      <c r="X184" s="208">
        <v>1.7932419929666901</v>
      </c>
      <c r="Y184" s="208">
        <v>1.850908595243214</v>
      </c>
      <c r="Z184" s="208">
        <v>1.958546511716762</v>
      </c>
      <c r="AA184" s="208">
        <v>2.041977434678254</v>
      </c>
    </row>
    <row r="185" spans="1:27" ht="15">
      <c r="A185" s="244"/>
      <c r="B185" s="206" t="s">
        <v>768</v>
      </c>
      <c r="C185" s="207">
        <v>7.0536746210369854</v>
      </c>
      <c r="D185" s="208">
        <v>7.0746933773584102</v>
      </c>
      <c r="E185" s="208">
        <v>7.1236892534178988</v>
      </c>
      <c r="F185" s="208">
        <v>7.1799440105499812</v>
      </c>
      <c r="G185" s="208">
        <v>7.2377915519014389</v>
      </c>
      <c r="H185" s="208">
        <v>7.3190383811357256</v>
      </c>
      <c r="I185" s="208">
        <v>7.3667889910162341</v>
      </c>
      <c r="J185" s="208">
        <v>7.4427818514010342</v>
      </c>
      <c r="K185" s="208">
        <v>7.5946080169098558</v>
      </c>
      <c r="L185" s="208">
        <v>7.7405744780019106</v>
      </c>
      <c r="M185" s="208">
        <v>7.8695384723408033</v>
      </c>
      <c r="N185" s="208">
        <v>7.9577992228746766</v>
      </c>
      <c r="O185" s="208">
        <v>8.0474797044361885</v>
      </c>
      <c r="P185" s="208">
        <v>8.0755127004580753</v>
      </c>
      <c r="Q185" s="208">
        <v>8.1534224665711843</v>
      </c>
      <c r="R185" s="208">
        <v>8.183402563905549</v>
      </c>
      <c r="S185" s="208">
        <v>8.2147985031147961</v>
      </c>
      <c r="T185" s="208">
        <v>8.3003847283184218</v>
      </c>
      <c r="U185" s="208">
        <v>8.3853597064649108</v>
      </c>
      <c r="V185" s="208">
        <v>8.4940989153036668</v>
      </c>
      <c r="W185" s="208">
        <v>9.0562410961585638</v>
      </c>
      <c r="X185" s="208">
        <v>8.7862400850110163</v>
      </c>
      <c r="Y185" s="208">
        <v>8.6545898723947197</v>
      </c>
      <c r="Z185" s="208">
        <v>8.0247106641661023</v>
      </c>
      <c r="AA185" s="208">
        <v>8.3587819795460199</v>
      </c>
    </row>
    <row r="186" spans="1:27" ht="15">
      <c r="B186" s="206" t="s">
        <v>769</v>
      </c>
      <c r="C186" s="207">
        <v>0.18775553413137649</v>
      </c>
      <c r="D186" s="208">
        <v>0.19653651429602251</v>
      </c>
      <c r="E186" s="208">
        <v>0.2061364708076692</v>
      </c>
      <c r="F186" s="208">
        <v>0.2159627411202594</v>
      </c>
      <c r="G186" s="208">
        <v>0.22847068403230919</v>
      </c>
      <c r="H186" s="208">
        <v>0.2400316333048082</v>
      </c>
      <c r="I186" s="208">
        <v>0.25976735763599518</v>
      </c>
      <c r="J186" s="208">
        <v>0.28294714055864939</v>
      </c>
      <c r="K186" s="208">
        <v>0.31009805465295798</v>
      </c>
      <c r="L186" s="208">
        <v>0.33901101581155701</v>
      </c>
      <c r="M186" s="208">
        <v>0.37405034402110399</v>
      </c>
      <c r="N186" s="208">
        <v>0.41805989887423828</v>
      </c>
      <c r="O186" s="208">
        <v>0.4622837482692409</v>
      </c>
      <c r="P186" s="208">
        <v>0.51847203847693824</v>
      </c>
      <c r="Q186" s="208">
        <v>0.57539608008800225</v>
      </c>
      <c r="R186" s="208">
        <v>0.6382039463361171</v>
      </c>
      <c r="S186" s="208">
        <v>0.6972371168893986</v>
      </c>
      <c r="T186" s="208">
        <v>0.76597254972826823</v>
      </c>
      <c r="U186" s="208">
        <v>0.83883303712110824</v>
      </c>
      <c r="V186" s="208">
        <v>0.91714415219325618</v>
      </c>
      <c r="W186" s="208">
        <v>1.066062230069823</v>
      </c>
      <c r="X186" s="208">
        <v>1.1857272741426379</v>
      </c>
      <c r="Y186" s="208">
        <v>1.335477642392018</v>
      </c>
      <c r="Z186" s="208">
        <v>1.6511208098249821</v>
      </c>
      <c r="AA186" s="208">
        <v>1.689769156092648</v>
      </c>
    </row>
    <row r="187" spans="1:27" ht="15">
      <c r="B187" s="206" t="s">
        <v>202</v>
      </c>
      <c r="C187" s="207">
        <v>0.26504346148369451</v>
      </c>
      <c r="D187" s="208">
        <v>0.2800336760228142</v>
      </c>
      <c r="E187" s="208">
        <v>0.29681579440571842</v>
      </c>
      <c r="F187" s="208">
        <v>0.31437850052925009</v>
      </c>
      <c r="G187" s="208">
        <v>0.33625692439585753</v>
      </c>
      <c r="H187" s="208">
        <v>0.35754856281589331</v>
      </c>
      <c r="I187" s="208">
        <v>0.39089317699788573</v>
      </c>
      <c r="J187" s="208">
        <v>0.43117813290429091</v>
      </c>
      <c r="K187" s="208">
        <v>0.47864303616983178</v>
      </c>
      <c r="L187" s="208">
        <v>0.52987479000779625</v>
      </c>
      <c r="M187" s="208">
        <v>0.59272099276134593</v>
      </c>
      <c r="N187" s="208">
        <v>0.67441892790751878</v>
      </c>
      <c r="O187" s="208">
        <v>0.75813537326463776</v>
      </c>
      <c r="P187" s="208">
        <v>0.8633416042119969</v>
      </c>
      <c r="Q187" s="208">
        <v>0.97139903403151517</v>
      </c>
      <c r="R187" s="208">
        <v>1.0893145822726209</v>
      </c>
      <c r="S187" s="208">
        <v>1.199251731939226</v>
      </c>
      <c r="T187" s="208">
        <v>1.3249765869350361</v>
      </c>
      <c r="U187" s="208">
        <v>1.4585730489761231</v>
      </c>
      <c r="V187" s="208">
        <v>1.601606188429151</v>
      </c>
      <c r="W187" s="208">
        <v>1.868672450073493</v>
      </c>
      <c r="X187" s="208">
        <v>2.0788508685975162</v>
      </c>
      <c r="Y187" s="208">
        <v>2.3448864658001818</v>
      </c>
      <c r="Z187" s="208">
        <v>2.9155220063212979</v>
      </c>
      <c r="AA187" s="208">
        <v>2.882562301004119</v>
      </c>
    </row>
    <row r="188" spans="1:27" ht="15.5" thickBot="1">
      <c r="B188" s="211" t="s">
        <v>764</v>
      </c>
      <c r="C188" s="212">
        <v>0.18187446474150201</v>
      </c>
      <c r="D188" s="213">
        <v>0.24397332796102059</v>
      </c>
      <c r="E188" s="213">
        <v>0.30239782197226311</v>
      </c>
      <c r="F188" s="213">
        <v>0.38101314055880992</v>
      </c>
      <c r="G188" s="213">
        <v>0.43148110203683693</v>
      </c>
      <c r="H188" s="213">
        <v>0.51189584372986519</v>
      </c>
      <c r="I188" s="213">
        <v>0.57110685353504609</v>
      </c>
      <c r="J188" s="213">
        <v>0.66299274355757831</v>
      </c>
      <c r="K188" s="213">
        <v>0.72660069610325917</v>
      </c>
      <c r="L188" s="213">
        <v>0.82489373146379408</v>
      </c>
      <c r="M188" s="213">
        <v>0.91506791108117547</v>
      </c>
      <c r="N188" s="213">
        <v>0.94132120477329884</v>
      </c>
      <c r="O188" s="213">
        <v>0.97147833270066719</v>
      </c>
      <c r="P188" s="213">
        <v>1.0238888351832121</v>
      </c>
      <c r="Q188" s="213">
        <v>1.085581609554678</v>
      </c>
      <c r="R188" s="213">
        <v>1.15250860025385</v>
      </c>
      <c r="S188" s="213">
        <v>1.2515260634258201</v>
      </c>
      <c r="T188" s="213">
        <v>1.291494570527612</v>
      </c>
      <c r="U188" s="213">
        <v>1.3242258766155901</v>
      </c>
      <c r="V188" s="213">
        <v>1.3423504573537841</v>
      </c>
      <c r="W188" s="213">
        <v>1.440621653134142</v>
      </c>
      <c r="X188" s="213">
        <v>1.4315121742448911</v>
      </c>
      <c r="Y188" s="213">
        <v>1.4455504054342909</v>
      </c>
      <c r="Z188" s="213">
        <v>1.459777592151182</v>
      </c>
      <c r="AA188" s="213">
        <v>1.513129707229603</v>
      </c>
    </row>
    <row r="189" spans="1:27" ht="15.5" thickBot="1">
      <c r="B189" s="221" t="s">
        <v>61</v>
      </c>
      <c r="C189" s="222">
        <v>31.564856339984001</v>
      </c>
      <c r="D189" s="223">
        <v>31.433508027537901</v>
      </c>
      <c r="E189" s="223">
        <v>31.407596743352411</v>
      </c>
      <c r="F189" s="223">
        <v>31.341646795023841</v>
      </c>
      <c r="G189" s="223">
        <v>31.279149537905951</v>
      </c>
      <c r="H189" s="223">
        <v>31.181364782877559</v>
      </c>
      <c r="I189" s="223">
        <v>31.101272030881159</v>
      </c>
      <c r="J189" s="223">
        <v>31.08998040978312</v>
      </c>
      <c r="K189" s="223">
        <v>31.199178073713689</v>
      </c>
      <c r="L189" s="223">
        <v>31.284619091623291</v>
      </c>
      <c r="M189" s="223">
        <v>31.31637008304477</v>
      </c>
      <c r="N189" s="223">
        <v>31.421760245809779</v>
      </c>
      <c r="O189" s="223">
        <v>31.530570659062281</v>
      </c>
      <c r="P189" s="223">
        <v>31.668629701152881</v>
      </c>
      <c r="Q189" s="223">
        <v>31.809291710747399</v>
      </c>
      <c r="R189" s="223">
        <v>31.92743936013116</v>
      </c>
      <c r="S189" s="223">
        <v>32.051457182361659</v>
      </c>
      <c r="T189" s="223">
        <v>32.147024485866588</v>
      </c>
      <c r="U189" s="223">
        <v>32.174256535990907</v>
      </c>
      <c r="V189" s="223">
        <v>32.185741735605717</v>
      </c>
      <c r="W189" s="223">
        <v>33.950719348126107</v>
      </c>
      <c r="X189" s="223">
        <v>33.078036061367023</v>
      </c>
      <c r="Y189" s="223">
        <v>32.485900532271302</v>
      </c>
      <c r="Z189" s="223">
        <v>31.77290608312596</v>
      </c>
      <c r="AA189" s="223">
        <v>32.023784725547621</v>
      </c>
    </row>
    <row r="190" spans="1:27">
      <c r="B190" s="224" t="s">
        <v>770</v>
      </c>
    </row>
    <row r="191" spans="1:27">
      <c r="B191" s="224" t="s">
        <v>753</v>
      </c>
    </row>
    <row r="195" spans="1:29" ht="15.5">
      <c r="A195" s="244"/>
      <c r="B195" s="198" t="s">
        <v>771</v>
      </c>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c r="AA195" s="199"/>
    </row>
    <row r="196" spans="1:29">
      <c r="A196" s="244"/>
      <c r="B196" s="200" t="s">
        <v>772</v>
      </c>
      <c r="C196" s="201"/>
      <c r="D196" s="201"/>
      <c r="E196" s="201"/>
      <c r="F196" s="201"/>
      <c r="G196" s="201"/>
      <c r="H196" s="201"/>
      <c r="I196" s="201"/>
      <c r="J196" s="201"/>
      <c r="K196" s="201"/>
      <c r="L196" s="201"/>
      <c r="M196" s="201"/>
      <c r="N196" s="201"/>
      <c r="O196" s="201"/>
      <c r="P196" s="201"/>
      <c r="Q196" s="201"/>
      <c r="R196" s="201"/>
      <c r="S196" s="201"/>
      <c r="T196" s="201"/>
      <c r="U196" s="201"/>
      <c r="V196" s="201"/>
      <c r="W196" s="201"/>
      <c r="X196" s="201"/>
      <c r="Y196" s="201"/>
      <c r="Z196" s="201"/>
      <c r="AA196" s="201"/>
      <c r="AC196" s="202" t="s">
        <v>678</v>
      </c>
    </row>
    <row r="197" spans="1:29" ht="15.5" thickBot="1">
      <c r="A197" s="244"/>
      <c r="B197" s="203" t="s">
        <v>679</v>
      </c>
      <c r="C197" s="204">
        <v>2000</v>
      </c>
      <c r="D197" s="204">
        <v>2001</v>
      </c>
      <c r="E197" s="204">
        <v>2002</v>
      </c>
      <c r="F197" s="204">
        <v>2003</v>
      </c>
      <c r="G197" s="204">
        <v>2004</v>
      </c>
      <c r="H197" s="204">
        <v>2005</v>
      </c>
      <c r="I197" s="204">
        <v>2006</v>
      </c>
      <c r="J197" s="204">
        <v>2007</v>
      </c>
      <c r="K197" s="204">
        <v>2008</v>
      </c>
      <c r="L197" s="204">
        <v>2009</v>
      </c>
      <c r="M197" s="204">
        <v>2010</v>
      </c>
      <c r="N197" s="204">
        <v>2011</v>
      </c>
      <c r="O197" s="204">
        <v>2012</v>
      </c>
      <c r="P197" s="204">
        <v>2013</v>
      </c>
      <c r="Q197" s="204">
        <v>2014</v>
      </c>
      <c r="R197" s="204">
        <v>2015</v>
      </c>
      <c r="S197" s="204">
        <v>2016</v>
      </c>
      <c r="T197" s="204">
        <v>2017</v>
      </c>
      <c r="U197" s="204">
        <v>2018</v>
      </c>
      <c r="V197" s="204">
        <v>2019</v>
      </c>
      <c r="W197" s="204">
        <v>2020</v>
      </c>
      <c r="X197" s="204">
        <v>2021</v>
      </c>
      <c r="Y197" s="204">
        <v>2022</v>
      </c>
      <c r="Z197" s="204">
        <v>2023</v>
      </c>
      <c r="AA197" s="204">
        <v>2024</v>
      </c>
      <c r="AC197" s="205">
        <f ca="1">OFFSET(C197,0,[1]Matrix!$C$2-2000)</f>
        <v>2023</v>
      </c>
    </row>
    <row r="198" spans="1:29" ht="15">
      <c r="A198" s="244"/>
      <c r="B198" s="206" t="s">
        <v>684</v>
      </c>
      <c r="C198" s="207">
        <v>6.4599422800811874</v>
      </c>
      <c r="D198" s="208">
        <v>6.7421020325706298</v>
      </c>
      <c r="E198" s="208">
        <v>6.9497433602773082</v>
      </c>
      <c r="F198" s="208">
        <v>7.0931120484162964</v>
      </c>
      <c r="G198" s="208">
        <v>7.1940146157610423</v>
      </c>
      <c r="H198" s="208">
        <v>7.2192629090396494</v>
      </c>
      <c r="I198" s="208">
        <v>7.3229339410440621</v>
      </c>
      <c r="J198" s="208">
        <v>7.4435688654706427</v>
      </c>
      <c r="K198" s="208">
        <v>7.26008992017832</v>
      </c>
      <c r="L198" s="208">
        <v>7.085190227816816</v>
      </c>
      <c r="M198" s="208">
        <v>7.3155611032377648</v>
      </c>
      <c r="N198" s="208">
        <v>7.1807078724924356</v>
      </c>
      <c r="O198" s="208">
        <v>7.0513804571343677</v>
      </c>
      <c r="P198" s="208">
        <v>6.9511749589907978</v>
      </c>
      <c r="Q198" s="208">
        <v>6.864969998945373</v>
      </c>
      <c r="R198" s="208">
        <v>6.8016769006142326</v>
      </c>
      <c r="S198" s="208">
        <v>6.6547052113648446</v>
      </c>
      <c r="T198" s="208">
        <v>6.4393792903418099</v>
      </c>
      <c r="U198" s="208">
        <v>6.1822061168442204</v>
      </c>
      <c r="V198" s="208">
        <v>5.3850171211008977</v>
      </c>
      <c r="W198" s="208">
        <v>5.0307986315735551</v>
      </c>
      <c r="X198" s="208">
        <v>4.3207062270800458</v>
      </c>
      <c r="Y198" s="208">
        <v>3.7079880057466079</v>
      </c>
      <c r="Z198" s="208">
        <v>3.5262133287471289</v>
      </c>
      <c r="AA198" s="208">
        <v>3.3960176954264329</v>
      </c>
      <c r="AC198" s="210">
        <f ca="1">OFFSET(C198,0,[1]Matrix!$C$2-2000)/$AC$2</f>
        <v>0.97950370242975804</v>
      </c>
    </row>
    <row r="199" spans="1:29" ht="15">
      <c r="A199" s="244"/>
      <c r="B199" s="206" t="s">
        <v>773</v>
      </c>
      <c r="C199" s="207">
        <v>6.8620275651721654</v>
      </c>
      <c r="D199" s="208">
        <v>6.8878198863056879</v>
      </c>
      <c r="E199" s="208">
        <v>6.9059712153678818</v>
      </c>
      <c r="F199" s="208">
        <v>6.9358011813526579</v>
      </c>
      <c r="G199" s="208">
        <v>6.9165788629050997</v>
      </c>
      <c r="H199" s="208">
        <v>6.9212485376755239</v>
      </c>
      <c r="I199" s="208">
        <v>6.8913356792693659</v>
      </c>
      <c r="J199" s="208">
        <v>6.858285884300015</v>
      </c>
      <c r="K199" s="208">
        <v>6.8512276525997784</v>
      </c>
      <c r="L199" s="208">
        <v>6.8440813455769467</v>
      </c>
      <c r="M199" s="208">
        <v>6.799077069399317</v>
      </c>
      <c r="N199" s="208">
        <v>6.7071766523039287</v>
      </c>
      <c r="O199" s="208">
        <v>6.6024147914708662</v>
      </c>
      <c r="P199" s="208">
        <v>6.4659712153314466</v>
      </c>
      <c r="Q199" s="208">
        <v>6.3371263112887997</v>
      </c>
      <c r="R199" s="208">
        <v>6.2009290314956544</v>
      </c>
      <c r="S199" s="208">
        <v>6.0608948489236969</v>
      </c>
      <c r="T199" s="208">
        <v>5.9134001674984358</v>
      </c>
      <c r="U199" s="208">
        <v>5.76187445407413</v>
      </c>
      <c r="V199" s="208">
        <v>5.618425975188611</v>
      </c>
      <c r="W199" s="208">
        <v>5.5596987266395912</v>
      </c>
      <c r="X199" s="208">
        <v>5.4130113072497554</v>
      </c>
      <c r="Y199" s="208">
        <v>5.2781355771607741</v>
      </c>
      <c r="Z199" s="208">
        <v>5.2083486603194942</v>
      </c>
      <c r="AA199" s="208">
        <v>5.0927528582482164</v>
      </c>
      <c r="AC199" s="210">
        <f ca="1">OFFSET(C199,0,[1]Matrix!$C$2-2000)/$AC$2</f>
        <v>1.4467635167554149</v>
      </c>
    </row>
    <row r="200" spans="1:29" ht="15">
      <c r="A200" s="244"/>
      <c r="B200" s="206" t="s">
        <v>774</v>
      </c>
      <c r="C200" s="207">
        <v>2.6077521431059298</v>
      </c>
      <c r="D200" s="208">
        <v>2.8898431048819888</v>
      </c>
      <c r="E200" s="208">
        <v>3.1114838207547968</v>
      </c>
      <c r="F200" s="208">
        <v>3.3478321568158589</v>
      </c>
      <c r="G200" s="208">
        <v>3.5953495620592899</v>
      </c>
      <c r="H200" s="208">
        <v>3.8894858790870992</v>
      </c>
      <c r="I200" s="208">
        <v>4.0876179139166116</v>
      </c>
      <c r="J200" s="208">
        <v>4.2969567579899124</v>
      </c>
      <c r="K200" s="208">
        <v>4.5036598678167223</v>
      </c>
      <c r="L200" s="208">
        <v>4.7082832554563208</v>
      </c>
      <c r="M200" s="208">
        <v>4.8941962262751453</v>
      </c>
      <c r="N200" s="208">
        <v>4.9954990350524291</v>
      </c>
      <c r="O200" s="208">
        <v>5.011333248176328</v>
      </c>
      <c r="P200" s="208">
        <v>5.0272256242824316</v>
      </c>
      <c r="Q200" s="208">
        <v>5.005670284269284</v>
      </c>
      <c r="R200" s="208">
        <v>4.9626296185470054</v>
      </c>
      <c r="S200" s="208">
        <v>4.8846554341908686</v>
      </c>
      <c r="T200" s="208">
        <v>4.8034364079328382</v>
      </c>
      <c r="U200" s="208">
        <v>4.707950868953831</v>
      </c>
      <c r="V200" s="208">
        <v>4.6092806638492023</v>
      </c>
      <c r="W200" s="208">
        <v>4.5104841272693799</v>
      </c>
      <c r="X200" s="208">
        <v>4.3788397764674736</v>
      </c>
      <c r="Y200" s="208">
        <v>4.2455425498731358</v>
      </c>
      <c r="Z200" s="208">
        <v>4.1330932407871854</v>
      </c>
      <c r="AA200" s="208">
        <v>4.007690536155426</v>
      </c>
      <c r="AC200" s="210">
        <f ca="1">OFFSET(C200,0,[1]Matrix!$C$2-2000)/$AC$2</f>
        <v>1.1480814557742181</v>
      </c>
    </row>
    <row r="201" spans="1:29" ht="15">
      <c r="A201" s="244"/>
      <c r="B201" s="206" t="s">
        <v>686</v>
      </c>
      <c r="C201" s="207">
        <v>5.666799819242855</v>
      </c>
      <c r="D201" s="208">
        <v>5.808639198923534</v>
      </c>
      <c r="E201" s="208">
        <v>5.8804279479457282</v>
      </c>
      <c r="F201" s="208">
        <v>5.9264136784028576</v>
      </c>
      <c r="G201" s="208">
        <v>5.9753856308375148</v>
      </c>
      <c r="H201" s="208">
        <v>6.0899430835462232</v>
      </c>
      <c r="I201" s="208">
        <v>6.2270104683679488</v>
      </c>
      <c r="J201" s="208">
        <v>6.5250473446606234</v>
      </c>
      <c r="K201" s="208">
        <v>6.9172712228197319</v>
      </c>
      <c r="L201" s="208">
        <v>7.0057299179453247</v>
      </c>
      <c r="M201" s="208">
        <v>6.9143033002796734</v>
      </c>
      <c r="N201" s="208">
        <v>6.7052728687307166</v>
      </c>
      <c r="O201" s="208">
        <v>6.6601195706696563</v>
      </c>
      <c r="P201" s="208">
        <v>6.5373634071048574</v>
      </c>
      <c r="Q201" s="208">
        <v>6.3712647417476633</v>
      </c>
      <c r="R201" s="208">
        <v>6.3361356476620738</v>
      </c>
      <c r="S201" s="208">
        <v>6.1585237103957944</v>
      </c>
      <c r="T201" s="208">
        <v>5.9486185347616933</v>
      </c>
      <c r="U201" s="208">
        <v>5.7680543082424061</v>
      </c>
      <c r="V201" s="208">
        <v>5.7075587363982976</v>
      </c>
      <c r="W201" s="208">
        <v>5.940951155650815</v>
      </c>
      <c r="X201" s="208">
        <v>5.8782596770294564</v>
      </c>
      <c r="Y201" s="208">
        <v>5.7469832851427141</v>
      </c>
      <c r="Z201" s="208">
        <v>5.7367949746683582</v>
      </c>
      <c r="AA201" s="208">
        <v>5.6861459147094049</v>
      </c>
      <c r="AC201" s="210">
        <f ca="1">OFFSET(C201,0,[1]Matrix!$C$2-2000)/$AC$2</f>
        <v>1.5935541596300995</v>
      </c>
    </row>
    <row r="202" spans="1:29" ht="15">
      <c r="A202" s="244"/>
      <c r="B202" s="206" t="s">
        <v>743</v>
      </c>
      <c r="C202" s="207">
        <v>3.6121668401578462</v>
      </c>
      <c r="D202" s="208">
        <v>3.850399082077737</v>
      </c>
      <c r="E202" s="208">
        <v>3.6927366964306749</v>
      </c>
      <c r="F202" s="208">
        <v>3.9314830954695208</v>
      </c>
      <c r="G202" s="208">
        <v>3.9337497910750541</v>
      </c>
      <c r="H202" s="208">
        <v>4.0700340228463556</v>
      </c>
      <c r="I202" s="208">
        <v>4.0751050953370003</v>
      </c>
      <c r="J202" s="208">
        <v>3.718573988240403</v>
      </c>
      <c r="K202" s="208">
        <v>4.0498388653856443</v>
      </c>
      <c r="L202" s="208">
        <v>4.0954579483893516</v>
      </c>
      <c r="M202" s="208">
        <v>4.4943134825483666</v>
      </c>
      <c r="N202" s="208">
        <v>3.8448149299369789</v>
      </c>
      <c r="O202" s="208">
        <v>4.2546436002837362</v>
      </c>
      <c r="P202" s="208">
        <v>4.6676039840095997</v>
      </c>
      <c r="Q202" s="208">
        <v>3.826464519280719</v>
      </c>
      <c r="R202" s="208">
        <v>4.4381416994998011</v>
      </c>
      <c r="S202" s="208">
        <v>4.5178659021539644</v>
      </c>
      <c r="T202" s="208">
        <v>4.5884789060194686</v>
      </c>
      <c r="U202" s="208">
        <v>4.4767811596196054</v>
      </c>
      <c r="V202" s="208">
        <v>4.4915491896068627</v>
      </c>
      <c r="W202" s="208">
        <v>4.2939866588876114</v>
      </c>
      <c r="X202" s="208">
        <v>4.5062469823650142</v>
      </c>
      <c r="Y202" s="208">
        <v>4.4731478480615623</v>
      </c>
      <c r="Z202" s="208">
        <v>4.6195993568544624</v>
      </c>
      <c r="AA202" s="208">
        <v>4.3550778408025241</v>
      </c>
      <c r="AC202" s="210">
        <f ca="1">OFFSET(C202,0,[1]Matrix!$C$2-2000)/$AC$2</f>
        <v>1.283222043570684</v>
      </c>
    </row>
    <row r="203" spans="1:29" ht="15">
      <c r="A203" s="244"/>
      <c r="B203" s="206" t="s">
        <v>750</v>
      </c>
      <c r="C203" s="207">
        <v>1.8147132443754299</v>
      </c>
      <c r="D203" s="208">
        <v>1.8166378635481171</v>
      </c>
      <c r="E203" s="208">
        <v>1.8165000461350229</v>
      </c>
      <c r="F203" s="208">
        <v>1.816918307568391</v>
      </c>
      <c r="G203" s="208">
        <v>1.8168092172935839</v>
      </c>
      <c r="H203" s="208">
        <v>1.817883647484106</v>
      </c>
      <c r="I203" s="208">
        <v>1.816409657176145</v>
      </c>
      <c r="J203" s="208">
        <v>1.823183522542829</v>
      </c>
      <c r="K203" s="208">
        <v>1.841370372326109</v>
      </c>
      <c r="L203" s="208">
        <v>1.867258616107937</v>
      </c>
      <c r="M203" s="208">
        <v>1.8939305212869371</v>
      </c>
      <c r="N203" s="208">
        <v>1.9355327223348651</v>
      </c>
      <c r="O203" s="208">
        <v>1.9706605502747701</v>
      </c>
      <c r="P203" s="208">
        <v>1.99618112407058</v>
      </c>
      <c r="Q203" s="208">
        <v>2.021475042697968</v>
      </c>
      <c r="R203" s="208">
        <v>2.0455231342265461</v>
      </c>
      <c r="S203" s="208">
        <v>2.061018775767907</v>
      </c>
      <c r="T203" s="208">
        <v>2.0725725377772801</v>
      </c>
      <c r="U203" s="208">
        <v>2.081580710044979</v>
      </c>
      <c r="V203" s="208">
        <v>2.0892441641704549</v>
      </c>
      <c r="W203" s="208">
        <v>2.1385793230715229</v>
      </c>
      <c r="X203" s="208">
        <v>2.0963560909297718</v>
      </c>
      <c r="Y203" s="208">
        <v>2.050349668010031</v>
      </c>
      <c r="Z203" s="208">
        <v>2.041536981256233</v>
      </c>
      <c r="AA203" s="208">
        <v>2.0185496131941911</v>
      </c>
      <c r="AC203" s="210">
        <f ca="1">OFFSET(C203,0,[1]Matrix!$C$2-2000)/$AC$2</f>
        <v>0.56709360590450919</v>
      </c>
    </row>
    <row r="204" spans="1:29" ht="15.5" thickBot="1">
      <c r="A204" s="244"/>
      <c r="B204" s="211" t="s">
        <v>751</v>
      </c>
      <c r="C204" s="212">
        <v>4.6221304640399996</v>
      </c>
      <c r="D204" s="213">
        <v>4.8798717996486856</v>
      </c>
      <c r="E204" s="213">
        <v>5.1510314678608484</v>
      </c>
      <c r="F204" s="213">
        <v>5.4224667874315928</v>
      </c>
      <c r="G204" s="213">
        <v>5.713173707233107</v>
      </c>
      <c r="H204" s="213">
        <v>6.0042764996201283</v>
      </c>
      <c r="I204" s="213">
        <v>6.1863109181436</v>
      </c>
      <c r="J204" s="213">
        <v>6.3395769948390086</v>
      </c>
      <c r="K204" s="213">
        <v>6.522213750732452</v>
      </c>
      <c r="L204" s="213">
        <v>6.7781082765599177</v>
      </c>
      <c r="M204" s="213">
        <v>7.0326150270763828</v>
      </c>
      <c r="N204" s="213">
        <v>7.1448115635877887</v>
      </c>
      <c r="O204" s="213">
        <v>7.2579582350129819</v>
      </c>
      <c r="P204" s="213">
        <v>7.3721365525831537</v>
      </c>
      <c r="Q204" s="213">
        <v>7.6330604386426346</v>
      </c>
      <c r="R204" s="213">
        <v>7.7554001325496529</v>
      </c>
      <c r="S204" s="213">
        <v>7.8891664820524188</v>
      </c>
      <c r="T204" s="213">
        <v>8.0174296119749577</v>
      </c>
      <c r="U204" s="213">
        <v>8.1337737935292864</v>
      </c>
      <c r="V204" s="213">
        <v>8.2599803714981181</v>
      </c>
      <c r="W204" s="213">
        <v>8.400197110849577</v>
      </c>
      <c r="X204" s="213">
        <v>8.5426217706513601</v>
      </c>
      <c r="Y204" s="213">
        <v>8.6719044220337356</v>
      </c>
      <c r="Z204" s="213">
        <v>8.8270751601023196</v>
      </c>
      <c r="AA204" s="213">
        <v>8.9695896116316405</v>
      </c>
      <c r="AC204" s="215">
        <f ca="1">OFFSET(C204,0,[1]Matrix!$C$2-2000)/$AC$2</f>
        <v>2.4519653222506443</v>
      </c>
    </row>
    <row r="205" spans="1:29" ht="15.5" thickBot="1">
      <c r="A205" s="244"/>
      <c r="B205" s="221" t="s">
        <v>61</v>
      </c>
      <c r="C205" s="222">
        <v>31.645532356175419</v>
      </c>
      <c r="D205" s="223">
        <v>32.875312967956383</v>
      </c>
      <c r="E205" s="223">
        <v>33.507894554772257</v>
      </c>
      <c r="F205" s="223">
        <v>34.474027255457173</v>
      </c>
      <c r="G205" s="223">
        <v>35.145061387164702</v>
      </c>
      <c r="H205" s="223">
        <v>36.012134579299087</v>
      </c>
      <c r="I205" s="223">
        <v>36.606723673254727</v>
      </c>
      <c r="J205" s="223">
        <v>37.005193358043442</v>
      </c>
      <c r="K205" s="223">
        <v>37.94567165185876</v>
      </c>
      <c r="L205" s="223">
        <v>38.384109587852613</v>
      </c>
      <c r="M205" s="223">
        <v>39.343996730103591</v>
      </c>
      <c r="N205" s="223">
        <v>38.513815644439148</v>
      </c>
      <c r="O205" s="223">
        <v>38.808510453022713</v>
      </c>
      <c r="P205" s="223">
        <v>39.017656866372867</v>
      </c>
      <c r="Q205" s="223">
        <v>38.060031336872441</v>
      </c>
      <c r="R205" s="223">
        <v>38.540436164594958</v>
      </c>
      <c r="S205" s="223">
        <v>38.226830364849491</v>
      </c>
      <c r="T205" s="223">
        <v>37.783315456306482</v>
      </c>
      <c r="U205" s="223">
        <v>37.112221411308447</v>
      </c>
      <c r="V205" s="223">
        <v>36.161056221812437</v>
      </c>
      <c r="W205" s="223">
        <v>35.874695733942048</v>
      </c>
      <c r="X205" s="223">
        <v>35.136041831772879</v>
      </c>
      <c r="Y205" s="223">
        <v>34.174051356028563</v>
      </c>
      <c r="Z205" s="223">
        <v>34.092661702735178</v>
      </c>
      <c r="AA205" s="223">
        <v>33.525824070167829</v>
      </c>
      <c r="AC205" s="220">
        <f ca="1">OFFSET(C205,0,[1]Matrix!$C$2-2000)/$AC$2</f>
        <v>9.4701838063153279</v>
      </c>
    </row>
    <row r="206" spans="1:29">
      <c r="B206" s="224" t="s">
        <v>775</v>
      </c>
    </row>
    <row r="207" spans="1:29">
      <c r="B207" s="224" t="s">
        <v>753</v>
      </c>
    </row>
    <row r="210" spans="2:29" ht="15.5">
      <c r="B210" s="198" t="s">
        <v>776</v>
      </c>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c r="AA210" s="199"/>
    </row>
    <row r="211" spans="2:29">
      <c r="B211" s="200" t="s">
        <v>777</v>
      </c>
      <c r="C211" s="201"/>
      <c r="D211" s="201"/>
      <c r="E211" s="201"/>
      <c r="F211" s="201"/>
      <c r="G211" s="201"/>
      <c r="H211" s="201"/>
      <c r="I211" s="201"/>
      <c r="J211" s="201"/>
      <c r="K211" s="201"/>
      <c r="L211" s="201"/>
      <c r="M211" s="201"/>
      <c r="N211" s="201"/>
      <c r="O211" s="201"/>
      <c r="P211" s="201"/>
      <c r="Q211" s="201"/>
      <c r="R211" s="201"/>
      <c r="S211" s="201"/>
      <c r="T211" s="201"/>
      <c r="U211" s="201"/>
      <c r="V211" s="201"/>
      <c r="W211" s="201"/>
      <c r="X211" s="201"/>
      <c r="Y211" s="201"/>
      <c r="Z211" s="201"/>
      <c r="AA211" s="201"/>
      <c r="AC211" s="202" t="s">
        <v>678</v>
      </c>
    </row>
    <row r="212" spans="2:29" ht="15.5" thickBot="1">
      <c r="B212" s="203" t="s">
        <v>679</v>
      </c>
      <c r="C212" s="204">
        <v>2000</v>
      </c>
      <c r="D212" s="204">
        <v>2001</v>
      </c>
      <c r="E212" s="204">
        <v>2002</v>
      </c>
      <c r="F212" s="204">
        <v>2003</v>
      </c>
      <c r="G212" s="204">
        <v>2004</v>
      </c>
      <c r="H212" s="204">
        <v>2005</v>
      </c>
      <c r="I212" s="204">
        <v>2006</v>
      </c>
      <c r="J212" s="204">
        <v>2007</v>
      </c>
      <c r="K212" s="204">
        <v>2008</v>
      </c>
      <c r="L212" s="204">
        <v>2009</v>
      </c>
      <c r="M212" s="204">
        <v>2010</v>
      </c>
      <c r="N212" s="204">
        <v>2011</v>
      </c>
      <c r="O212" s="204">
        <v>2012</v>
      </c>
      <c r="P212" s="204">
        <v>2013</v>
      </c>
      <c r="Q212" s="204">
        <v>2014</v>
      </c>
      <c r="R212" s="204">
        <v>2015</v>
      </c>
      <c r="S212" s="204">
        <v>2016</v>
      </c>
      <c r="T212" s="204">
        <v>2017</v>
      </c>
      <c r="U212" s="204">
        <v>2018</v>
      </c>
      <c r="V212" s="204">
        <v>2019</v>
      </c>
      <c r="W212" s="204">
        <v>2020</v>
      </c>
      <c r="X212" s="204">
        <v>2021</v>
      </c>
      <c r="Y212" s="204">
        <v>2022</v>
      </c>
      <c r="Z212" s="204">
        <v>2023</v>
      </c>
      <c r="AA212" s="204" t="s">
        <v>680</v>
      </c>
      <c r="AC212" s="205">
        <f ca="1">OFFSET(C212,0,[1]Matrix!$C$2-2000)</f>
        <v>2023</v>
      </c>
    </row>
    <row r="213" spans="2:29" ht="15">
      <c r="B213" s="206" t="s">
        <v>681</v>
      </c>
      <c r="C213" s="207">
        <v>74.736001230987057</v>
      </c>
      <c r="D213" s="208">
        <v>81.605506837825033</v>
      </c>
      <c r="E213" s="208">
        <v>75.467607210479059</v>
      </c>
      <c r="F213" s="208">
        <v>82.584398990423821</v>
      </c>
      <c r="G213" s="208">
        <v>81.235609819146163</v>
      </c>
      <c r="H213" s="208">
        <v>84.389848382466909</v>
      </c>
      <c r="I213" s="208">
        <v>81.625710238529706</v>
      </c>
      <c r="J213" s="208">
        <v>71.967738648753439</v>
      </c>
      <c r="K213" s="208">
        <v>80.185313816952558</v>
      </c>
      <c r="L213" s="208">
        <v>78.695122640598498</v>
      </c>
      <c r="M213" s="208">
        <v>88.194621404217841</v>
      </c>
      <c r="N213" s="208">
        <v>68.567474018871877</v>
      </c>
      <c r="O213" s="208">
        <v>77.968216627513726</v>
      </c>
      <c r="P213" s="208">
        <v>85.491520338406332</v>
      </c>
      <c r="Q213" s="208">
        <v>63.957298321569681</v>
      </c>
      <c r="R213" s="208">
        <v>71.261926613079865</v>
      </c>
      <c r="S213" s="208">
        <v>75.919241365980639</v>
      </c>
      <c r="T213" s="208">
        <v>73.080266173068139</v>
      </c>
      <c r="U213" s="208">
        <v>66.671605960055643</v>
      </c>
      <c r="V213" s="208">
        <v>68.273109043954037</v>
      </c>
      <c r="W213" s="208">
        <v>62.630102051814703</v>
      </c>
      <c r="X213" s="208">
        <v>73.853922934751566</v>
      </c>
      <c r="Y213" s="208">
        <v>58.99236528926717</v>
      </c>
      <c r="Z213" s="208">
        <v>59.677344846107893</v>
      </c>
      <c r="AA213" s="209">
        <v>-0.2014913313108268</v>
      </c>
      <c r="AC213" s="210">
        <f ca="1">OFFSET(C213,0,[1]Matrix!$C$2-2000)/$AC$2</f>
        <v>16.577040235029969</v>
      </c>
    </row>
    <row r="214" spans="2:29" ht="15">
      <c r="B214" s="206" t="s">
        <v>682</v>
      </c>
      <c r="C214" s="207">
        <v>15.495263847582979</v>
      </c>
      <c r="D214" s="208">
        <v>15.40784565369281</v>
      </c>
      <c r="E214" s="208">
        <v>15.391505451791589</v>
      </c>
      <c r="F214" s="208">
        <v>15.59965045812465</v>
      </c>
      <c r="G214" s="208">
        <v>15.472395335432569</v>
      </c>
      <c r="H214" s="208">
        <v>15.49427633150165</v>
      </c>
      <c r="I214" s="208">
        <v>15.39517245211762</v>
      </c>
      <c r="J214" s="208">
        <v>15.163672289779161</v>
      </c>
      <c r="K214" s="208">
        <v>15.07146882173296</v>
      </c>
      <c r="L214" s="208">
        <v>14.87637162754271</v>
      </c>
      <c r="M214" s="208">
        <v>14.67408784590153</v>
      </c>
      <c r="N214" s="208">
        <v>14.30286566132407</v>
      </c>
      <c r="O214" s="208">
        <v>14.068108442226441</v>
      </c>
      <c r="P214" s="208">
        <v>13.76120110602481</v>
      </c>
      <c r="Q214" s="208">
        <v>13.291288494390781</v>
      </c>
      <c r="R214" s="208">
        <v>12.931366396458779</v>
      </c>
      <c r="S214" s="208">
        <v>12.472817183967351</v>
      </c>
      <c r="T214" s="208">
        <v>11.94854525063905</v>
      </c>
      <c r="U214" s="208">
        <v>11.87425855914586</v>
      </c>
      <c r="V214" s="208">
        <v>11.91823484378923</v>
      </c>
      <c r="W214" s="208">
        <v>11.35831366842352</v>
      </c>
      <c r="X214" s="208">
        <v>11.01925278632514</v>
      </c>
      <c r="Y214" s="208">
        <v>11.219671958234709</v>
      </c>
      <c r="Z214" s="208">
        <v>11.069081480893029</v>
      </c>
      <c r="AA214" s="209">
        <v>-0.28564743461147141</v>
      </c>
      <c r="AC214" s="210">
        <f ca="1">OFFSET(C214,0,[1]Matrix!$C$2-2000)/$AC$2</f>
        <v>3.074744855803619</v>
      </c>
    </row>
    <row r="215" spans="2:29" ht="15">
      <c r="B215" s="206" t="s">
        <v>683</v>
      </c>
      <c r="C215" s="207">
        <v>2.7740359950482971</v>
      </c>
      <c r="D215" s="208">
        <v>2.8088556141492171</v>
      </c>
      <c r="E215" s="208">
        <v>2.8221325327676769</v>
      </c>
      <c r="F215" s="208">
        <v>2.800919769029381</v>
      </c>
      <c r="G215" s="208">
        <v>2.7970162427785472</v>
      </c>
      <c r="H215" s="208">
        <v>2.7899296414762889</v>
      </c>
      <c r="I215" s="208">
        <v>2.8202841982745759</v>
      </c>
      <c r="J215" s="208">
        <v>2.8807982768217228</v>
      </c>
      <c r="K215" s="208">
        <v>2.969506238576975</v>
      </c>
      <c r="L215" s="208">
        <v>2.943289540860035</v>
      </c>
      <c r="M215" s="208">
        <v>2.975207709314434</v>
      </c>
      <c r="N215" s="208">
        <v>2.9599175777518352</v>
      </c>
      <c r="O215" s="208">
        <v>2.952968648285446</v>
      </c>
      <c r="P215" s="208">
        <v>2.9795916717239792</v>
      </c>
      <c r="Q215" s="208">
        <v>3.0046025709206412</v>
      </c>
      <c r="R215" s="208">
        <v>3.0479778582827022</v>
      </c>
      <c r="S215" s="208">
        <v>3.0829747737964022</v>
      </c>
      <c r="T215" s="208">
        <v>3.1127265775250992</v>
      </c>
      <c r="U215" s="208">
        <v>3.1991721716674162</v>
      </c>
      <c r="V215" s="208">
        <v>3.2552573512927352</v>
      </c>
      <c r="W215" s="208">
        <v>2.4878785900966718</v>
      </c>
      <c r="X215" s="208">
        <v>2.810570373594659</v>
      </c>
      <c r="Y215" s="208">
        <v>3.2114192665700689</v>
      </c>
      <c r="Z215" s="208">
        <v>3.216562646402978</v>
      </c>
      <c r="AA215" s="209">
        <v>0.1595244806284411</v>
      </c>
      <c r="AC215" s="210">
        <f ca="1">OFFSET(C215,0,[1]Matrix!$C$2-2000)/$AC$2</f>
        <v>0.89348962400082721</v>
      </c>
    </row>
    <row r="216" spans="2:29" ht="15">
      <c r="B216" s="206" t="s">
        <v>684</v>
      </c>
      <c r="C216" s="207">
        <v>13.993547124748391</v>
      </c>
      <c r="D216" s="208">
        <v>14.02648237063873</v>
      </c>
      <c r="E216" s="208">
        <v>13.97122170144242</v>
      </c>
      <c r="F216" s="208">
        <v>14.059517371918259</v>
      </c>
      <c r="G216" s="208">
        <v>14.12400458541614</v>
      </c>
      <c r="H216" s="208">
        <v>14.153369528181971</v>
      </c>
      <c r="I216" s="208">
        <v>14.212705793206609</v>
      </c>
      <c r="J216" s="208">
        <v>14.13200361807742</v>
      </c>
      <c r="K216" s="208">
        <v>14.224024920800231</v>
      </c>
      <c r="L216" s="208">
        <v>14.293381643164761</v>
      </c>
      <c r="M216" s="208">
        <v>14.383996211980371</v>
      </c>
      <c r="N216" s="208">
        <v>14.3318696406984</v>
      </c>
      <c r="O216" s="208">
        <v>14.225640230168381</v>
      </c>
      <c r="P216" s="208">
        <v>14.104594001874689</v>
      </c>
      <c r="Q216" s="208">
        <v>14.044169477566481</v>
      </c>
      <c r="R216" s="208">
        <v>13.959732962270641</v>
      </c>
      <c r="S216" s="208">
        <v>13.42005615742595</v>
      </c>
      <c r="T216" s="208">
        <v>12.97552894756525</v>
      </c>
      <c r="U216" s="208">
        <v>12.469505025398091</v>
      </c>
      <c r="V216" s="208">
        <v>12.15912843261208</v>
      </c>
      <c r="W216" s="208">
        <v>10.856454661031449</v>
      </c>
      <c r="X216" s="208">
        <v>10.891898013288859</v>
      </c>
      <c r="Y216" s="208">
        <v>10.540814335892479</v>
      </c>
      <c r="Z216" s="208">
        <v>9.8899696783786641</v>
      </c>
      <c r="AA216" s="209">
        <v>-0.29324783843492502</v>
      </c>
      <c r="AC216" s="210">
        <f ca="1">OFFSET(C216,0,[1]Matrix!$C$2-2000)/$AC$2</f>
        <v>2.7472137995496291</v>
      </c>
    </row>
    <row r="217" spans="2:29" ht="15">
      <c r="B217" s="206" t="s">
        <v>743</v>
      </c>
      <c r="C217" s="207">
        <v>11.1953870837889</v>
      </c>
      <c r="D217" s="208">
        <v>11.452269510815791</v>
      </c>
      <c r="E217" s="208">
        <v>11.308510271341341</v>
      </c>
      <c r="F217" s="208">
        <v>12.10528742844622</v>
      </c>
      <c r="G217" s="208">
        <v>11.65720909607175</v>
      </c>
      <c r="H217" s="208">
        <v>11.953894425851169</v>
      </c>
      <c r="I217" s="208">
        <v>12.10123061212143</v>
      </c>
      <c r="J217" s="208">
        <v>11.591533323215661</v>
      </c>
      <c r="K217" s="208">
        <v>12.00432191486494</v>
      </c>
      <c r="L217" s="208">
        <v>12.175064802335489</v>
      </c>
      <c r="M217" s="208">
        <v>12.525647003154459</v>
      </c>
      <c r="N217" s="208">
        <v>11.988348245625771</v>
      </c>
      <c r="O217" s="208">
        <v>12.36579542888926</v>
      </c>
      <c r="P217" s="208">
        <v>12.7085565581199</v>
      </c>
      <c r="Q217" s="208">
        <v>11.75725853021936</v>
      </c>
      <c r="R217" s="208">
        <v>12.689046052974</v>
      </c>
      <c r="S217" s="208">
        <v>12.6342053867657</v>
      </c>
      <c r="T217" s="208">
        <v>12.788440133574539</v>
      </c>
      <c r="U217" s="208">
        <v>12.67660669598974</v>
      </c>
      <c r="V217" s="208">
        <v>12.78914866929215</v>
      </c>
      <c r="W217" s="208">
        <v>12.32105470093477</v>
      </c>
      <c r="X217" s="208">
        <v>12.61917400681266</v>
      </c>
      <c r="Y217" s="208">
        <v>12.297333360775109</v>
      </c>
      <c r="Z217" s="208">
        <v>12.579438619041211</v>
      </c>
      <c r="AA217" s="209">
        <v>0.1236269478575194</v>
      </c>
      <c r="AC217" s="210">
        <f ca="1">OFFSET(C217,0,[1]Matrix!$C$2-2000)/$AC$2</f>
        <v>3.4942885052892252</v>
      </c>
    </row>
    <row r="218" spans="2:29" ht="15">
      <c r="B218" s="206" t="s">
        <v>686</v>
      </c>
      <c r="C218" s="207">
        <v>4.8146074731038526</v>
      </c>
      <c r="D218" s="208">
        <v>5.2168778207909776</v>
      </c>
      <c r="E218" s="208">
        <v>5.5407522105552411</v>
      </c>
      <c r="F218" s="208">
        <v>5.7624235961168644</v>
      </c>
      <c r="G218" s="208">
        <v>6.0586746086621091</v>
      </c>
      <c r="H218" s="208">
        <v>6.3880516366194042</v>
      </c>
      <c r="I218" s="208">
        <v>6.8396291844002706</v>
      </c>
      <c r="J218" s="208">
        <v>7.3546095539320619</v>
      </c>
      <c r="K218" s="208">
        <v>7.853505697864529</v>
      </c>
      <c r="L218" s="208">
        <v>8.1616777664778954</v>
      </c>
      <c r="M218" s="208">
        <v>8.6063831210281698</v>
      </c>
      <c r="N218" s="208">
        <v>8.7162070050358054</v>
      </c>
      <c r="O218" s="208">
        <v>8.7905021695850447</v>
      </c>
      <c r="P218" s="208">
        <v>8.7943213061104757</v>
      </c>
      <c r="Q218" s="208">
        <v>8.8335062038036085</v>
      </c>
      <c r="R218" s="208">
        <v>8.845895519793272</v>
      </c>
      <c r="S218" s="208">
        <v>8.6692712633835409</v>
      </c>
      <c r="T218" s="208">
        <v>8.6267768599572676</v>
      </c>
      <c r="U218" s="208">
        <v>8.6655691045471475</v>
      </c>
      <c r="V218" s="208">
        <v>8.6678082963717547</v>
      </c>
      <c r="W218" s="208">
        <v>8.5225731571707115</v>
      </c>
      <c r="X218" s="208">
        <v>8.598406822082584</v>
      </c>
      <c r="Y218" s="208">
        <v>8.7350347635732319</v>
      </c>
      <c r="Z218" s="208">
        <v>8.6413235069792531</v>
      </c>
      <c r="AA218" s="209">
        <v>0.79481371124288469</v>
      </c>
      <c r="AC218" s="210">
        <f ca="1">OFFSET(C218,0,[1]Matrix!$C$2-2000)/$AC$2</f>
        <v>2.4003676408275703</v>
      </c>
    </row>
    <row r="219" spans="2:29" ht="15">
      <c r="B219" s="206" t="s">
        <v>687</v>
      </c>
      <c r="C219" s="207">
        <v>15.267755821722989</v>
      </c>
      <c r="D219" s="208">
        <v>15.61827726575955</v>
      </c>
      <c r="E219" s="208">
        <v>15.826398990678809</v>
      </c>
      <c r="F219" s="208">
        <v>15.984972486153589</v>
      </c>
      <c r="G219" s="208">
        <v>16.173252635277311</v>
      </c>
      <c r="H219" s="208">
        <v>16.300066241331429</v>
      </c>
      <c r="I219" s="208">
        <v>16.544659324388661</v>
      </c>
      <c r="J219" s="208">
        <v>17.010178597015901</v>
      </c>
      <c r="K219" s="208">
        <v>17.491330724053721</v>
      </c>
      <c r="L219" s="208">
        <v>17.52626836475897</v>
      </c>
      <c r="M219" s="208">
        <v>17.835781591303292</v>
      </c>
      <c r="N219" s="208">
        <v>17.67994666614878</v>
      </c>
      <c r="O219" s="208">
        <v>17.38302925616285</v>
      </c>
      <c r="P219" s="208">
        <v>17.29167340156005</v>
      </c>
      <c r="Q219" s="208">
        <v>17.265331060728801</v>
      </c>
      <c r="R219" s="208">
        <v>17.132042350466421</v>
      </c>
      <c r="S219" s="208">
        <v>17.025115750243081</v>
      </c>
      <c r="T219" s="208">
        <v>16.872390800726979</v>
      </c>
      <c r="U219" s="208">
        <v>16.97742227451446</v>
      </c>
      <c r="V219" s="208">
        <v>16.998966878900099</v>
      </c>
      <c r="W219" s="208">
        <v>16.584537699826601</v>
      </c>
      <c r="X219" s="208">
        <v>16.477928700030589</v>
      </c>
      <c r="Y219" s="208">
        <v>16.444178525872029</v>
      </c>
      <c r="Z219" s="208">
        <v>16.38882992923822</v>
      </c>
      <c r="AA219" s="209">
        <v>7.3427563330569129E-2</v>
      </c>
      <c r="AC219" s="210">
        <f ca="1">OFFSET(C219,0,[1]Matrix!$C$2-2000)/$AC$2</f>
        <v>4.5524527581217278</v>
      </c>
    </row>
    <row r="220" spans="2:29" ht="15.5" thickBot="1">
      <c r="B220" s="211" t="s">
        <v>689</v>
      </c>
      <c r="C220" s="212">
        <v>3.3821398786335379</v>
      </c>
      <c r="D220" s="213">
        <v>3.537295315866694</v>
      </c>
      <c r="E220" s="213">
        <v>3.5990626714224541</v>
      </c>
      <c r="F220" s="213">
        <v>3.7582378172527391</v>
      </c>
      <c r="G220" s="213">
        <v>3.7736166008781362</v>
      </c>
      <c r="H220" s="213">
        <v>3.886394708044647</v>
      </c>
      <c r="I220" s="213">
        <v>3.8670528704006499</v>
      </c>
      <c r="J220" s="213">
        <v>3.872796346230841</v>
      </c>
      <c r="K220" s="213">
        <v>3.8352260640899059</v>
      </c>
      <c r="L220" s="213">
        <v>3.7651424091248051</v>
      </c>
      <c r="M220" s="213">
        <v>3.9741627767442269</v>
      </c>
      <c r="N220" s="213">
        <v>3.931764114775576</v>
      </c>
      <c r="O220" s="213">
        <v>3.960478797937006</v>
      </c>
      <c r="P220" s="213">
        <v>3.8662606399677939</v>
      </c>
      <c r="Q220" s="213">
        <v>3.7559248975148871</v>
      </c>
      <c r="R220" s="213">
        <v>3.8184013200632032</v>
      </c>
      <c r="S220" s="213">
        <v>3.8512957821398559</v>
      </c>
      <c r="T220" s="213">
        <v>3.806873154148477</v>
      </c>
      <c r="U220" s="213">
        <v>3.9594404978855802</v>
      </c>
      <c r="V220" s="213">
        <v>3.9358485947545061</v>
      </c>
      <c r="W220" s="213">
        <v>3.738675228643781</v>
      </c>
      <c r="X220" s="213">
        <v>3.699923156489652</v>
      </c>
      <c r="Y220" s="213">
        <v>3.7146287285284449</v>
      </c>
      <c r="Z220" s="213">
        <v>3.7804757079738742</v>
      </c>
      <c r="AA220" s="214">
        <v>0.1177762729024892</v>
      </c>
      <c r="AC220" s="215">
        <f ca="1">OFFSET(C220,0,[1]Matrix!$C$2-2000)/$AC$2</f>
        <v>1.050132141103854</v>
      </c>
    </row>
    <row r="221" spans="2:29" ht="15.5" thickBot="1">
      <c r="B221" s="221" t="s">
        <v>700</v>
      </c>
      <c r="C221" s="222">
        <v>141.658738455616</v>
      </c>
      <c r="D221" s="223">
        <v>149.67341038953879</v>
      </c>
      <c r="E221" s="223">
        <v>143.92719104047859</v>
      </c>
      <c r="F221" s="223">
        <v>152.65540791746551</v>
      </c>
      <c r="G221" s="223">
        <v>151.2917789236628</v>
      </c>
      <c r="H221" s="223">
        <v>155.3558308954735</v>
      </c>
      <c r="I221" s="223">
        <v>153.40644467343949</v>
      </c>
      <c r="J221" s="223">
        <v>143.9733306538262</v>
      </c>
      <c r="K221" s="223">
        <v>153.63469819893581</v>
      </c>
      <c r="L221" s="223">
        <v>152.43631879486321</v>
      </c>
      <c r="M221" s="223">
        <v>163.16988766364429</v>
      </c>
      <c r="N221" s="223">
        <v>142.4783929302321</v>
      </c>
      <c r="O221" s="223">
        <v>151.71473960076821</v>
      </c>
      <c r="P221" s="223">
        <v>158.99771902378811</v>
      </c>
      <c r="Q221" s="223">
        <v>135.90937955671421</v>
      </c>
      <c r="R221" s="223">
        <v>143.68638907338891</v>
      </c>
      <c r="S221" s="223">
        <v>147.0749776637025</v>
      </c>
      <c r="T221" s="223">
        <v>143.21154789720481</v>
      </c>
      <c r="U221" s="223">
        <v>136.49358028920389</v>
      </c>
      <c r="V221" s="223">
        <v>137.99750211096659</v>
      </c>
      <c r="W221" s="223">
        <v>128.4995897579422</v>
      </c>
      <c r="X221" s="223">
        <v>139.97107679337569</v>
      </c>
      <c r="Y221" s="223">
        <v>125.1554462287133</v>
      </c>
      <c r="Z221" s="223">
        <v>125.24302641501509</v>
      </c>
      <c r="AA221" s="219">
        <v>-0.11588209961183719</v>
      </c>
      <c r="AC221" s="215">
        <f ca="1">OFFSET(C221,0,[1]Matrix!$C$2-2000)/$AC$2</f>
        <v>34.789729559726418</v>
      </c>
    </row>
    <row r="222" spans="2:29">
      <c r="B222" s="224" t="s">
        <v>778</v>
      </c>
    </row>
    <row r="223" spans="2:29">
      <c r="B223" s="224" t="s">
        <v>779</v>
      </c>
      <c r="AB223" t="s">
        <v>780</v>
      </c>
      <c r="AC223" s="225">
        <f ca="1">SUM(AC216:AC220)</f>
        <v>14.244454844892006</v>
      </c>
    </row>
    <row r="224" spans="2:29">
      <c r="B224" s="224"/>
    </row>
    <row r="226" spans="1:27" ht="15.5">
      <c r="A226" s="244"/>
      <c r="B226" s="198" t="s">
        <v>781</v>
      </c>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c r="AA226" s="199"/>
    </row>
    <row r="227" spans="1:27">
      <c r="A227" s="244"/>
      <c r="B227" s="200" t="s">
        <v>777</v>
      </c>
      <c r="C227" s="201"/>
      <c r="D227" s="201"/>
      <c r="E227" s="201"/>
      <c r="F227" s="201"/>
      <c r="G227" s="201"/>
      <c r="H227" s="201"/>
      <c r="I227" s="201"/>
      <c r="J227" s="201"/>
      <c r="K227" s="201"/>
      <c r="L227" s="201"/>
      <c r="M227" s="201"/>
      <c r="N227" s="201"/>
      <c r="O227" s="201"/>
      <c r="P227" s="201"/>
      <c r="Q227" s="201"/>
      <c r="R227" s="201"/>
      <c r="S227" s="201"/>
      <c r="T227" s="201"/>
      <c r="U227" s="201"/>
      <c r="V227" s="201"/>
      <c r="W227" s="201"/>
      <c r="X227" s="201"/>
      <c r="Y227" s="201"/>
      <c r="Z227" s="201"/>
      <c r="AA227" s="201"/>
    </row>
    <row r="228" spans="1:27" ht="15.5" thickBot="1">
      <c r="A228" s="244"/>
      <c r="B228" s="203" t="s">
        <v>679</v>
      </c>
      <c r="C228" s="204">
        <v>2000</v>
      </c>
      <c r="D228" s="204">
        <v>2001</v>
      </c>
      <c r="E228" s="204">
        <v>2002</v>
      </c>
      <c r="F228" s="204">
        <v>2003</v>
      </c>
      <c r="G228" s="204">
        <v>2004</v>
      </c>
      <c r="H228" s="204">
        <v>2005</v>
      </c>
      <c r="I228" s="204">
        <v>2006</v>
      </c>
      <c r="J228" s="204">
        <v>2007</v>
      </c>
      <c r="K228" s="204">
        <v>2008</v>
      </c>
      <c r="L228" s="204">
        <v>2009</v>
      </c>
      <c r="M228" s="204">
        <v>2010</v>
      </c>
      <c r="N228" s="204">
        <v>2011</v>
      </c>
      <c r="O228" s="204">
        <v>2012</v>
      </c>
      <c r="P228" s="204">
        <v>2013</v>
      </c>
      <c r="Q228" s="204">
        <v>2014</v>
      </c>
      <c r="R228" s="204">
        <v>2015</v>
      </c>
      <c r="S228" s="204">
        <v>2016</v>
      </c>
      <c r="T228" s="204">
        <v>2017</v>
      </c>
      <c r="U228" s="204">
        <v>2018</v>
      </c>
      <c r="V228" s="204">
        <v>2019</v>
      </c>
      <c r="W228" s="204">
        <v>2020</v>
      </c>
      <c r="X228" s="204">
        <v>2021</v>
      </c>
      <c r="Y228" s="204">
        <v>2022</v>
      </c>
      <c r="Z228" s="204">
        <v>2023</v>
      </c>
      <c r="AA228" s="204">
        <v>2024</v>
      </c>
    </row>
    <row r="229" spans="1:27" ht="15">
      <c r="A229" s="244"/>
      <c r="B229" s="206" t="s">
        <v>681</v>
      </c>
      <c r="C229" s="207">
        <v>2.0443599131542229</v>
      </c>
      <c r="D229" s="208">
        <v>2.229710138281416</v>
      </c>
      <c r="E229" s="208">
        <v>2.0822176893418138</v>
      </c>
      <c r="F229" s="208">
        <v>2.2781368057263101</v>
      </c>
      <c r="G229" s="208">
        <v>2.2945504839718822</v>
      </c>
      <c r="H229" s="208">
        <v>2.4145971109263402</v>
      </c>
      <c r="I229" s="208">
        <v>2.3960243903639311</v>
      </c>
      <c r="J229" s="208">
        <v>2.129054766181067</v>
      </c>
      <c r="K229" s="208">
        <v>2.4219434588980331</v>
      </c>
      <c r="L229" s="208">
        <v>2.408704862211696</v>
      </c>
      <c r="M229" s="208">
        <v>2.732882901693177</v>
      </c>
      <c r="N229" s="208">
        <v>2.1365337634674519</v>
      </c>
      <c r="O229" s="208">
        <v>2.4514960949499902</v>
      </c>
      <c r="P229" s="208">
        <v>2.7565244272367861</v>
      </c>
      <c r="Q229" s="208">
        <v>2.0685657282115271</v>
      </c>
      <c r="R229" s="208">
        <v>2.3225534277261231</v>
      </c>
      <c r="S229" s="208">
        <v>2.5236562313490141</v>
      </c>
      <c r="T229" s="208">
        <v>2.4375714173809051</v>
      </c>
      <c r="U229" s="208">
        <v>2.2805822624943408</v>
      </c>
      <c r="V229" s="208">
        <v>2.355165563104952</v>
      </c>
      <c r="W229" s="208">
        <v>2.2235928046685749</v>
      </c>
      <c r="X229" s="208">
        <v>2.69401969509794</v>
      </c>
      <c r="Y229" s="208">
        <v>2.2518644275962569</v>
      </c>
      <c r="Z229" s="208">
        <v>2.4962034651935818</v>
      </c>
      <c r="AA229" s="208">
        <v>2.5450739326483491</v>
      </c>
    </row>
    <row r="230" spans="1:27" ht="15">
      <c r="A230" s="244"/>
      <c r="B230" s="206" t="s">
        <v>682</v>
      </c>
      <c r="C230" s="207">
        <v>2.0276298756794362</v>
      </c>
      <c r="D230" s="208">
        <v>1.9635870812886671</v>
      </c>
      <c r="E230" s="208">
        <v>1.9170284367844801</v>
      </c>
      <c r="F230" s="208">
        <v>1.906205211085048</v>
      </c>
      <c r="G230" s="208">
        <v>1.865858338459319</v>
      </c>
      <c r="H230" s="208">
        <v>1.8393020183418289</v>
      </c>
      <c r="I230" s="208">
        <v>1.8066164736114469</v>
      </c>
      <c r="J230" s="208">
        <v>1.7645192729373551</v>
      </c>
      <c r="K230" s="208">
        <v>1.7349007689485429</v>
      </c>
      <c r="L230" s="208">
        <v>1.697876227029669</v>
      </c>
      <c r="M230" s="208">
        <v>1.654852518358549</v>
      </c>
      <c r="N230" s="208">
        <v>1.5952871267618469</v>
      </c>
      <c r="O230" s="208">
        <v>1.5550747341339439</v>
      </c>
      <c r="P230" s="208">
        <v>1.501568719879087</v>
      </c>
      <c r="Q230" s="208">
        <v>1.4264849511250659</v>
      </c>
      <c r="R230" s="208">
        <v>1.3747510243208221</v>
      </c>
      <c r="S230" s="208">
        <v>1.310840938850095</v>
      </c>
      <c r="T230" s="208">
        <v>1.2522332906373039</v>
      </c>
      <c r="U230" s="208">
        <v>1.20571812651237</v>
      </c>
      <c r="V230" s="208">
        <v>1.151714223525969</v>
      </c>
      <c r="W230" s="208">
        <v>1.0630308547910079</v>
      </c>
      <c r="X230" s="208">
        <v>1.0020010545381159</v>
      </c>
      <c r="Y230" s="208">
        <v>1.018608598444285</v>
      </c>
      <c r="Z230" s="208">
        <v>1.0099890742841631</v>
      </c>
      <c r="AA230" s="208">
        <v>1.188248458926294</v>
      </c>
    </row>
    <row r="231" spans="1:27" ht="15">
      <c r="A231" s="244"/>
      <c r="B231" s="206" t="s">
        <v>683</v>
      </c>
      <c r="C231" s="207">
        <v>2.7740359950482971</v>
      </c>
      <c r="D231" s="208">
        <v>2.8088556141492171</v>
      </c>
      <c r="E231" s="208">
        <v>2.8221325327676769</v>
      </c>
      <c r="F231" s="208">
        <v>2.800919769029381</v>
      </c>
      <c r="G231" s="208">
        <v>2.7970162427785472</v>
      </c>
      <c r="H231" s="208">
        <v>2.7899296414762889</v>
      </c>
      <c r="I231" s="208">
        <v>2.8202841982745759</v>
      </c>
      <c r="J231" s="208">
        <v>2.8807982768217228</v>
      </c>
      <c r="K231" s="208">
        <v>2.969506238576975</v>
      </c>
      <c r="L231" s="208">
        <v>2.943289540860035</v>
      </c>
      <c r="M231" s="208">
        <v>2.975207709314434</v>
      </c>
      <c r="N231" s="208">
        <v>2.9599175777518352</v>
      </c>
      <c r="O231" s="208">
        <v>2.952968648285446</v>
      </c>
      <c r="P231" s="208">
        <v>2.9795916717239792</v>
      </c>
      <c r="Q231" s="208">
        <v>3.0046025709206412</v>
      </c>
      <c r="R231" s="208">
        <v>3.0479778582827022</v>
      </c>
      <c r="S231" s="208">
        <v>3.0829747737964022</v>
      </c>
      <c r="T231" s="208">
        <v>3.1127265775250992</v>
      </c>
      <c r="U231" s="208">
        <v>3.1991721716674162</v>
      </c>
      <c r="V231" s="208">
        <v>3.2552573512927352</v>
      </c>
      <c r="W231" s="208">
        <v>2.4878785900966718</v>
      </c>
      <c r="X231" s="208">
        <v>2.810570373594659</v>
      </c>
      <c r="Y231" s="208">
        <v>3.2114192665700689</v>
      </c>
      <c r="Z231" s="208">
        <v>3.216562646402978</v>
      </c>
      <c r="AA231" s="208">
        <v>3.2432694477428679</v>
      </c>
    </row>
    <row r="232" spans="1:27" ht="15">
      <c r="A232" s="244"/>
      <c r="B232" s="206" t="s">
        <v>684</v>
      </c>
      <c r="C232" s="207">
        <v>13.993547124748391</v>
      </c>
      <c r="D232" s="208">
        <v>14.02648237063873</v>
      </c>
      <c r="E232" s="208">
        <v>13.97122170144242</v>
      </c>
      <c r="F232" s="208">
        <v>14.059517371918259</v>
      </c>
      <c r="G232" s="208">
        <v>14.12400458541614</v>
      </c>
      <c r="H232" s="208">
        <v>14.153369528181971</v>
      </c>
      <c r="I232" s="208">
        <v>14.212705793206609</v>
      </c>
      <c r="J232" s="208">
        <v>14.13200361807742</v>
      </c>
      <c r="K232" s="208">
        <v>14.224024920800231</v>
      </c>
      <c r="L232" s="208">
        <v>14.293381643164761</v>
      </c>
      <c r="M232" s="208">
        <v>14.383996211980371</v>
      </c>
      <c r="N232" s="208">
        <v>14.3318696406984</v>
      </c>
      <c r="O232" s="208">
        <v>14.225640230168381</v>
      </c>
      <c r="P232" s="208">
        <v>14.104594001874689</v>
      </c>
      <c r="Q232" s="208">
        <v>14.044169477566481</v>
      </c>
      <c r="R232" s="208">
        <v>13.959732962270641</v>
      </c>
      <c r="S232" s="208">
        <v>13.42005615742595</v>
      </c>
      <c r="T232" s="208">
        <v>12.97552894756525</v>
      </c>
      <c r="U232" s="208">
        <v>12.469505025398091</v>
      </c>
      <c r="V232" s="208">
        <v>12.15912843261208</v>
      </c>
      <c r="W232" s="208">
        <v>10.856454661031449</v>
      </c>
      <c r="X232" s="208">
        <v>10.891898013288859</v>
      </c>
      <c r="Y232" s="208">
        <v>10.540814335892479</v>
      </c>
      <c r="Z232" s="208">
        <v>9.8899696783786641</v>
      </c>
      <c r="AA232" s="208">
        <v>10.20421238231471</v>
      </c>
    </row>
    <row r="233" spans="1:27" ht="15">
      <c r="A233" s="244"/>
      <c r="B233" s="206" t="s">
        <v>743</v>
      </c>
      <c r="C233" s="207">
        <v>11.1953870837889</v>
      </c>
      <c r="D233" s="208">
        <v>11.452269510815791</v>
      </c>
      <c r="E233" s="208">
        <v>11.308510271341341</v>
      </c>
      <c r="F233" s="208">
        <v>12.10528742844622</v>
      </c>
      <c r="G233" s="208">
        <v>11.65720909607175</v>
      </c>
      <c r="H233" s="208">
        <v>11.953894425851169</v>
      </c>
      <c r="I233" s="208">
        <v>12.10123061212143</v>
      </c>
      <c r="J233" s="208">
        <v>11.591533323215661</v>
      </c>
      <c r="K233" s="208">
        <v>12.00432191486494</v>
      </c>
      <c r="L233" s="208">
        <v>12.175064802335489</v>
      </c>
      <c r="M233" s="208">
        <v>12.525647003154459</v>
      </c>
      <c r="N233" s="208">
        <v>11.988348245625771</v>
      </c>
      <c r="O233" s="208">
        <v>12.36579542888926</v>
      </c>
      <c r="P233" s="208">
        <v>12.7085565581199</v>
      </c>
      <c r="Q233" s="208">
        <v>11.75725853021936</v>
      </c>
      <c r="R233" s="208">
        <v>12.689046052974</v>
      </c>
      <c r="S233" s="208">
        <v>12.6342053867657</v>
      </c>
      <c r="T233" s="208">
        <v>12.788440133574539</v>
      </c>
      <c r="U233" s="208">
        <v>12.67660669598974</v>
      </c>
      <c r="V233" s="208">
        <v>12.78914866929215</v>
      </c>
      <c r="W233" s="208">
        <v>12.32105470093477</v>
      </c>
      <c r="X233" s="208">
        <v>12.61917400681266</v>
      </c>
      <c r="Y233" s="208">
        <v>12.297333360775109</v>
      </c>
      <c r="Z233" s="208">
        <v>12.579438619041211</v>
      </c>
      <c r="AA233" s="208">
        <v>12.81630482106147</v>
      </c>
    </row>
    <row r="234" spans="1:27" ht="15">
      <c r="A234" s="244"/>
      <c r="B234" s="206" t="s">
        <v>686</v>
      </c>
      <c r="C234" s="207">
        <v>4.8146074731038526</v>
      </c>
      <c r="D234" s="208">
        <v>5.2168778207909776</v>
      </c>
      <c r="E234" s="208">
        <v>5.5407522105552411</v>
      </c>
      <c r="F234" s="208">
        <v>5.7624235961168644</v>
      </c>
      <c r="G234" s="208">
        <v>6.0586746086621091</v>
      </c>
      <c r="H234" s="208">
        <v>6.3880516366194042</v>
      </c>
      <c r="I234" s="208">
        <v>6.8396291844002706</v>
      </c>
      <c r="J234" s="208">
        <v>7.3546095539320619</v>
      </c>
      <c r="K234" s="208">
        <v>7.853505697864529</v>
      </c>
      <c r="L234" s="208">
        <v>8.1616777664778954</v>
      </c>
      <c r="M234" s="208">
        <v>8.6063831210281698</v>
      </c>
      <c r="N234" s="208">
        <v>8.7162070050358054</v>
      </c>
      <c r="O234" s="208">
        <v>8.7905021695850447</v>
      </c>
      <c r="P234" s="208">
        <v>8.7943213061104757</v>
      </c>
      <c r="Q234" s="208">
        <v>8.8335062038036085</v>
      </c>
      <c r="R234" s="208">
        <v>8.845895519793272</v>
      </c>
      <c r="S234" s="208">
        <v>8.6692712633835409</v>
      </c>
      <c r="T234" s="208">
        <v>8.6267768599572676</v>
      </c>
      <c r="U234" s="208">
        <v>8.6655691045471475</v>
      </c>
      <c r="V234" s="208">
        <v>8.6678082963717547</v>
      </c>
      <c r="W234" s="208">
        <v>8.5225731571707115</v>
      </c>
      <c r="X234" s="208">
        <v>8.598406822082584</v>
      </c>
      <c r="Y234" s="208">
        <v>8.7350347635732319</v>
      </c>
      <c r="Z234" s="208">
        <v>8.6413235069792531</v>
      </c>
      <c r="AA234" s="208">
        <v>9.8493189045685696</v>
      </c>
    </row>
    <row r="235" spans="1:27" ht="15">
      <c r="A235" s="244"/>
      <c r="B235" s="206" t="s">
        <v>687</v>
      </c>
      <c r="C235" s="207">
        <v>15.267755821722989</v>
      </c>
      <c r="D235" s="208">
        <v>15.61827726575955</v>
      </c>
      <c r="E235" s="208">
        <v>15.826398990678809</v>
      </c>
      <c r="F235" s="208">
        <v>15.984972486153589</v>
      </c>
      <c r="G235" s="208">
        <v>16.173252635277311</v>
      </c>
      <c r="H235" s="208">
        <v>16.300066241331429</v>
      </c>
      <c r="I235" s="208">
        <v>16.544659324388661</v>
      </c>
      <c r="J235" s="208">
        <v>17.010178597015901</v>
      </c>
      <c r="K235" s="208">
        <v>17.491330724053721</v>
      </c>
      <c r="L235" s="208">
        <v>17.52626836475897</v>
      </c>
      <c r="M235" s="208">
        <v>17.835781591303292</v>
      </c>
      <c r="N235" s="208">
        <v>17.67994666614878</v>
      </c>
      <c r="O235" s="208">
        <v>17.38302925616285</v>
      </c>
      <c r="P235" s="208">
        <v>17.29167340156005</v>
      </c>
      <c r="Q235" s="208">
        <v>17.265331060728801</v>
      </c>
      <c r="R235" s="208">
        <v>17.132042350466421</v>
      </c>
      <c r="S235" s="208">
        <v>17.025115750243081</v>
      </c>
      <c r="T235" s="208">
        <v>16.872390800726979</v>
      </c>
      <c r="U235" s="208">
        <v>16.97742227451446</v>
      </c>
      <c r="V235" s="208">
        <v>16.998966878900099</v>
      </c>
      <c r="W235" s="208">
        <v>16.584537699826601</v>
      </c>
      <c r="X235" s="208">
        <v>16.477928700030589</v>
      </c>
      <c r="Y235" s="208">
        <v>16.444178525872029</v>
      </c>
      <c r="Z235" s="208">
        <v>16.38882992923822</v>
      </c>
      <c r="AA235" s="208">
        <v>16.373403383388609</v>
      </c>
    </row>
    <row r="236" spans="1:27" ht="15.5" thickBot="1">
      <c r="A236" s="244"/>
      <c r="B236" s="211" t="s">
        <v>689</v>
      </c>
      <c r="C236" s="212">
        <v>3.3821398786335379</v>
      </c>
      <c r="D236" s="213">
        <v>3.537295315866694</v>
      </c>
      <c r="E236" s="213">
        <v>3.5990626714224541</v>
      </c>
      <c r="F236" s="213">
        <v>3.7582378172527391</v>
      </c>
      <c r="G236" s="213">
        <v>3.7736166008781362</v>
      </c>
      <c r="H236" s="213">
        <v>3.886394708044647</v>
      </c>
      <c r="I236" s="213">
        <v>3.8670528704006499</v>
      </c>
      <c r="J236" s="213">
        <v>3.872796346230841</v>
      </c>
      <c r="K236" s="213">
        <v>3.8352260640899059</v>
      </c>
      <c r="L236" s="213">
        <v>3.7651424091248051</v>
      </c>
      <c r="M236" s="213">
        <v>3.9741627767442269</v>
      </c>
      <c r="N236" s="213">
        <v>3.931764114775576</v>
      </c>
      <c r="O236" s="213">
        <v>3.960478797937006</v>
      </c>
      <c r="P236" s="213">
        <v>3.8662606399677939</v>
      </c>
      <c r="Q236" s="213">
        <v>3.7559248975148871</v>
      </c>
      <c r="R236" s="213">
        <v>3.8184013200632032</v>
      </c>
      <c r="S236" s="213">
        <v>3.8512957821398559</v>
      </c>
      <c r="T236" s="213">
        <v>3.806873154148477</v>
      </c>
      <c r="U236" s="213">
        <v>3.9594404978855802</v>
      </c>
      <c r="V236" s="213">
        <v>3.9358485947545061</v>
      </c>
      <c r="W236" s="213">
        <v>3.738675228643781</v>
      </c>
      <c r="X236" s="213">
        <v>3.699923156489652</v>
      </c>
      <c r="Y236" s="213">
        <v>3.7146287285284449</v>
      </c>
      <c r="Z236" s="213">
        <v>3.7804757079738742</v>
      </c>
      <c r="AA236" s="213">
        <v>3.8259260176272409</v>
      </c>
    </row>
    <row r="237" spans="1:27" ht="15.5" thickBot="1">
      <c r="A237" s="244"/>
      <c r="B237" s="221" t="s">
        <v>737</v>
      </c>
      <c r="C237" s="222">
        <v>55.499463165879632</v>
      </c>
      <c r="D237" s="223">
        <v>56.853355117591043</v>
      </c>
      <c r="E237" s="223">
        <v>57.067324504334231</v>
      </c>
      <c r="F237" s="223">
        <v>58.655700485728417</v>
      </c>
      <c r="G237" s="223">
        <v>58.744182591515191</v>
      </c>
      <c r="H237" s="223">
        <v>59.725605310773091</v>
      </c>
      <c r="I237" s="223">
        <v>60.588202846767587</v>
      </c>
      <c r="J237" s="223">
        <v>60.735493754412033</v>
      </c>
      <c r="K237" s="223">
        <v>62.534759788096864</v>
      </c>
      <c r="L237" s="223">
        <v>62.971405615963313</v>
      </c>
      <c r="M237" s="223">
        <v>64.688913833576677</v>
      </c>
      <c r="N237" s="223">
        <v>63.339874140265472</v>
      </c>
      <c r="O237" s="223">
        <v>63.684985360111916</v>
      </c>
      <c r="P237" s="223">
        <v>64.003090726472777</v>
      </c>
      <c r="Q237" s="223">
        <v>62.155843420090378</v>
      </c>
      <c r="R237" s="223">
        <v>63.190400515897181</v>
      </c>
      <c r="S237" s="223">
        <v>62.517416283953636</v>
      </c>
      <c r="T237" s="223">
        <v>61.872541181515821</v>
      </c>
      <c r="U237" s="223">
        <v>61.434016159009147</v>
      </c>
      <c r="V237" s="223">
        <v>61.313038009854232</v>
      </c>
      <c r="W237" s="223">
        <v>57.797797697163567</v>
      </c>
      <c r="X237" s="223">
        <v>58.793921821935058</v>
      </c>
      <c r="Y237" s="223">
        <v>58.213882007251897</v>
      </c>
      <c r="Z237" s="223">
        <v>58.002792627491942</v>
      </c>
      <c r="AA237" s="223">
        <v>60.045757348278109</v>
      </c>
    </row>
    <row r="238" spans="1:27">
      <c r="A238" s="244"/>
      <c r="B238" s="224" t="s">
        <v>738</v>
      </c>
    </row>
    <row r="239" spans="1:27">
      <c r="A239" s="244"/>
      <c r="B239" s="224" t="s">
        <v>779</v>
      </c>
    </row>
    <row r="240" spans="1:27">
      <c r="A240" s="244"/>
      <c r="C240" s="225">
        <f>SUM(C232:C236)</f>
        <v>48.653437381997669</v>
      </c>
      <c r="D240" s="225">
        <f t="shared" ref="D240:AA240" si="2">SUM(D232:D236)</f>
        <v>49.851202283871743</v>
      </c>
      <c r="E240" s="225">
        <f t="shared" si="2"/>
        <v>50.245945845440261</v>
      </c>
      <c r="F240" s="225">
        <f t="shared" si="2"/>
        <v>51.670438699887676</v>
      </c>
      <c r="G240" s="225">
        <f t="shared" si="2"/>
        <v>51.786757526305443</v>
      </c>
      <c r="H240" s="225">
        <f t="shared" si="2"/>
        <v>52.681776540028622</v>
      </c>
      <c r="I240" s="225">
        <f t="shared" si="2"/>
        <v>53.565277784517619</v>
      </c>
      <c r="J240" s="225">
        <f t="shared" si="2"/>
        <v>53.961121438471885</v>
      </c>
      <c r="K240" s="225">
        <f t="shared" si="2"/>
        <v>55.408409321673332</v>
      </c>
      <c r="L240" s="225">
        <f t="shared" si="2"/>
        <v>55.921534985861918</v>
      </c>
      <c r="M240" s="225">
        <f t="shared" si="2"/>
        <v>57.325970704210512</v>
      </c>
      <c r="N240" s="225">
        <f t="shared" si="2"/>
        <v>56.648135672284333</v>
      </c>
      <c r="O240" s="225">
        <f t="shared" si="2"/>
        <v>56.725445882742541</v>
      </c>
      <c r="P240" s="225">
        <f t="shared" si="2"/>
        <v>56.76540590763291</v>
      </c>
      <c r="Q240" s="225">
        <f t="shared" si="2"/>
        <v>55.656190169833138</v>
      </c>
      <c r="R240" s="225">
        <f t="shared" si="2"/>
        <v>56.445118205567539</v>
      </c>
      <c r="S240" s="225">
        <f t="shared" si="2"/>
        <v>55.599944339958128</v>
      </c>
      <c r="T240" s="225">
        <f t="shared" si="2"/>
        <v>55.070009895972518</v>
      </c>
      <c r="U240" s="225">
        <f t="shared" si="2"/>
        <v>54.748543598335019</v>
      </c>
      <c r="V240" s="225">
        <f t="shared" si="2"/>
        <v>54.550900871930587</v>
      </c>
      <c r="W240" s="225">
        <f t="shared" si="2"/>
        <v>52.02329544760731</v>
      </c>
      <c r="X240" s="225">
        <f t="shared" si="2"/>
        <v>52.287330698704345</v>
      </c>
      <c r="Y240" s="225">
        <f t="shared" si="2"/>
        <v>51.731989714641294</v>
      </c>
      <c r="Z240" s="225">
        <f t="shared" si="2"/>
        <v>51.280037441611228</v>
      </c>
      <c r="AA240" s="225">
        <f t="shared" si="2"/>
        <v>53.069165508960594</v>
      </c>
    </row>
    <row r="242" spans="1:29" ht="15.5">
      <c r="A242" s="244"/>
      <c r="B242" s="198" t="s">
        <v>782</v>
      </c>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c r="AA242" s="199"/>
    </row>
    <row r="243" spans="1:29">
      <c r="A243" s="244"/>
      <c r="B243" s="200" t="s">
        <v>677</v>
      </c>
      <c r="C243" s="201"/>
      <c r="D243" s="201"/>
      <c r="E243" s="201"/>
      <c r="F243" s="201"/>
      <c r="G243" s="201"/>
      <c r="H243" s="201"/>
      <c r="I243" s="201"/>
      <c r="J243" s="201"/>
      <c r="K243" s="201"/>
      <c r="L243" s="201"/>
      <c r="M243" s="201"/>
      <c r="N243" s="201"/>
      <c r="O243" s="201"/>
      <c r="P243" s="201"/>
      <c r="Q243" s="201"/>
      <c r="R243" s="201"/>
      <c r="S243" s="201"/>
      <c r="T243" s="201"/>
      <c r="U243" s="201"/>
      <c r="V243" s="201"/>
      <c r="W243" s="201"/>
      <c r="X243" s="201"/>
      <c r="Y243" s="201"/>
      <c r="Z243" s="201"/>
      <c r="AA243" s="201"/>
      <c r="AC243" s="202" t="s">
        <v>678</v>
      </c>
    </row>
    <row r="244" spans="1:29" ht="15.5" thickBot="1">
      <c r="A244" s="244"/>
      <c r="B244" s="203" t="s">
        <v>679</v>
      </c>
      <c r="C244" s="204">
        <v>2000</v>
      </c>
      <c r="D244" s="204">
        <v>2001</v>
      </c>
      <c r="E244" s="204">
        <v>2002</v>
      </c>
      <c r="F244" s="204">
        <v>2003</v>
      </c>
      <c r="G244" s="204">
        <v>2004</v>
      </c>
      <c r="H244" s="204">
        <v>2005</v>
      </c>
      <c r="I244" s="204">
        <v>2006</v>
      </c>
      <c r="J244" s="204">
        <v>2007</v>
      </c>
      <c r="K244" s="204">
        <v>2008</v>
      </c>
      <c r="L244" s="204">
        <v>2009</v>
      </c>
      <c r="M244" s="204">
        <v>2010</v>
      </c>
      <c r="N244" s="204">
        <v>2011</v>
      </c>
      <c r="O244" s="204">
        <v>2012</v>
      </c>
      <c r="P244" s="204">
        <v>2013</v>
      </c>
      <c r="Q244" s="204">
        <v>2014</v>
      </c>
      <c r="R244" s="204">
        <v>2015</v>
      </c>
      <c r="S244" s="204">
        <v>2016</v>
      </c>
      <c r="T244" s="204">
        <v>2017</v>
      </c>
      <c r="U244" s="204">
        <v>2018</v>
      </c>
      <c r="V244" s="204">
        <v>2019</v>
      </c>
      <c r="W244" s="204">
        <v>2020</v>
      </c>
      <c r="X244" s="204">
        <v>2021</v>
      </c>
      <c r="Y244" s="204">
        <v>2022</v>
      </c>
      <c r="Z244" s="204">
        <v>2023</v>
      </c>
      <c r="AA244" s="204">
        <v>2024</v>
      </c>
      <c r="AC244" s="205">
        <f ca="1">OFFSET(C244,0,[1]Matrix!$C$2-2000)</f>
        <v>2023</v>
      </c>
    </row>
    <row r="245" spans="1:29" ht="15">
      <c r="A245" s="244"/>
      <c r="B245" s="206" t="s">
        <v>681</v>
      </c>
      <c r="C245" s="207">
        <v>18.251869950415379</v>
      </c>
      <c r="D245" s="208">
        <v>20.196484223405001</v>
      </c>
      <c r="E245" s="208">
        <v>16.468183251355299</v>
      </c>
      <c r="F245" s="208">
        <v>19.2610130259763</v>
      </c>
      <c r="G245" s="208">
        <v>17.651876660789998</v>
      </c>
      <c r="H245" s="208">
        <v>17.843959680209</v>
      </c>
      <c r="I245" s="208">
        <v>17.378383929984</v>
      </c>
      <c r="J245" s="208">
        <v>14.430250188869</v>
      </c>
      <c r="K245" s="208">
        <v>16.452162059854999</v>
      </c>
      <c r="L245" s="208">
        <v>16.899668831717701</v>
      </c>
      <c r="M245" s="208">
        <v>19.452684468511499</v>
      </c>
      <c r="N245" s="208">
        <v>14.540979504957599</v>
      </c>
      <c r="O245" s="208">
        <v>15.779591927174801</v>
      </c>
      <c r="P245" s="208">
        <v>17.6614695755394</v>
      </c>
      <c r="Q245" s="208">
        <v>11.949291789859901</v>
      </c>
      <c r="R245" s="208">
        <v>13.83244059006109</v>
      </c>
      <c r="S245" s="208">
        <v>15.339589933750499</v>
      </c>
      <c r="T245" s="208">
        <v>14.3736781841788</v>
      </c>
      <c r="U245" s="208">
        <v>12.484811927092</v>
      </c>
      <c r="V245" s="208">
        <v>11.9241155541577</v>
      </c>
      <c r="W245" s="208">
        <v>11.0846177577401</v>
      </c>
      <c r="X245" s="208">
        <v>13.522414924434999</v>
      </c>
      <c r="Y245" s="208">
        <v>10.13170129682586</v>
      </c>
      <c r="Z245" s="208">
        <v>10.5896648074125</v>
      </c>
      <c r="AA245" s="208">
        <v>10.95647023623698</v>
      </c>
      <c r="AC245" s="210">
        <f ca="1">OFFSET(C245,0,[1]Matrix!$C$2-2000)/$AC$2</f>
        <v>2.9415735576145834</v>
      </c>
    </row>
    <row r="246" spans="1:29" ht="15">
      <c r="A246" s="244"/>
      <c r="B246" s="206" t="s">
        <v>682</v>
      </c>
      <c r="C246" s="207">
        <v>2.6126295975887301</v>
      </c>
      <c r="D246" s="208">
        <v>2.5001985084349001</v>
      </c>
      <c r="E246" s="208">
        <v>2.6559296297230999</v>
      </c>
      <c r="F246" s="208">
        <v>2.5210085094160002</v>
      </c>
      <c r="G246" s="208">
        <v>2.5648547147956</v>
      </c>
      <c r="H246" s="208">
        <v>2.475510417692099</v>
      </c>
      <c r="I246" s="208">
        <v>2.7510534086326999</v>
      </c>
      <c r="J246" s="208">
        <v>3.0330278412401999</v>
      </c>
      <c r="K246" s="208">
        <v>2.933457475613201</v>
      </c>
      <c r="L246" s="208">
        <v>3.136618126094</v>
      </c>
      <c r="M246" s="208">
        <v>3.0859906727741002</v>
      </c>
      <c r="N246" s="208">
        <v>3.0763764199234802</v>
      </c>
      <c r="O246" s="208">
        <v>2.8631557090216999</v>
      </c>
      <c r="P246" s="208">
        <v>2.8371164481234001</v>
      </c>
      <c r="Q246" s="208">
        <v>2.837633207465069</v>
      </c>
      <c r="R246" s="208">
        <v>2.7926268747838798</v>
      </c>
      <c r="S246" s="208">
        <v>2.778763655804009</v>
      </c>
      <c r="T246" s="208">
        <v>2.732148859061819</v>
      </c>
      <c r="U246" s="208">
        <v>2.5669519749218002</v>
      </c>
      <c r="V246" s="208">
        <v>2.4856971231502798</v>
      </c>
      <c r="W246" s="208">
        <v>2.5041020840823398</v>
      </c>
      <c r="X246" s="208">
        <v>2.48057821858789</v>
      </c>
      <c r="Y246" s="208">
        <v>2.4407159236026499</v>
      </c>
      <c r="Z246" s="208">
        <v>2.3546712392237992</v>
      </c>
      <c r="AA246" s="208">
        <v>2.41250897443151</v>
      </c>
      <c r="AC246" s="210">
        <f ca="1">OFFSET(C246,0,[1]Matrix!$C$2-2000)/$AC$2</f>
        <v>0.65407534422883307</v>
      </c>
    </row>
    <row r="247" spans="1:29" ht="15">
      <c r="A247" s="244"/>
      <c r="B247" s="206" t="s">
        <v>683</v>
      </c>
      <c r="C247" s="207">
        <v>99.49903540867173</v>
      </c>
      <c r="D247" s="208">
        <v>97.953417723523074</v>
      </c>
      <c r="E247" s="208">
        <v>92.769659822964996</v>
      </c>
      <c r="F247" s="208">
        <v>92.992025307867294</v>
      </c>
      <c r="G247" s="208">
        <v>93.97185930038799</v>
      </c>
      <c r="H247" s="208">
        <v>95.633045788231001</v>
      </c>
      <c r="I247" s="208">
        <v>95.548415743963901</v>
      </c>
      <c r="J247" s="208">
        <v>97.119711783518525</v>
      </c>
      <c r="K247" s="208">
        <v>95.788878921936913</v>
      </c>
      <c r="L247" s="208">
        <v>85.031419995346894</v>
      </c>
      <c r="M247" s="208">
        <v>89.602238351533614</v>
      </c>
      <c r="N247" s="208">
        <v>89.380798922826301</v>
      </c>
      <c r="O247" s="208">
        <v>90.182185673860971</v>
      </c>
      <c r="P247" s="208">
        <v>89.241041404438306</v>
      </c>
      <c r="Q247" s="208">
        <v>86.988682929015013</v>
      </c>
      <c r="R247" s="208">
        <v>84.350618411383408</v>
      </c>
      <c r="S247" s="208">
        <v>85.040913415238691</v>
      </c>
      <c r="T247" s="208">
        <v>84.67643989542745</v>
      </c>
      <c r="U247" s="208">
        <v>85.798116123914312</v>
      </c>
      <c r="V247" s="208">
        <v>85.111014611027983</v>
      </c>
      <c r="W247" s="208">
        <v>81.372745387855986</v>
      </c>
      <c r="X247" s="208">
        <v>84.873230212262001</v>
      </c>
      <c r="Y247" s="208">
        <v>84.566699941370018</v>
      </c>
      <c r="Z247" s="208">
        <v>79.679199247013003</v>
      </c>
      <c r="AA247" s="208">
        <v>80.339069353274695</v>
      </c>
      <c r="AC247" s="210">
        <f ca="1">OFFSET(C247,0,[1]Matrix!$C$2-2000)/$AC$2</f>
        <v>22.133110901948054</v>
      </c>
    </row>
    <row r="248" spans="1:29" ht="15">
      <c r="A248" s="244"/>
      <c r="B248" s="206" t="s">
        <v>684</v>
      </c>
      <c r="C248" s="207">
        <v>7.3679940189999993</v>
      </c>
      <c r="D248" s="208">
        <v>7.4289704790000002</v>
      </c>
      <c r="E248" s="208">
        <v>7.182939328999999</v>
      </c>
      <c r="F248" s="208">
        <v>7.3724551369999993</v>
      </c>
      <c r="G248" s="208">
        <v>7.3155634259999989</v>
      </c>
      <c r="H248" s="208">
        <v>7.1723232450000003</v>
      </c>
      <c r="I248" s="208">
        <v>7.2911626419999997</v>
      </c>
      <c r="J248" s="208">
        <v>7.4125438289999988</v>
      </c>
      <c r="K248" s="208">
        <v>7.2852503339999988</v>
      </c>
      <c r="L248" s="208">
        <v>7.5748136869999998</v>
      </c>
      <c r="M248" s="208">
        <v>7.6941767440000017</v>
      </c>
      <c r="N248" s="208">
        <v>7.6926284420000011</v>
      </c>
      <c r="O248" s="208">
        <v>7.3331228450000019</v>
      </c>
      <c r="P248" s="208">
        <v>7.2403617330000003</v>
      </c>
      <c r="Q248" s="208">
        <v>7.1634680859999991</v>
      </c>
      <c r="R248" s="208">
        <v>6.9898619290000008</v>
      </c>
      <c r="S248" s="208">
        <v>7.0191470159999998</v>
      </c>
      <c r="T248" s="208">
        <v>6.8361199560000001</v>
      </c>
      <c r="U248" s="208">
        <v>6.6386228869999986</v>
      </c>
      <c r="V248" s="208">
        <v>6.588055317000002</v>
      </c>
      <c r="W248" s="208">
        <v>6.5486741199999976</v>
      </c>
      <c r="X248" s="208">
        <v>6.4691738060000006</v>
      </c>
      <c r="Y248" s="208">
        <v>6.4227035900000002</v>
      </c>
      <c r="Z248" s="208">
        <v>6.4337699720000003</v>
      </c>
      <c r="AA248" s="208">
        <v>6.4005746059999993</v>
      </c>
      <c r="AC248" s="210">
        <f ca="1">OFFSET(C248,0,[1]Matrix!$C$2-2000)/$AC$2</f>
        <v>1.7871583255555556</v>
      </c>
    </row>
    <row r="249" spans="1:29" ht="15">
      <c r="A249" s="244"/>
      <c r="B249" s="206" t="s">
        <v>743</v>
      </c>
      <c r="C249" s="207">
        <v>4.307787878000001</v>
      </c>
      <c r="D249" s="208">
        <v>4.345934548999999</v>
      </c>
      <c r="E249" s="208">
        <v>4.3365043930000002</v>
      </c>
      <c r="F249" s="208">
        <v>4.5448005859999991</v>
      </c>
      <c r="G249" s="208">
        <v>4.6136411170000002</v>
      </c>
      <c r="H249" s="208">
        <v>4.5370414769999989</v>
      </c>
      <c r="I249" s="208">
        <v>4.6403074990000004</v>
      </c>
      <c r="J249" s="208">
        <v>4.8076385640000003</v>
      </c>
      <c r="K249" s="208">
        <v>4.8465707370000004</v>
      </c>
      <c r="L249" s="208">
        <v>5.0451859259999994</v>
      </c>
      <c r="M249" s="208">
        <v>5.2769352310000004</v>
      </c>
      <c r="N249" s="208">
        <v>5.3053049050000007</v>
      </c>
      <c r="O249" s="208">
        <v>5.0889891589999996</v>
      </c>
      <c r="P249" s="208">
        <v>4.9652823389999998</v>
      </c>
      <c r="Q249" s="208">
        <v>4.9647023639999999</v>
      </c>
      <c r="R249" s="208">
        <v>4.8515594469999987</v>
      </c>
      <c r="S249" s="208">
        <v>4.9320522659999986</v>
      </c>
      <c r="T249" s="208">
        <v>4.8182931940000024</v>
      </c>
      <c r="U249" s="208">
        <v>4.8955625100000004</v>
      </c>
      <c r="V249" s="208">
        <v>4.8938413560000011</v>
      </c>
      <c r="W249" s="208">
        <v>4.9228693649999986</v>
      </c>
      <c r="X249" s="208">
        <v>4.8964383970000007</v>
      </c>
      <c r="Y249" s="208">
        <v>4.8695759499999998</v>
      </c>
      <c r="Z249" s="208">
        <v>4.8836716630000003</v>
      </c>
      <c r="AA249" s="208">
        <v>4.9560710129999999</v>
      </c>
      <c r="AC249" s="210">
        <f ca="1">OFFSET(C249,0,[1]Matrix!$C$2-2000)/$AC$2</f>
        <v>1.3565754619444446</v>
      </c>
    </row>
    <row r="250" spans="1:29" ht="15">
      <c r="A250" s="244"/>
      <c r="B250" s="206" t="s">
        <v>686</v>
      </c>
      <c r="C250" s="207">
        <v>1.4080512350000001</v>
      </c>
      <c r="D250" s="208">
        <v>1.4100484799999999</v>
      </c>
      <c r="E250" s="208">
        <v>1.382435528</v>
      </c>
      <c r="F250" s="208">
        <v>1.4282414080000001</v>
      </c>
      <c r="G250" s="208">
        <v>1.4258451599999999</v>
      </c>
      <c r="H250" s="208">
        <v>1.3921684270000001</v>
      </c>
      <c r="I250" s="208">
        <v>1.402443847</v>
      </c>
      <c r="J250" s="208">
        <v>1.4352031329999999</v>
      </c>
      <c r="K250" s="208">
        <v>1.4251540650000001</v>
      </c>
      <c r="L250" s="208">
        <v>1.4652840739999999</v>
      </c>
      <c r="M250" s="208">
        <v>1.5095033419999999</v>
      </c>
      <c r="N250" s="208">
        <v>1.5095799830000001</v>
      </c>
      <c r="O250" s="208">
        <v>1.4249800500000001</v>
      </c>
      <c r="P250" s="208">
        <v>1.382457813</v>
      </c>
      <c r="Q250" s="208">
        <v>1.369119604</v>
      </c>
      <c r="R250" s="208">
        <v>1.3298686</v>
      </c>
      <c r="S250" s="208">
        <v>1.3417639029999999</v>
      </c>
      <c r="T250" s="208">
        <v>1.297966449</v>
      </c>
      <c r="U250" s="208">
        <v>1.292010705</v>
      </c>
      <c r="V250" s="208">
        <v>1.2782531150000001</v>
      </c>
      <c r="W250" s="208">
        <v>1.2750595570000001</v>
      </c>
      <c r="X250" s="208">
        <v>1.2556604659999999</v>
      </c>
      <c r="Y250" s="208">
        <v>1.234961215</v>
      </c>
      <c r="Z250" s="208">
        <v>1.2264795669999999</v>
      </c>
      <c r="AA250" s="208">
        <v>1.234995668</v>
      </c>
      <c r="AC250" s="210">
        <f ca="1">OFFSET(C250,0,[1]Matrix!$C$2-2000)/$AC$2</f>
        <v>0.34068876861111108</v>
      </c>
    </row>
    <row r="251" spans="1:29" ht="15">
      <c r="A251" s="244"/>
      <c r="B251" s="206" t="s">
        <v>687</v>
      </c>
      <c r="C251" s="207">
        <v>36.757287286839997</v>
      </c>
      <c r="D251" s="208">
        <v>35.992036769200013</v>
      </c>
      <c r="E251" s="208">
        <v>34.570841614789977</v>
      </c>
      <c r="F251" s="208">
        <v>34.069683170539982</v>
      </c>
      <c r="G251" s="208">
        <v>34.613735796259988</v>
      </c>
      <c r="H251" s="208">
        <v>34.876643268389991</v>
      </c>
      <c r="I251" s="208">
        <v>35.395533711379997</v>
      </c>
      <c r="J251" s="208">
        <v>36.945974924140003</v>
      </c>
      <c r="K251" s="208">
        <v>37.430613826779997</v>
      </c>
      <c r="L251" s="208">
        <v>33.686850443300003</v>
      </c>
      <c r="M251" s="208">
        <v>35.262277911099993</v>
      </c>
      <c r="N251" s="208">
        <v>35.478570562100003</v>
      </c>
      <c r="O251" s="208">
        <v>35.267434657400003</v>
      </c>
      <c r="P251" s="208">
        <v>34.646387230099997</v>
      </c>
      <c r="Q251" s="208">
        <v>34.2993267807</v>
      </c>
      <c r="R251" s="208">
        <v>33.519349312900012</v>
      </c>
      <c r="S251" s="208">
        <v>32.971039503099988</v>
      </c>
      <c r="T251" s="208">
        <v>33.104755748700001</v>
      </c>
      <c r="U251" s="208">
        <v>33.360988549200002</v>
      </c>
      <c r="V251" s="208">
        <v>33.053734901899993</v>
      </c>
      <c r="W251" s="208">
        <v>31.251689850599991</v>
      </c>
      <c r="X251" s="208">
        <v>33.186395027299987</v>
      </c>
      <c r="Y251" s="208">
        <v>33.282593802699992</v>
      </c>
      <c r="Z251" s="208">
        <v>31.4088799761</v>
      </c>
      <c r="AA251" s="208">
        <v>31.5158828177</v>
      </c>
      <c r="AC251" s="210">
        <f ca="1">OFFSET(C251,0,[1]Matrix!$C$2-2000)/$AC$2</f>
        <v>8.7246888822499997</v>
      </c>
    </row>
    <row r="252" spans="1:29" ht="15.5" thickBot="1">
      <c r="A252" s="244"/>
      <c r="B252" s="211" t="s">
        <v>689</v>
      </c>
      <c r="C252" s="212">
        <v>6.3169736537912806</v>
      </c>
      <c r="D252" s="213">
        <v>6.392299306445647</v>
      </c>
      <c r="E252" s="213">
        <v>6.4189739509171329</v>
      </c>
      <c r="F252" s="213">
        <v>6.7106860585376111</v>
      </c>
      <c r="G252" s="213">
        <v>6.8133454757535103</v>
      </c>
      <c r="H252" s="213">
        <v>7.0442711516051926</v>
      </c>
      <c r="I252" s="213">
        <v>5.1961523588337206</v>
      </c>
      <c r="J252" s="213">
        <v>4.562013826392219</v>
      </c>
      <c r="K252" s="213">
        <v>4.6916515811524899</v>
      </c>
      <c r="L252" s="213">
        <v>4.3173981051272534</v>
      </c>
      <c r="M252" s="213">
        <v>4.5409806775076191</v>
      </c>
      <c r="N252" s="213">
        <v>4.7572094608662594</v>
      </c>
      <c r="O252" s="213">
        <v>4.7360185141865516</v>
      </c>
      <c r="P252" s="213">
        <v>4.6163801120902814</v>
      </c>
      <c r="Q252" s="213">
        <v>4.5589216112899864</v>
      </c>
      <c r="R252" s="213">
        <v>4.4582064544382254</v>
      </c>
      <c r="S252" s="213">
        <v>4.4898434676558354</v>
      </c>
      <c r="T252" s="213">
        <v>4.4613851521228511</v>
      </c>
      <c r="U252" s="213">
        <v>4.6019342303296797</v>
      </c>
      <c r="V252" s="213">
        <v>4.5895620153113992</v>
      </c>
      <c r="W252" s="213">
        <v>4.3719515782813128</v>
      </c>
      <c r="X252" s="213">
        <v>4.5865736995316002</v>
      </c>
      <c r="Y252" s="213">
        <v>4.6304341489337011</v>
      </c>
      <c r="Z252" s="213">
        <v>4.3205411488690011</v>
      </c>
      <c r="AA252" s="213">
        <v>3.2542885757928008</v>
      </c>
      <c r="AC252" s="215">
        <f ca="1">OFFSET(C252,0,[1]Matrix!$C$2-2000)/$AC$2</f>
        <v>1.200150319130278</v>
      </c>
    </row>
    <row r="253" spans="1:29" ht="15.5" thickBot="1">
      <c r="A253" s="244"/>
      <c r="B253" s="221" t="s">
        <v>700</v>
      </c>
      <c r="C253" s="222">
        <v>176.52162902930709</v>
      </c>
      <c r="D253" s="223">
        <v>176.2193900390086</v>
      </c>
      <c r="E253" s="223">
        <v>165.78546751975051</v>
      </c>
      <c r="F253" s="223">
        <v>168.89991320333721</v>
      </c>
      <c r="G253" s="223">
        <v>168.97072165098709</v>
      </c>
      <c r="H253" s="223">
        <v>170.97496345512729</v>
      </c>
      <c r="I253" s="223">
        <v>169.6034531407943</v>
      </c>
      <c r="J253" s="223">
        <v>169.74636409016</v>
      </c>
      <c r="K253" s="223">
        <v>170.8537390013376</v>
      </c>
      <c r="L253" s="223">
        <v>157.15723918858581</v>
      </c>
      <c r="M253" s="223">
        <v>166.42478739842679</v>
      </c>
      <c r="N253" s="223">
        <v>161.7414482006736</v>
      </c>
      <c r="O253" s="223">
        <v>162.675478535644</v>
      </c>
      <c r="P253" s="223">
        <v>162.59049665529139</v>
      </c>
      <c r="Q253" s="223">
        <v>154.13114637232999</v>
      </c>
      <c r="R253" s="223">
        <v>152.1245316195666</v>
      </c>
      <c r="S253" s="223">
        <v>153.91311316054899</v>
      </c>
      <c r="T253" s="223">
        <v>152.30078743849089</v>
      </c>
      <c r="U253" s="223">
        <v>151.63899890745779</v>
      </c>
      <c r="V253" s="223">
        <v>149.9242739935473</v>
      </c>
      <c r="W253" s="223">
        <v>143.33170970055971</v>
      </c>
      <c r="X253" s="223">
        <v>151.27046475111649</v>
      </c>
      <c r="Y253" s="223">
        <v>147.57938586843221</v>
      </c>
      <c r="Z253" s="223">
        <v>140.89687762061831</v>
      </c>
      <c r="AA253" s="223">
        <v>141.069861244436</v>
      </c>
      <c r="AC253" s="215">
        <f ca="1">OFFSET(C253,0,[1]Matrix!$C$2-2000)/$AC$2</f>
        <v>39.138021561282862</v>
      </c>
    </row>
    <row r="254" spans="1:29">
      <c r="A254" s="244"/>
      <c r="B254" s="224" t="s">
        <v>738</v>
      </c>
    </row>
    <row r="255" spans="1:29">
      <c r="A255" s="244"/>
      <c r="B255" s="224" t="s">
        <v>753</v>
      </c>
      <c r="AB255" t="s">
        <v>783</v>
      </c>
      <c r="AC255" s="225">
        <f ca="1">SUM(AC248:AC252)</f>
        <v>13.409261757491389</v>
      </c>
    </row>
    <row r="256" spans="1:29">
      <c r="A256" s="244"/>
      <c r="C256" s="225">
        <f>SUM(C248:C252)</f>
        <v>56.158094072631279</v>
      </c>
      <c r="D256" s="225">
        <f t="shared" ref="D256:AA256" si="3">SUM(D248:D252)</f>
        <v>55.569289583645656</v>
      </c>
      <c r="E256" s="225">
        <f t="shared" si="3"/>
        <v>53.891694815707112</v>
      </c>
      <c r="F256" s="225">
        <f t="shared" si="3"/>
        <v>54.125866360077588</v>
      </c>
      <c r="G256" s="225">
        <f t="shared" si="3"/>
        <v>54.782130975013494</v>
      </c>
      <c r="H256" s="225">
        <f t="shared" si="3"/>
        <v>55.022447568995183</v>
      </c>
      <c r="I256" s="225">
        <f t="shared" si="3"/>
        <v>53.925600058213718</v>
      </c>
      <c r="J256" s="225">
        <f t="shared" si="3"/>
        <v>55.163374276532217</v>
      </c>
      <c r="K256" s="225">
        <f t="shared" si="3"/>
        <v>55.679240543932487</v>
      </c>
      <c r="L256" s="225">
        <f t="shared" si="3"/>
        <v>52.089532235427257</v>
      </c>
      <c r="M256" s="225">
        <f t="shared" si="3"/>
        <v>54.283873905607614</v>
      </c>
      <c r="N256" s="225">
        <f t="shared" si="3"/>
        <v>54.743293352966262</v>
      </c>
      <c r="O256" s="225">
        <f t="shared" si="3"/>
        <v>53.850545225586558</v>
      </c>
      <c r="P256" s="225">
        <f t="shared" si="3"/>
        <v>52.85086922719028</v>
      </c>
      <c r="Q256" s="225">
        <f t="shared" si="3"/>
        <v>52.355538445989986</v>
      </c>
      <c r="R256" s="225">
        <f t="shared" si="3"/>
        <v>51.148845743338235</v>
      </c>
      <c r="S256" s="225">
        <f t="shared" si="3"/>
        <v>50.753846155755824</v>
      </c>
      <c r="T256" s="225">
        <f t="shared" si="3"/>
        <v>50.518520499822856</v>
      </c>
      <c r="U256" s="225">
        <f t="shared" si="3"/>
        <v>50.789118881529681</v>
      </c>
      <c r="V256" s="225">
        <f t="shared" si="3"/>
        <v>50.403446705211394</v>
      </c>
      <c r="W256" s="225">
        <f t="shared" si="3"/>
        <v>48.370244470881303</v>
      </c>
      <c r="X256" s="225">
        <f t="shared" si="3"/>
        <v>50.394241395831585</v>
      </c>
      <c r="Y256" s="225">
        <f t="shared" si="3"/>
        <v>50.440268706633695</v>
      </c>
      <c r="Z256" s="225">
        <f t="shared" si="3"/>
        <v>48.273342326969001</v>
      </c>
      <c r="AA256" s="225">
        <f t="shared" si="3"/>
        <v>47.361812680492797</v>
      </c>
    </row>
    <row r="259" spans="2:29" ht="15.5">
      <c r="B259" s="198" t="s">
        <v>784</v>
      </c>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c r="AA259" s="199"/>
    </row>
    <row r="260" spans="2:29">
      <c r="B260" s="200" t="s">
        <v>785</v>
      </c>
      <c r="C260" s="201"/>
      <c r="D260" s="201"/>
      <c r="E260" s="201"/>
      <c r="F260" s="201"/>
      <c r="G260" s="201"/>
      <c r="H260" s="201"/>
      <c r="I260" s="201"/>
      <c r="J260" s="201"/>
      <c r="K260" s="201"/>
      <c r="L260" s="201"/>
      <c r="M260" s="201"/>
      <c r="N260" s="201"/>
      <c r="O260" s="201"/>
      <c r="P260" s="201"/>
      <c r="Q260" s="201"/>
      <c r="R260" s="201"/>
      <c r="S260" s="201"/>
      <c r="T260" s="201"/>
      <c r="U260" s="201"/>
      <c r="V260" s="201"/>
      <c r="W260" s="201"/>
      <c r="X260" s="201"/>
      <c r="Y260" s="201"/>
      <c r="Z260" s="201"/>
      <c r="AA260" s="201"/>
      <c r="AC260" s="202" t="s">
        <v>678</v>
      </c>
    </row>
    <row r="261" spans="2:29" ht="15.5" thickBot="1">
      <c r="B261" s="203" t="s">
        <v>786</v>
      </c>
      <c r="C261" s="204">
        <v>2000</v>
      </c>
      <c r="D261" s="204">
        <v>2001</v>
      </c>
      <c r="E261" s="204">
        <v>2002</v>
      </c>
      <c r="F261" s="204">
        <v>2003</v>
      </c>
      <c r="G261" s="204">
        <v>2004</v>
      </c>
      <c r="H261" s="204">
        <v>2005</v>
      </c>
      <c r="I261" s="204">
        <v>2006</v>
      </c>
      <c r="J261" s="204">
        <v>2007</v>
      </c>
      <c r="K261" s="204">
        <v>2008</v>
      </c>
      <c r="L261" s="204">
        <v>2009</v>
      </c>
      <c r="M261" s="204">
        <v>2010</v>
      </c>
      <c r="N261" s="204">
        <v>2011</v>
      </c>
      <c r="O261" s="204">
        <v>2012</v>
      </c>
      <c r="P261" s="204">
        <v>2013</v>
      </c>
      <c r="Q261" s="204">
        <v>2014</v>
      </c>
      <c r="R261" s="204">
        <v>2015</v>
      </c>
      <c r="S261" s="204">
        <v>2016</v>
      </c>
      <c r="T261" s="204">
        <v>2017</v>
      </c>
      <c r="U261" s="204">
        <v>2018</v>
      </c>
      <c r="V261" s="204">
        <v>2019</v>
      </c>
      <c r="W261" s="204">
        <v>2020</v>
      </c>
      <c r="X261" s="204">
        <v>2021</v>
      </c>
      <c r="Y261" s="204">
        <v>2022</v>
      </c>
      <c r="Z261" s="204">
        <v>2023</v>
      </c>
      <c r="AA261" s="204" t="s">
        <v>680</v>
      </c>
      <c r="AC261" s="205">
        <f ca="1">OFFSET(C261,0,[1]Matrix!$C$2-2000)</f>
        <v>2023</v>
      </c>
    </row>
    <row r="262" spans="2:29" ht="15">
      <c r="B262" s="206" t="s">
        <v>787</v>
      </c>
      <c r="C262" s="207">
        <v>4.3440000000000074</v>
      </c>
      <c r="D262" s="208">
        <v>4.1387838675300586</v>
      </c>
      <c r="E262" s="208">
        <v>3.8662402560000508</v>
      </c>
      <c r="F262" s="208">
        <v>3.5737047089750038</v>
      </c>
      <c r="G262" s="208">
        <v>3.463097201600001</v>
      </c>
      <c r="H262" s="208">
        <v>3.3350000000000022</v>
      </c>
      <c r="I262" s="208">
        <v>3.3470392941850129</v>
      </c>
      <c r="J262" s="208">
        <v>3.4876625233576779</v>
      </c>
      <c r="K262" s="208">
        <v>3.1366668654680931</v>
      </c>
      <c r="L262" s="208">
        <v>3.2538843338667558</v>
      </c>
      <c r="M262" s="208">
        <v>3.2961546487913451</v>
      </c>
      <c r="N262" s="208">
        <v>3.2490000000000032</v>
      </c>
      <c r="O262" s="208">
        <v>3.426606655764326</v>
      </c>
      <c r="P262" s="208">
        <v>3.37078214526669</v>
      </c>
      <c r="Q262" s="208">
        <v>3.5540655999999942</v>
      </c>
      <c r="R262" s="208">
        <v>3.4668138533512098</v>
      </c>
      <c r="S262" s="208">
        <v>3.567469457923552</v>
      </c>
      <c r="T262" s="208">
        <v>3.126373858954917</v>
      </c>
      <c r="U262" s="208">
        <v>3.0562271716835969</v>
      </c>
      <c r="V262" s="208">
        <v>2.8938294778268898</v>
      </c>
      <c r="W262" s="208">
        <v>2.4598463007890499</v>
      </c>
      <c r="X262" s="208">
        <v>2.1276515568533498</v>
      </c>
      <c r="Y262" s="208">
        <v>2.3009967855246432</v>
      </c>
      <c r="Z262" s="208">
        <v>2.741187474929363</v>
      </c>
      <c r="AA262" s="209">
        <v>-0.3689715757529099</v>
      </c>
      <c r="AC262" s="210">
        <f ca="1">OFFSET(C262,0,[1]Matrix!$C$2-2000)/$AC$2</f>
        <v>0.76144096525815641</v>
      </c>
    </row>
    <row r="263" spans="2:29" ht="15">
      <c r="B263" s="206" t="s">
        <v>788</v>
      </c>
      <c r="C263" s="207">
        <v>9.6073408270041938</v>
      </c>
      <c r="D263" s="208">
        <v>9.8117470157235402</v>
      </c>
      <c r="E263" s="208">
        <v>10.175611079220181</v>
      </c>
      <c r="F263" s="208">
        <v>10.81252607617456</v>
      </c>
      <c r="G263" s="208">
        <v>10.679681789082339</v>
      </c>
      <c r="H263" s="208">
        <v>10.832819077778311</v>
      </c>
      <c r="I263" s="208">
        <v>11.21469030265443</v>
      </c>
      <c r="J263" s="208">
        <v>11.182299621447321</v>
      </c>
      <c r="K263" s="208">
        <v>11.398791554875739</v>
      </c>
      <c r="L263" s="208">
        <v>11.14116031309625</v>
      </c>
      <c r="M263" s="208">
        <v>11.470694863346001</v>
      </c>
      <c r="N263" s="208">
        <v>11.10507084997816</v>
      </c>
      <c r="O263" s="208">
        <v>11.22156749023555</v>
      </c>
      <c r="P263" s="208">
        <v>11.376371063670479</v>
      </c>
      <c r="Q263" s="208">
        <v>11.12450629181394</v>
      </c>
      <c r="R263" s="208">
        <v>11.33146611718684</v>
      </c>
      <c r="S263" s="208">
        <v>11.55768536801193</v>
      </c>
      <c r="T263" s="208">
        <v>11.3639176445175</v>
      </c>
      <c r="U263" s="208">
        <v>11.16591098376634</v>
      </c>
      <c r="V263" s="208">
        <v>11.00892046416539</v>
      </c>
      <c r="W263" s="208">
        <v>10.15713451046228</v>
      </c>
      <c r="X263" s="208">
        <v>10.59148138960199</v>
      </c>
      <c r="Y263" s="208">
        <v>10.75494991479392</v>
      </c>
      <c r="Z263" s="208">
        <v>10.769340307262651</v>
      </c>
      <c r="AA263" s="209">
        <v>0.1209491264213635</v>
      </c>
      <c r="AC263" s="210">
        <f ca="1">OFFSET(C263,0,[1]Matrix!$C$2-2000)/$AC$2</f>
        <v>2.9914834186840698</v>
      </c>
    </row>
    <row r="264" spans="2:29" ht="15">
      <c r="B264" s="206" t="s">
        <v>789</v>
      </c>
      <c r="C264" s="207">
        <v>195.00360303953209</v>
      </c>
      <c r="D264" s="208">
        <v>195.96949444488521</v>
      </c>
      <c r="E264" s="208">
        <v>196.74799674764139</v>
      </c>
      <c r="F264" s="208">
        <v>197.35610068860669</v>
      </c>
      <c r="G264" s="208">
        <v>198.04030218427241</v>
      </c>
      <c r="H264" s="208">
        <v>197.67456900071591</v>
      </c>
      <c r="I264" s="208">
        <v>197.7021700915648</v>
      </c>
      <c r="J264" s="208">
        <v>198.58858435348009</v>
      </c>
      <c r="K264" s="208">
        <v>200.65107979233341</v>
      </c>
      <c r="L264" s="208">
        <v>202.35812139872249</v>
      </c>
      <c r="M264" s="208">
        <v>203.57374233511041</v>
      </c>
      <c r="N264" s="208">
        <v>203.42312197429541</v>
      </c>
      <c r="O264" s="208">
        <v>203.04562894171411</v>
      </c>
      <c r="P264" s="208">
        <v>203.54153884274541</v>
      </c>
      <c r="Q264" s="208">
        <v>203.76078382697179</v>
      </c>
      <c r="R264" s="208">
        <v>204.0635056747646</v>
      </c>
      <c r="S264" s="208">
        <v>204.99515658385391</v>
      </c>
      <c r="T264" s="208">
        <v>200.68804403729601</v>
      </c>
      <c r="U264" s="208">
        <v>199.98142309590531</v>
      </c>
      <c r="V264" s="208">
        <v>199.88354111633001</v>
      </c>
      <c r="W264" s="208">
        <v>181.69601389915971</v>
      </c>
      <c r="X264" s="208">
        <v>189.17665306076921</v>
      </c>
      <c r="Y264" s="208">
        <v>193.27556504877441</v>
      </c>
      <c r="Z264" s="208">
        <v>191.89262666055541</v>
      </c>
      <c r="AA264" s="209">
        <v>-1.5953430246855561E-2</v>
      </c>
      <c r="AC264" s="210">
        <f ca="1">OFFSET(C264,0,[1]Matrix!$C$2-2000)/$AC$2</f>
        <v>53.303507405709837</v>
      </c>
    </row>
    <row r="265" spans="2:29" ht="15">
      <c r="B265" s="206" t="s">
        <v>790</v>
      </c>
      <c r="C265" s="207">
        <v>1.408849442623449</v>
      </c>
      <c r="D265" s="208">
        <v>1.400581563838122</v>
      </c>
      <c r="E265" s="208">
        <v>1.3923114855675029</v>
      </c>
      <c r="F265" s="208">
        <v>1.384039195708314</v>
      </c>
      <c r="G265" s="208">
        <v>1.3757646974224249</v>
      </c>
      <c r="H265" s="208">
        <v>1.367488032392896</v>
      </c>
      <c r="I265" s="208">
        <v>1.375221505764364</v>
      </c>
      <c r="J265" s="208">
        <v>1.382961487148447</v>
      </c>
      <c r="K265" s="208">
        <v>1.3907079713697279</v>
      </c>
      <c r="L265" s="208">
        <v>1.398460941471942</v>
      </c>
      <c r="M265" s="208">
        <v>1.406220340073816</v>
      </c>
      <c r="N265" s="208">
        <v>1.4068993318929091</v>
      </c>
      <c r="O265" s="208">
        <v>1.4075795947003491</v>
      </c>
      <c r="P265" s="208">
        <v>1.408261066968967</v>
      </c>
      <c r="Q265" s="208">
        <v>1.40858707364984</v>
      </c>
      <c r="R265" s="208">
        <v>1.408913117934405</v>
      </c>
      <c r="S265" s="208">
        <v>1.408320912631438</v>
      </c>
      <c r="T265" s="208">
        <v>1.4077287504038389</v>
      </c>
      <c r="U265" s="208">
        <v>1.4071365584315929</v>
      </c>
      <c r="V265" s="208">
        <v>1.406544387207741</v>
      </c>
      <c r="W265" s="208">
        <v>1.405952206659989</v>
      </c>
      <c r="X265" s="208">
        <v>1.405793945430446</v>
      </c>
      <c r="Y265" s="208">
        <v>1.4056357151560519</v>
      </c>
      <c r="Z265" s="208">
        <v>1.4054774771003531</v>
      </c>
      <c r="AA265" s="209">
        <v>-2.3934179345783749E-3</v>
      </c>
      <c r="AC265" s="210">
        <f ca="1">OFFSET(C265,0,[1]Matrix!$C$2-2000)/$AC$2</f>
        <v>0.3904104103056536</v>
      </c>
    </row>
    <row r="266" spans="2:29" ht="15.5" thickBot="1">
      <c r="B266" s="211" t="s">
        <v>791</v>
      </c>
      <c r="C266" s="212">
        <v>15.06946490207322</v>
      </c>
      <c r="D266" s="213">
        <v>15.123189437993901</v>
      </c>
      <c r="E266" s="213">
        <v>15.1769568039895</v>
      </c>
      <c r="F266" s="213">
        <v>15.230766809647781</v>
      </c>
      <c r="G266" s="213">
        <v>15.28461950174732</v>
      </c>
      <c r="H266" s="213">
        <v>15.338515538095031</v>
      </c>
      <c r="I266" s="213">
        <v>15.449455964220901</v>
      </c>
      <c r="J266" s="213">
        <v>15.56047644202825</v>
      </c>
      <c r="K266" s="213">
        <v>15.671576886382461</v>
      </c>
      <c r="L266" s="213">
        <v>15.782757031368011</v>
      </c>
      <c r="M266" s="213">
        <v>15.89401608197891</v>
      </c>
      <c r="N266" s="213">
        <v>15.90594260996949</v>
      </c>
      <c r="O266" s="213">
        <v>15.91788773217729</v>
      </c>
      <c r="P266" s="213">
        <v>15.92985091942521</v>
      </c>
      <c r="Q266" s="213">
        <v>15.93740564585881</v>
      </c>
      <c r="R266" s="213">
        <v>15.94496114005964</v>
      </c>
      <c r="S266" s="213">
        <v>15.942486210469299</v>
      </c>
      <c r="T266" s="213">
        <v>15.94001174069612</v>
      </c>
      <c r="U266" s="213">
        <v>15.93753699176891</v>
      </c>
      <c r="V266" s="213">
        <v>15.93506259817952</v>
      </c>
      <c r="W266" s="213">
        <v>15.932587867233639</v>
      </c>
      <c r="X266" s="213">
        <v>15.937815189403359</v>
      </c>
      <c r="Y266" s="213">
        <v>15.943042979049309</v>
      </c>
      <c r="Z266" s="213">
        <v>15.948270431523911</v>
      </c>
      <c r="AA266" s="214">
        <v>5.8316969790333253E-2</v>
      </c>
      <c r="AC266" s="215">
        <f ca="1">OFFSET(C266,0,[1]Matrix!$C$2-2000)/$AC$2</f>
        <v>4.4300751198677526</v>
      </c>
    </row>
    <row r="267" spans="2:29" ht="15.5" thickBot="1">
      <c r="B267" s="221" t="s">
        <v>61</v>
      </c>
      <c r="C267" s="222">
        <v>225.43325821123301</v>
      </c>
      <c r="D267" s="223">
        <v>226.44379632997081</v>
      </c>
      <c r="E267" s="223">
        <v>227.35911637241861</v>
      </c>
      <c r="F267" s="223">
        <v>228.3571374791124</v>
      </c>
      <c r="G267" s="223">
        <v>228.84346537412449</v>
      </c>
      <c r="H267" s="223">
        <v>228.54839164898209</v>
      </c>
      <c r="I267" s="223">
        <v>229.08857715838951</v>
      </c>
      <c r="J267" s="223">
        <v>230.20198442746181</v>
      </c>
      <c r="K267" s="223">
        <v>232.24882307042941</v>
      </c>
      <c r="L267" s="223">
        <v>233.93438401852549</v>
      </c>
      <c r="M267" s="223">
        <v>235.6408282693005</v>
      </c>
      <c r="N267" s="223">
        <v>235.090034766136</v>
      </c>
      <c r="O267" s="223">
        <v>235.0192704145916</v>
      </c>
      <c r="P267" s="223">
        <v>235.6268040380767</v>
      </c>
      <c r="Q267" s="223">
        <v>235.78534843829439</v>
      </c>
      <c r="R267" s="223">
        <v>236.21565990329671</v>
      </c>
      <c r="S267" s="223">
        <v>237.47111853289019</v>
      </c>
      <c r="T267" s="223">
        <v>232.5260760318684</v>
      </c>
      <c r="U267" s="223">
        <v>231.54823480155579</v>
      </c>
      <c r="V267" s="223">
        <v>231.12789804370951</v>
      </c>
      <c r="W267" s="223">
        <v>211.65153478430469</v>
      </c>
      <c r="X267" s="223">
        <v>219.2393951420583</v>
      </c>
      <c r="Y267" s="223">
        <v>223.6801904432983</v>
      </c>
      <c r="Z267" s="223">
        <v>222.75690235137171</v>
      </c>
      <c r="AA267" s="219">
        <v>-1.1872054199533759E-2</v>
      </c>
      <c r="AC267" s="220">
        <f ca="1">OFFSET(C267,0,[1]Matrix!$C$2-2000)/$AC$2</f>
        <v>61.876917319825473</v>
      </c>
    </row>
    <row r="271" spans="2:29" ht="15.5">
      <c r="B271" s="198" t="s">
        <v>792</v>
      </c>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c r="AA271" s="199"/>
    </row>
    <row r="272" spans="2:29">
      <c r="B272" s="200" t="s">
        <v>785</v>
      </c>
      <c r="C272" s="201"/>
      <c r="D272" s="201"/>
      <c r="E272" s="201"/>
      <c r="F272" s="201"/>
      <c r="G272" s="201"/>
      <c r="H272" s="201"/>
      <c r="I272" s="201"/>
      <c r="J272" s="201"/>
      <c r="K272" s="201"/>
      <c r="L272" s="201"/>
      <c r="M272" s="201"/>
      <c r="N272" s="201"/>
      <c r="O272" s="201"/>
      <c r="P272" s="201"/>
      <c r="Q272" s="201"/>
      <c r="R272" s="201"/>
      <c r="S272" s="201"/>
      <c r="T272" s="201"/>
      <c r="U272" s="201"/>
      <c r="V272" s="201"/>
      <c r="W272" s="201"/>
      <c r="X272" s="201"/>
      <c r="Y272" s="201"/>
      <c r="Z272" s="201"/>
      <c r="AA272" s="201"/>
      <c r="AC272" s="202" t="s">
        <v>678</v>
      </c>
    </row>
    <row r="273" spans="2:29" ht="15.5" thickBot="1">
      <c r="B273" s="203" t="s">
        <v>707</v>
      </c>
      <c r="C273" s="204">
        <v>2000</v>
      </c>
      <c r="D273" s="204">
        <v>2001</v>
      </c>
      <c r="E273" s="204">
        <v>2002</v>
      </c>
      <c r="F273" s="204">
        <v>2003</v>
      </c>
      <c r="G273" s="204">
        <v>2004</v>
      </c>
      <c r="H273" s="204">
        <v>2005</v>
      </c>
      <c r="I273" s="204">
        <v>2006</v>
      </c>
      <c r="J273" s="204">
        <v>2007</v>
      </c>
      <c r="K273" s="204">
        <v>2008</v>
      </c>
      <c r="L273" s="204">
        <v>2009</v>
      </c>
      <c r="M273" s="204">
        <v>2010</v>
      </c>
      <c r="N273" s="204">
        <v>2011</v>
      </c>
      <c r="O273" s="204">
        <v>2012</v>
      </c>
      <c r="P273" s="204">
        <v>2013</v>
      </c>
      <c r="Q273" s="204">
        <v>2014</v>
      </c>
      <c r="R273" s="204">
        <v>2015</v>
      </c>
      <c r="S273" s="204">
        <v>2016</v>
      </c>
      <c r="T273" s="204">
        <v>2017</v>
      </c>
      <c r="U273" s="204">
        <v>2018</v>
      </c>
      <c r="V273" s="204">
        <v>2019</v>
      </c>
      <c r="W273" s="204">
        <v>2020</v>
      </c>
      <c r="X273" s="204">
        <v>2021</v>
      </c>
      <c r="Y273" s="204">
        <v>2022</v>
      </c>
      <c r="Z273" s="204">
        <v>2023</v>
      </c>
      <c r="AA273" s="204" t="s">
        <v>680</v>
      </c>
      <c r="AC273" s="205">
        <f ca="1">OFFSET(C273,0,[1]Matrix!$C$2-2000)</f>
        <v>2023</v>
      </c>
    </row>
    <row r="274" spans="2:29" ht="15">
      <c r="B274" s="206" t="s">
        <v>793</v>
      </c>
      <c r="C274" s="207">
        <v>149.54488735798111</v>
      </c>
      <c r="D274" s="208">
        <v>149.1838837439409</v>
      </c>
      <c r="E274" s="208">
        <v>148.24526430761179</v>
      </c>
      <c r="F274" s="208">
        <v>145.57307084117079</v>
      </c>
      <c r="G274" s="208">
        <v>142.72057468261019</v>
      </c>
      <c r="H274" s="208">
        <v>138.61584032318279</v>
      </c>
      <c r="I274" s="208">
        <v>134.50102840256471</v>
      </c>
      <c r="J274" s="208">
        <v>130.6194083934206</v>
      </c>
      <c r="K274" s="208">
        <v>128.19415592003881</v>
      </c>
      <c r="L274" s="208">
        <v>125.5762423579462</v>
      </c>
      <c r="M274" s="208">
        <v>121.7421014441752</v>
      </c>
      <c r="N274" s="208">
        <v>116.89625077933501</v>
      </c>
      <c r="O274" s="208">
        <v>111.9157532843504</v>
      </c>
      <c r="P274" s="208">
        <v>107.1758941104306</v>
      </c>
      <c r="Q274" s="208">
        <v>103.0527647568158</v>
      </c>
      <c r="R274" s="208">
        <v>98.668046058951603</v>
      </c>
      <c r="S274" s="208">
        <v>95.199612373932126</v>
      </c>
      <c r="T274" s="208">
        <v>90.793024007920224</v>
      </c>
      <c r="U274" s="208">
        <v>89.246031462094422</v>
      </c>
      <c r="V274" s="208">
        <v>87.909865639299966</v>
      </c>
      <c r="W274" s="208">
        <v>79.214369593105161</v>
      </c>
      <c r="X274" s="208">
        <v>82.026797439967567</v>
      </c>
      <c r="Y274" s="208">
        <v>82.387176938405588</v>
      </c>
      <c r="Z274" s="208">
        <v>83.277027515093465</v>
      </c>
      <c r="AA274" s="209">
        <v>-0.4431302267409209</v>
      </c>
      <c r="AC274" s="210">
        <f ca="1">OFFSET(C274,0,[1]Matrix!$C$2-2000)/$AC$2</f>
        <v>23.132507643081517</v>
      </c>
    </row>
    <row r="275" spans="2:29" ht="15">
      <c r="B275" s="206" t="s">
        <v>794</v>
      </c>
      <c r="C275" s="207">
        <v>60.85583843134345</v>
      </c>
      <c r="D275" s="208">
        <v>62.208060561707597</v>
      </c>
      <c r="E275" s="208">
        <v>63.983197267204389</v>
      </c>
      <c r="F275" s="208">
        <v>67.264361884274152</v>
      </c>
      <c r="G275" s="208">
        <v>70.817963032297371</v>
      </c>
      <c r="H275" s="208">
        <v>74.474788934097347</v>
      </c>
      <c r="I275" s="208">
        <v>78.680766273807464</v>
      </c>
      <c r="J275" s="208">
        <v>83.341019975844304</v>
      </c>
      <c r="K275" s="208">
        <v>87.873713069011231</v>
      </c>
      <c r="L275" s="208">
        <v>92.176009230431362</v>
      </c>
      <c r="M275" s="208">
        <v>97.154192333777388</v>
      </c>
      <c r="N275" s="208">
        <v>101.87594574037669</v>
      </c>
      <c r="O275" s="208">
        <v>106.39321805720979</v>
      </c>
      <c r="P275" s="208">
        <v>111.6672212773545</v>
      </c>
      <c r="Q275" s="208">
        <v>115.6752087033416</v>
      </c>
      <c r="R275" s="208">
        <v>119.1782147030697</v>
      </c>
      <c r="S275" s="208">
        <v>122.1657855202144</v>
      </c>
      <c r="T275" s="208">
        <v>120.52124936544909</v>
      </c>
      <c r="U275" s="208">
        <v>119.59338114319119</v>
      </c>
      <c r="V275" s="208">
        <v>120.4656829634385</v>
      </c>
      <c r="W275" s="208">
        <v>111.4667101775311</v>
      </c>
      <c r="X275" s="208">
        <v>116.1895751573107</v>
      </c>
      <c r="Y275" s="208">
        <v>118.9291388272068</v>
      </c>
      <c r="Z275" s="208">
        <v>115.5251607962925</v>
      </c>
      <c r="AA275" s="209">
        <v>0.89834145373949803</v>
      </c>
      <c r="AC275" s="210">
        <f ca="1">OFFSET(C275,0,[1]Matrix!$C$2-2000)/$AC$2</f>
        <v>32.090322443414578</v>
      </c>
    </row>
    <row r="276" spans="2:29" ht="15">
      <c r="B276" s="206" t="s">
        <v>795</v>
      </c>
      <c r="C276" s="207">
        <v>4.3440000000000074</v>
      </c>
      <c r="D276" s="208">
        <v>4.1387838675300586</v>
      </c>
      <c r="E276" s="208">
        <v>3.8662402560000508</v>
      </c>
      <c r="F276" s="208">
        <v>3.5737047089750038</v>
      </c>
      <c r="G276" s="208">
        <v>3.463097201600001</v>
      </c>
      <c r="H276" s="208">
        <v>3.3350000000000022</v>
      </c>
      <c r="I276" s="208">
        <v>3.3470392941850129</v>
      </c>
      <c r="J276" s="208">
        <v>3.4876625233576779</v>
      </c>
      <c r="K276" s="208">
        <v>3.1366668654680931</v>
      </c>
      <c r="L276" s="208">
        <v>3.2538843338667558</v>
      </c>
      <c r="M276" s="208">
        <v>3.2961546487913451</v>
      </c>
      <c r="N276" s="208">
        <v>3.2490000000000032</v>
      </c>
      <c r="O276" s="208">
        <v>3.426606655764326</v>
      </c>
      <c r="P276" s="208">
        <v>3.37078214526669</v>
      </c>
      <c r="Q276" s="208">
        <v>3.5540655999999942</v>
      </c>
      <c r="R276" s="208">
        <v>3.4668138533512098</v>
      </c>
      <c r="S276" s="208">
        <v>3.567469457923552</v>
      </c>
      <c r="T276" s="208">
        <v>3.126373858954917</v>
      </c>
      <c r="U276" s="208">
        <v>3.0562271716835969</v>
      </c>
      <c r="V276" s="208">
        <v>2.8938294778268898</v>
      </c>
      <c r="W276" s="208">
        <v>2.4598463007890499</v>
      </c>
      <c r="X276" s="208">
        <v>2.1276515568533498</v>
      </c>
      <c r="Y276" s="208">
        <v>2.3009967855246432</v>
      </c>
      <c r="Z276" s="208">
        <v>2.741187474929363</v>
      </c>
      <c r="AA276" s="209">
        <v>-0.3689715757529099</v>
      </c>
      <c r="AC276" s="210">
        <f ca="1">OFFSET(C276,0,[1]Matrix!$C$2-2000)/$AC$2</f>
        <v>0.76144096525815641</v>
      </c>
    </row>
    <row r="277" spans="2:29" ht="15">
      <c r="B277" s="206" t="s">
        <v>796</v>
      </c>
      <c r="C277" s="207">
        <v>5.8681697018212083E-2</v>
      </c>
      <c r="D277" s="208">
        <v>7.0657370115758109E-2</v>
      </c>
      <c r="E277" s="208">
        <v>6.4799788814312267E-2</v>
      </c>
      <c r="F277" s="208">
        <v>8.2732122420772394E-2</v>
      </c>
      <c r="G277" s="208">
        <v>0.12472484188834421</v>
      </c>
      <c r="H277" s="208">
        <v>0.23074992707418701</v>
      </c>
      <c r="I277" s="208">
        <v>0.28871897207594571</v>
      </c>
      <c r="J277" s="208">
        <v>0.38057297977525212</v>
      </c>
      <c r="K277" s="208">
        <v>0.4059774468498647</v>
      </c>
      <c r="L277" s="208">
        <v>0.37245985243654878</v>
      </c>
      <c r="M277" s="208">
        <v>0.44904208483032521</v>
      </c>
      <c r="N277" s="208">
        <v>0.52679106849893675</v>
      </c>
      <c r="O277" s="208">
        <v>0.58646882181869964</v>
      </c>
      <c r="P277" s="208">
        <v>0.58932233413746449</v>
      </c>
      <c r="Q277" s="208">
        <v>0.91785161507320023</v>
      </c>
      <c r="R277" s="208">
        <v>2.053894630886461</v>
      </c>
      <c r="S277" s="208">
        <v>3.40395889034273</v>
      </c>
      <c r="T277" s="208">
        <v>5.1262859817022068</v>
      </c>
      <c r="U277" s="208">
        <v>6.787648099707436</v>
      </c>
      <c r="V277" s="208">
        <v>7.0836301326111277</v>
      </c>
      <c r="W277" s="208">
        <v>6.5486109332526992</v>
      </c>
      <c r="X277" s="208">
        <v>6.1088264055306842</v>
      </c>
      <c r="Y277" s="208">
        <v>6.4272471951473173</v>
      </c>
      <c r="Z277" s="208">
        <v>6.9032329999247697</v>
      </c>
      <c r="AA277" s="209">
        <v>116.63860540335649</v>
      </c>
      <c r="AC277" s="210">
        <f ca="1">OFFSET(C277,0,[1]Matrix!$C$2-2000)/$AC$2</f>
        <v>1.9175647222013248</v>
      </c>
    </row>
    <row r="278" spans="2:29" ht="15">
      <c r="B278" s="206" t="s">
        <v>797</v>
      </c>
      <c r="C278" s="207">
        <v>0.29381314074735732</v>
      </c>
      <c r="D278" s="208">
        <v>0.3019870102030387</v>
      </c>
      <c r="E278" s="208">
        <v>0.30361068173832118</v>
      </c>
      <c r="F278" s="208">
        <v>0.30208377922916563</v>
      </c>
      <c r="G278" s="208">
        <v>0.31874677200968721</v>
      </c>
      <c r="H278" s="208">
        <v>0.34327325958802801</v>
      </c>
      <c r="I278" s="208">
        <v>0.32846960632977967</v>
      </c>
      <c r="J278" s="208">
        <v>0.49413588001017622</v>
      </c>
      <c r="K278" s="208">
        <v>0.52367288031446557</v>
      </c>
      <c r="L278" s="208">
        <v>0.72408836823963862</v>
      </c>
      <c r="M278" s="208">
        <v>0.81332969806248379</v>
      </c>
      <c r="N278" s="208">
        <v>0.66039882465909661</v>
      </c>
      <c r="O278" s="208">
        <v>0.65855837560649189</v>
      </c>
      <c r="P278" s="208">
        <v>0.64870938252160337</v>
      </c>
      <c r="Q278" s="208">
        <v>0.65223921069689705</v>
      </c>
      <c r="R278" s="208">
        <v>0.63677886390350713</v>
      </c>
      <c r="S278" s="208">
        <v>0.64748750979929892</v>
      </c>
      <c r="T278" s="208">
        <v>0.60606460221851244</v>
      </c>
      <c r="U278" s="208">
        <v>0.61011988938504891</v>
      </c>
      <c r="V278" s="208">
        <v>0.59268052038863894</v>
      </c>
      <c r="W278" s="208">
        <v>0.52569063996733822</v>
      </c>
      <c r="X278" s="208">
        <v>0.57542174911533672</v>
      </c>
      <c r="Y278" s="208">
        <v>0.551947498196245</v>
      </c>
      <c r="Z278" s="208">
        <v>0.60703189702504934</v>
      </c>
      <c r="AA278" s="209">
        <v>1.0660474731694221</v>
      </c>
      <c r="AC278" s="210">
        <f ca="1">OFFSET(C278,0,[1]Matrix!$C$2-2000)/$AC$2</f>
        <v>0.16861997139584703</v>
      </c>
    </row>
    <row r="279" spans="2:29" ht="15.5" thickBot="1">
      <c r="B279" s="211" t="s">
        <v>161</v>
      </c>
      <c r="C279" s="212">
        <v>10.33603758414284</v>
      </c>
      <c r="D279" s="213">
        <v>10.540423776473419</v>
      </c>
      <c r="E279" s="213">
        <v>10.89600407104972</v>
      </c>
      <c r="F279" s="213">
        <v>11.56118414304256</v>
      </c>
      <c r="G279" s="213">
        <v>11.398358843719009</v>
      </c>
      <c r="H279" s="213">
        <v>11.548739205039769</v>
      </c>
      <c r="I279" s="213">
        <v>11.94255460942659</v>
      </c>
      <c r="J279" s="213">
        <v>11.879184675053761</v>
      </c>
      <c r="K279" s="213">
        <v>12.11463688874696</v>
      </c>
      <c r="L279" s="213">
        <v>11.83169987560496</v>
      </c>
      <c r="M279" s="213">
        <v>12.186008059663701</v>
      </c>
      <c r="N279" s="213">
        <v>11.881648353266209</v>
      </c>
      <c r="O279" s="213">
        <v>12.03866521984186</v>
      </c>
      <c r="P279" s="213">
        <v>12.17487478836582</v>
      </c>
      <c r="Q279" s="213">
        <v>11.9332185523668</v>
      </c>
      <c r="R279" s="213">
        <v>12.211911793134229</v>
      </c>
      <c r="S279" s="213">
        <v>12.48680478067801</v>
      </c>
      <c r="T279" s="213">
        <v>12.353078215623411</v>
      </c>
      <c r="U279" s="213">
        <v>12.254827035493919</v>
      </c>
      <c r="V279" s="213">
        <v>12.182209310144399</v>
      </c>
      <c r="W279" s="213">
        <v>11.436307139659251</v>
      </c>
      <c r="X279" s="213">
        <v>12.21112283328061</v>
      </c>
      <c r="Y279" s="213">
        <v>13.08368319881774</v>
      </c>
      <c r="Z279" s="213">
        <v>13.703261668106551</v>
      </c>
      <c r="AA279" s="214">
        <v>0.32577513931737018</v>
      </c>
      <c r="AC279" s="215">
        <f ca="1">OFFSET(C279,0,[1]Matrix!$C$2-2000)/$AC$2</f>
        <v>3.8064615744740418</v>
      </c>
    </row>
    <row r="280" spans="2:29" ht="15.5" thickBot="1">
      <c r="B280" s="221" t="s">
        <v>61</v>
      </c>
      <c r="C280" s="222">
        <v>225.43325821123301</v>
      </c>
      <c r="D280" s="223">
        <v>226.44379632997081</v>
      </c>
      <c r="E280" s="223">
        <v>227.35911637241861</v>
      </c>
      <c r="F280" s="223">
        <v>228.35713747911251</v>
      </c>
      <c r="G280" s="223">
        <v>228.84346537412449</v>
      </c>
      <c r="H280" s="223">
        <v>228.54839164898209</v>
      </c>
      <c r="I280" s="223">
        <v>229.08857715838951</v>
      </c>
      <c r="J280" s="223">
        <v>230.2019844274617</v>
      </c>
      <c r="K280" s="223">
        <v>232.24882307042949</v>
      </c>
      <c r="L280" s="223">
        <v>233.93438401852549</v>
      </c>
      <c r="M280" s="223">
        <v>235.64082826930041</v>
      </c>
      <c r="N280" s="223">
        <v>235.090034766136</v>
      </c>
      <c r="O280" s="223">
        <v>235.0192704145916</v>
      </c>
      <c r="P280" s="223">
        <v>235.6268040380767</v>
      </c>
      <c r="Q280" s="223">
        <v>235.78534843829439</v>
      </c>
      <c r="R280" s="223">
        <v>236.21565990329671</v>
      </c>
      <c r="S280" s="223">
        <v>237.4711185328901</v>
      </c>
      <c r="T280" s="223">
        <v>232.5260760318684</v>
      </c>
      <c r="U280" s="223">
        <v>231.54823480155571</v>
      </c>
      <c r="V280" s="223">
        <v>231.12789804370951</v>
      </c>
      <c r="W280" s="223">
        <v>211.6515347843046</v>
      </c>
      <c r="X280" s="223">
        <v>219.2393951420583</v>
      </c>
      <c r="Y280" s="223">
        <v>223.68019044329839</v>
      </c>
      <c r="Z280" s="223">
        <v>222.75690235137179</v>
      </c>
      <c r="AA280" s="219">
        <v>-1.1872054199533509E-2</v>
      </c>
      <c r="AC280" s="220">
        <f ca="1">OFFSET(C280,0,[1]Matrix!$C$2-2000)/$AC$2</f>
        <v>61.876917319825495</v>
      </c>
    </row>
    <row r="286" spans="2:29" ht="15.5">
      <c r="B286" s="198" t="s">
        <v>798</v>
      </c>
      <c r="C286" s="199"/>
      <c r="D286" s="199"/>
      <c r="E286" s="199"/>
      <c r="F286" s="199"/>
      <c r="G286" s="199"/>
      <c r="H286" s="199"/>
      <c r="I286" s="199"/>
      <c r="J286" s="199"/>
    </row>
    <row r="287" spans="2:29">
      <c r="B287" s="200" t="s">
        <v>799</v>
      </c>
      <c r="C287" s="201"/>
      <c r="D287" s="201"/>
      <c r="E287" s="201"/>
      <c r="F287" s="201"/>
      <c r="G287" s="201"/>
      <c r="H287" s="201"/>
      <c r="I287" s="201"/>
      <c r="J287" s="201"/>
    </row>
    <row r="288" spans="2:29" ht="15.5" thickBot="1">
      <c r="B288" s="203" t="s">
        <v>707</v>
      </c>
      <c r="C288" s="204" t="s">
        <v>800</v>
      </c>
      <c r="D288" s="204" t="s">
        <v>801</v>
      </c>
      <c r="E288" s="204" t="s">
        <v>802</v>
      </c>
      <c r="F288" s="204" t="s">
        <v>803</v>
      </c>
      <c r="G288" s="204" t="s">
        <v>804</v>
      </c>
      <c r="H288" s="204" t="s">
        <v>805</v>
      </c>
      <c r="I288" s="204" t="s">
        <v>806</v>
      </c>
      <c r="J288" s="204" t="s">
        <v>61</v>
      </c>
    </row>
    <row r="289" spans="2:10" ht="15">
      <c r="B289" s="232" t="s">
        <v>807</v>
      </c>
      <c r="C289" s="233"/>
      <c r="D289" s="233"/>
      <c r="E289" s="233"/>
      <c r="F289" s="233"/>
      <c r="G289" s="233"/>
      <c r="H289" s="233"/>
      <c r="I289" s="233"/>
      <c r="J289" s="234"/>
    </row>
    <row r="290" spans="2:10">
      <c r="B290" s="235" t="s">
        <v>808</v>
      </c>
      <c r="C290" s="236">
        <v>114.49088759397409</v>
      </c>
      <c r="D290" s="236">
        <v>2.7575406759673178</v>
      </c>
      <c r="E290" s="236">
        <v>0</v>
      </c>
      <c r="F290" s="236">
        <v>0</v>
      </c>
      <c r="G290" s="236">
        <v>0</v>
      </c>
      <c r="H290" s="236">
        <v>0</v>
      </c>
      <c r="I290" s="236">
        <v>0</v>
      </c>
      <c r="J290" s="237">
        <v>117.2484282699414</v>
      </c>
    </row>
    <row r="291" spans="2:10">
      <c r="B291" s="235" t="s">
        <v>809</v>
      </c>
      <c r="C291" s="236">
        <v>40.453275894020678</v>
      </c>
      <c r="D291" s="236">
        <v>0</v>
      </c>
      <c r="E291" s="236">
        <v>0</v>
      </c>
      <c r="F291" s="236">
        <v>0</v>
      </c>
      <c r="G291" s="236">
        <v>5.1848637911007316</v>
      </c>
      <c r="H291" s="236">
        <v>0</v>
      </c>
      <c r="I291" s="236">
        <v>0</v>
      </c>
      <c r="J291" s="237">
        <v>45.638139685121409</v>
      </c>
    </row>
    <row r="292" spans="2:10">
      <c r="B292" s="235" t="s">
        <v>810</v>
      </c>
      <c r="C292" s="236">
        <v>0</v>
      </c>
      <c r="D292" s="236">
        <v>2.0999235519574011E-4</v>
      </c>
      <c r="E292" s="236">
        <v>7.9443795742944037</v>
      </c>
      <c r="F292" s="236">
        <v>0.6721215262193303</v>
      </c>
      <c r="G292" s="236">
        <v>0</v>
      </c>
      <c r="H292" s="236">
        <v>0.41008584348274918</v>
      </c>
      <c r="I292" s="236">
        <v>0</v>
      </c>
      <c r="J292" s="237">
        <v>9.0267969363516798</v>
      </c>
    </row>
    <row r="293" spans="2:10">
      <c r="B293" s="235" t="s">
        <v>811</v>
      </c>
      <c r="C293" s="236">
        <v>0.30075743626936841</v>
      </c>
      <c r="D293" s="236">
        <v>0</v>
      </c>
      <c r="E293" s="236">
        <v>0</v>
      </c>
      <c r="F293" s="236">
        <v>0</v>
      </c>
      <c r="G293" s="236">
        <v>0.14248873545594229</v>
      </c>
      <c r="H293" s="236">
        <v>0</v>
      </c>
      <c r="I293" s="236">
        <v>0</v>
      </c>
      <c r="J293" s="237">
        <v>0.44324617172531072</v>
      </c>
    </row>
    <row r="294" spans="2:10">
      <c r="B294" s="235" t="s">
        <v>812</v>
      </c>
      <c r="C294" s="236">
        <v>0.12800383272725169</v>
      </c>
      <c r="D294" s="236">
        <v>3.8545206393206051E-5</v>
      </c>
      <c r="E294" s="236">
        <v>0</v>
      </c>
      <c r="F294" s="236">
        <v>0</v>
      </c>
      <c r="G294" s="236">
        <v>1.6181439969690601E-2</v>
      </c>
      <c r="H294" s="236">
        <v>0</v>
      </c>
      <c r="I294" s="236">
        <v>0</v>
      </c>
      <c r="J294" s="237">
        <v>0.14422381790333549</v>
      </c>
    </row>
    <row r="295" spans="2:10">
      <c r="B295" s="235" t="s">
        <v>813</v>
      </c>
      <c r="C295" s="236">
        <v>7.4747396218754661E-2</v>
      </c>
      <c r="D295" s="236">
        <v>0</v>
      </c>
      <c r="E295" s="236">
        <v>0</v>
      </c>
      <c r="F295" s="236">
        <v>0</v>
      </c>
      <c r="G295" s="236">
        <v>3.5412796763886298E-2</v>
      </c>
      <c r="H295" s="236">
        <v>0</v>
      </c>
      <c r="I295" s="236">
        <v>0</v>
      </c>
      <c r="J295" s="237">
        <v>0.110160192982641</v>
      </c>
    </row>
    <row r="296" spans="2:10" ht="15" thickBot="1">
      <c r="B296" s="238" t="s">
        <v>814</v>
      </c>
      <c r="C296" s="239">
        <v>0</v>
      </c>
      <c r="D296" s="239">
        <v>0</v>
      </c>
      <c r="E296" s="239">
        <v>0</v>
      </c>
      <c r="F296" s="239">
        <v>0</v>
      </c>
      <c r="G296" s="239">
        <v>0</v>
      </c>
      <c r="H296" s="239">
        <v>0</v>
      </c>
      <c r="I296" s="239">
        <v>1.355294791033067</v>
      </c>
      <c r="J296" s="240">
        <v>1.355294791033067</v>
      </c>
    </row>
    <row r="297" spans="2:10" ht="15.5" thickBot="1">
      <c r="B297" s="241" t="s">
        <v>61</v>
      </c>
      <c r="C297" s="242">
        <v>155.44767215321019</v>
      </c>
      <c r="D297" s="242">
        <v>2.7577892135289068</v>
      </c>
      <c r="E297" s="242">
        <v>7.9443795742944037</v>
      </c>
      <c r="F297" s="242">
        <v>0.6721215262193303</v>
      </c>
      <c r="G297" s="242">
        <v>5.3789467632902506</v>
      </c>
      <c r="H297" s="242">
        <v>0.41008584348274918</v>
      </c>
      <c r="I297" s="242">
        <v>1.355294791033067</v>
      </c>
      <c r="J297" s="243">
        <v>173.96628986505891</v>
      </c>
    </row>
    <row r="298" spans="2:10" ht="15">
      <c r="B298" s="232" t="s">
        <v>815</v>
      </c>
      <c r="C298" s="233"/>
      <c r="D298" s="233"/>
      <c r="E298" s="233"/>
      <c r="F298" s="233"/>
      <c r="G298" s="233"/>
      <c r="H298" s="233"/>
      <c r="I298" s="233"/>
      <c r="J298" s="234"/>
    </row>
    <row r="299" spans="2:10">
      <c r="B299" s="235" t="s">
        <v>808</v>
      </c>
      <c r="C299" s="236">
        <v>77.251542190592673</v>
      </c>
      <c r="D299" s="236">
        <v>2.5399082709760381</v>
      </c>
      <c r="E299" s="236">
        <v>0</v>
      </c>
      <c r="F299" s="236">
        <v>0</v>
      </c>
      <c r="G299" s="236">
        <v>0</v>
      </c>
      <c r="H299" s="236">
        <v>0</v>
      </c>
      <c r="I299" s="236">
        <v>0</v>
      </c>
      <c r="J299" s="237">
        <v>79.791450461568715</v>
      </c>
    </row>
    <row r="300" spans="2:10">
      <c r="B300" s="235" t="s">
        <v>809</v>
      </c>
      <c r="C300" s="236">
        <v>61.430660090555051</v>
      </c>
      <c r="D300" s="236">
        <v>0</v>
      </c>
      <c r="E300" s="236">
        <v>0</v>
      </c>
      <c r="F300" s="236">
        <v>0</v>
      </c>
      <c r="G300" s="236">
        <v>5.5454976098534301</v>
      </c>
      <c r="H300" s="236">
        <v>0</v>
      </c>
      <c r="I300" s="236">
        <v>0</v>
      </c>
      <c r="J300" s="237">
        <v>66.976157700408478</v>
      </c>
    </row>
    <row r="301" spans="2:10">
      <c r="B301" s="235" t="s">
        <v>810</v>
      </c>
      <c r="C301" s="236">
        <v>1.274157242807975</v>
      </c>
      <c r="D301" s="236">
        <v>1.1211638573190911E-2</v>
      </c>
      <c r="E301" s="236">
        <v>8.0695241053707747</v>
      </c>
      <c r="F301" s="236">
        <v>0.71989852581622071</v>
      </c>
      <c r="G301" s="236">
        <v>0.10082736413926829</v>
      </c>
      <c r="H301" s="236">
        <v>0.37296949541951507</v>
      </c>
      <c r="I301" s="236">
        <v>0</v>
      </c>
      <c r="J301" s="237">
        <v>10.54858837212694</v>
      </c>
    </row>
    <row r="302" spans="2:10">
      <c r="B302" s="235" t="s">
        <v>811</v>
      </c>
      <c r="C302" s="236">
        <v>0.20502294179722419</v>
      </c>
      <c r="D302" s="236">
        <v>0</v>
      </c>
      <c r="E302" s="236">
        <v>0</v>
      </c>
      <c r="F302" s="236">
        <v>0</v>
      </c>
      <c r="G302" s="236">
        <v>7.0659049487867789E-2</v>
      </c>
      <c r="H302" s="236">
        <v>0</v>
      </c>
      <c r="I302" s="236">
        <v>0</v>
      </c>
      <c r="J302" s="237">
        <v>0.27568199128509202</v>
      </c>
    </row>
    <row r="303" spans="2:10">
      <c r="B303" s="235" t="s">
        <v>812</v>
      </c>
      <c r="C303" s="236">
        <v>4.0347856325724516</v>
      </c>
      <c r="D303" s="236">
        <v>5.3177767035663653E-2</v>
      </c>
      <c r="E303" s="236">
        <v>0</v>
      </c>
      <c r="F303" s="236">
        <v>0</v>
      </c>
      <c r="G303" s="236">
        <v>0.19998584110020839</v>
      </c>
      <c r="H303" s="236">
        <v>0</v>
      </c>
      <c r="I303" s="236">
        <v>0</v>
      </c>
      <c r="J303" s="237">
        <v>4.2879492407083237</v>
      </c>
    </row>
    <row r="304" spans="2:10">
      <c r="B304" s="235" t="s">
        <v>813</v>
      </c>
      <c r="C304" s="236">
        <v>6.1612191948649912E-2</v>
      </c>
      <c r="D304" s="236">
        <v>0</v>
      </c>
      <c r="E304" s="236">
        <v>0</v>
      </c>
      <c r="F304" s="236">
        <v>0</v>
      </c>
      <c r="G304" s="236">
        <v>2.1907464711504069E-2</v>
      </c>
      <c r="H304" s="236">
        <v>0</v>
      </c>
      <c r="I304" s="236">
        <v>0</v>
      </c>
      <c r="J304" s="237">
        <v>8.3519656660153985E-2</v>
      </c>
    </row>
    <row r="305" spans="2:13" ht="15" thickBot="1">
      <c r="B305" s="238" t="s">
        <v>814</v>
      </c>
      <c r="C305" s="239">
        <v>0</v>
      </c>
      <c r="D305" s="239">
        <v>0</v>
      </c>
      <c r="E305" s="239">
        <v>0</v>
      </c>
      <c r="F305" s="239">
        <v>0</v>
      </c>
      <c r="G305" s="239">
        <v>0</v>
      </c>
      <c r="H305" s="239">
        <v>0</v>
      </c>
      <c r="I305" s="239">
        <v>0.7549478284197163</v>
      </c>
      <c r="J305" s="240">
        <v>0.7549478284197163</v>
      </c>
    </row>
    <row r="306" spans="2:13" ht="15.5" thickBot="1">
      <c r="B306" s="241" t="s">
        <v>61</v>
      </c>
      <c r="C306" s="242">
        <v>144.25778029027401</v>
      </c>
      <c r="D306" s="242">
        <v>2.6042976765848929</v>
      </c>
      <c r="E306" s="242">
        <v>8.0695241053707747</v>
      </c>
      <c r="F306" s="242">
        <v>0.71989852581622071</v>
      </c>
      <c r="G306" s="242">
        <v>5.9388773292922794</v>
      </c>
      <c r="H306" s="242">
        <v>0.37296949541951507</v>
      </c>
      <c r="I306" s="242">
        <v>0.7549478284197163</v>
      </c>
      <c r="J306" s="243">
        <v>162.71829525117741</v>
      </c>
    </row>
    <row r="307" spans="2:13" ht="15">
      <c r="B307" s="232" t="s">
        <v>816</v>
      </c>
      <c r="C307" s="233"/>
      <c r="D307" s="233"/>
      <c r="E307" s="233"/>
      <c r="F307" s="233"/>
      <c r="G307" s="233"/>
      <c r="H307" s="233"/>
      <c r="I307" s="233"/>
      <c r="J307" s="234"/>
      <c r="L307" s="244" t="s">
        <v>817</v>
      </c>
      <c r="M307" s="244" t="s">
        <v>818</v>
      </c>
    </row>
    <row r="308" spans="2:13">
      <c r="B308" s="235" t="s">
        <v>808</v>
      </c>
      <c r="C308" s="236">
        <v>77.966529304255133</v>
      </c>
      <c r="D308" s="236">
        <v>2.6116329446777562</v>
      </c>
      <c r="E308" s="236">
        <v>0</v>
      </c>
      <c r="F308" s="236">
        <v>0</v>
      </c>
      <c r="G308" s="236">
        <v>6.2822015699634005E-4</v>
      </c>
      <c r="H308" s="236">
        <v>0</v>
      </c>
      <c r="I308" s="236">
        <v>0</v>
      </c>
      <c r="J308" s="237">
        <v>80.578790469089881</v>
      </c>
      <c r="L308" s="245">
        <f>SUM(C308:D308)/$AC$2</f>
        <v>22.382822846925801</v>
      </c>
      <c r="M308" s="245">
        <v>0</v>
      </c>
    </row>
    <row r="309" spans="2:13">
      <c r="B309" s="235" t="s">
        <v>809</v>
      </c>
      <c r="C309" s="236">
        <v>59.521587455133869</v>
      </c>
      <c r="D309" s="236">
        <v>0</v>
      </c>
      <c r="E309" s="236">
        <v>0</v>
      </c>
      <c r="F309" s="236">
        <v>0</v>
      </c>
      <c r="G309" s="236">
        <v>5.6094419096346151</v>
      </c>
      <c r="H309" s="236">
        <v>0</v>
      </c>
      <c r="I309" s="236">
        <v>0</v>
      </c>
      <c r="J309" s="237">
        <v>65.13102936476848</v>
      </c>
      <c r="L309" s="245">
        <f>SUM(C309)/$AC$2</f>
        <v>16.53377429309274</v>
      </c>
      <c r="M309" s="245">
        <f>SUM(E309:H309)/$AC$2</f>
        <v>1.5581783082318375</v>
      </c>
    </row>
    <row r="310" spans="2:13">
      <c r="B310" s="235" t="s">
        <v>810</v>
      </c>
      <c r="C310" s="236">
        <v>1.7709311908662499</v>
      </c>
      <c r="D310" s="236">
        <v>9.4428122433808728E-3</v>
      </c>
      <c r="E310" s="236">
        <v>8.1226008602724278</v>
      </c>
      <c r="F310" s="236">
        <v>0.7409829806524092</v>
      </c>
      <c r="G310" s="236">
        <v>0.1252007480963028</v>
      </c>
      <c r="H310" s="236">
        <v>0.38389306061578038</v>
      </c>
      <c r="I310" s="236">
        <v>0</v>
      </c>
      <c r="J310" s="237">
        <v>11.15305165274655</v>
      </c>
      <c r="L310" s="245">
        <f>SUM(C310)/$AC$2</f>
        <v>0.4919253307961805</v>
      </c>
      <c r="M310" s="245">
        <f>SUM(E310:H310)/$AC$2</f>
        <v>2.6035215693435889</v>
      </c>
    </row>
    <row r="311" spans="2:13">
      <c r="B311" s="235" t="s">
        <v>811</v>
      </c>
      <c r="C311" s="236">
        <v>0.1829192208935283</v>
      </c>
      <c r="D311" s="236">
        <v>0</v>
      </c>
      <c r="E311" s="236">
        <v>0</v>
      </c>
      <c r="F311" s="236">
        <v>0</v>
      </c>
      <c r="G311" s="236">
        <v>7.8899910392386752E-2</v>
      </c>
      <c r="H311" s="236">
        <v>0</v>
      </c>
      <c r="I311" s="236">
        <v>0</v>
      </c>
      <c r="J311" s="237">
        <v>0.26181913128591511</v>
      </c>
    </row>
    <row r="312" spans="2:13">
      <c r="B312" s="235" t="s">
        <v>812</v>
      </c>
      <c r="C312" s="236">
        <v>4.3169899997513852</v>
      </c>
      <c r="D312" s="236">
        <v>5.8633421352803999E-2</v>
      </c>
      <c r="E312" s="236">
        <v>0</v>
      </c>
      <c r="F312" s="236">
        <v>0</v>
      </c>
      <c r="G312" s="236">
        <v>0.22158833346513601</v>
      </c>
      <c r="H312" s="236">
        <v>0</v>
      </c>
      <c r="I312" s="236">
        <v>0</v>
      </c>
      <c r="J312" s="237">
        <v>4.597211754569325</v>
      </c>
    </row>
    <row r="313" spans="2:13">
      <c r="B313" s="235" t="s">
        <v>813</v>
      </c>
      <c r="C313" s="236">
        <v>6.0293135986089499E-2</v>
      </c>
      <c r="D313" s="236">
        <v>0</v>
      </c>
      <c r="E313" s="236">
        <v>0</v>
      </c>
      <c r="F313" s="236">
        <v>0</v>
      </c>
      <c r="G313" s="236">
        <v>2.7577476093680799E-2</v>
      </c>
      <c r="H313" s="236">
        <v>0</v>
      </c>
      <c r="I313" s="236">
        <v>0</v>
      </c>
      <c r="J313" s="237">
        <v>8.7870612079770302E-2</v>
      </c>
    </row>
    <row r="314" spans="2:13" ht="15" thickBot="1">
      <c r="B314" s="238" t="s">
        <v>814</v>
      </c>
      <c r="C314" s="239">
        <v>0</v>
      </c>
      <c r="D314" s="239">
        <v>0</v>
      </c>
      <c r="E314" s="239">
        <v>0</v>
      </c>
      <c r="F314" s="239">
        <v>0</v>
      </c>
      <c r="G314" s="239">
        <v>0</v>
      </c>
      <c r="H314" s="239">
        <v>0</v>
      </c>
      <c r="I314" s="239">
        <v>0.89937263037827064</v>
      </c>
      <c r="J314" s="240">
        <v>0.89937263037827064</v>
      </c>
    </row>
    <row r="315" spans="2:13" ht="15.5" thickBot="1">
      <c r="B315" s="241" t="s">
        <v>61</v>
      </c>
      <c r="C315" s="218">
        <v>143.81925030688629</v>
      </c>
      <c r="D315" s="218">
        <v>2.6797091782739408</v>
      </c>
      <c r="E315" s="218">
        <v>8.1226008602724278</v>
      </c>
      <c r="F315" s="218">
        <v>0.7409829806524092</v>
      </c>
      <c r="G315" s="218">
        <v>6.0633365978391183</v>
      </c>
      <c r="H315" s="218">
        <v>0.38389306061578038</v>
      </c>
      <c r="I315" s="218">
        <v>0.89937263037827064</v>
      </c>
      <c r="J315" s="223">
        <v>162.70914561491821</v>
      </c>
    </row>
    <row r="316" spans="2:13" ht="15">
      <c r="B316" s="224" t="s">
        <v>819</v>
      </c>
      <c r="C316" s="246"/>
      <c r="D316" s="246"/>
      <c r="E316" s="246"/>
      <c r="F316" s="246"/>
      <c r="G316" s="246"/>
      <c r="H316" s="246"/>
      <c r="I316" s="246"/>
      <c r="J316" s="246"/>
    </row>
    <row r="317" spans="2:13">
      <c r="B317" s="224" t="s">
        <v>820</v>
      </c>
    </row>
    <row r="320" spans="2:13" ht="15.5">
      <c r="B320" s="198" t="s">
        <v>821</v>
      </c>
      <c r="C320" s="199"/>
      <c r="D320" s="199"/>
      <c r="E320" s="199"/>
      <c r="F320" s="199"/>
      <c r="G320" s="199"/>
    </row>
    <row r="321" spans="2:7">
      <c r="B321" s="200" t="s">
        <v>799</v>
      </c>
      <c r="C321" s="201"/>
      <c r="D321" s="201"/>
      <c r="E321" s="201"/>
      <c r="F321" s="201"/>
      <c r="G321" s="201"/>
    </row>
    <row r="322" spans="2:7" ht="15.5" thickBot="1">
      <c r="B322" s="203" t="s">
        <v>707</v>
      </c>
      <c r="C322" s="204" t="s">
        <v>822</v>
      </c>
      <c r="D322" s="204" t="s">
        <v>823</v>
      </c>
      <c r="E322" s="204" t="s">
        <v>802</v>
      </c>
      <c r="F322" s="204" t="s">
        <v>806</v>
      </c>
      <c r="G322" s="204" t="s">
        <v>824</v>
      </c>
    </row>
    <row r="323" spans="2:7" ht="15">
      <c r="B323" s="232" t="s">
        <v>807</v>
      </c>
      <c r="C323" s="233"/>
      <c r="D323" s="233"/>
      <c r="E323" s="233"/>
      <c r="F323" s="233"/>
      <c r="G323" s="234"/>
    </row>
    <row r="324" spans="2:7">
      <c r="B324" s="235" t="s">
        <v>808</v>
      </c>
      <c r="C324" s="236">
        <v>2.5266702640090428</v>
      </c>
      <c r="D324" s="236">
        <v>5.4928766497159942E-2</v>
      </c>
      <c r="E324" s="236">
        <v>0</v>
      </c>
      <c r="F324" s="236">
        <v>0</v>
      </c>
      <c r="G324" s="237">
        <v>2.5815990305062031</v>
      </c>
    </row>
    <row r="325" spans="2:7">
      <c r="B325" s="235" t="s">
        <v>809</v>
      </c>
      <c r="C325" s="236">
        <v>10.42498940302378</v>
      </c>
      <c r="D325" s="236">
        <v>26.331149014742969</v>
      </c>
      <c r="E325" s="236">
        <v>0.49398090242809212</v>
      </c>
      <c r="F325" s="236">
        <v>0</v>
      </c>
      <c r="G325" s="237">
        <v>37.250119320194848</v>
      </c>
    </row>
    <row r="326" spans="2:7">
      <c r="B326" s="235" t="s">
        <v>810</v>
      </c>
      <c r="C326" s="236">
        <v>0</v>
      </c>
      <c r="D326" s="236">
        <v>0</v>
      </c>
      <c r="E326" s="236">
        <v>2.3602128604041699</v>
      </c>
      <c r="F326" s="236">
        <v>0</v>
      </c>
      <c r="G326" s="237">
        <v>2.3602128604041699</v>
      </c>
    </row>
    <row r="327" spans="2:7">
      <c r="B327" s="235" t="s">
        <v>811</v>
      </c>
      <c r="C327" s="236">
        <v>4.8806040628806162E-2</v>
      </c>
      <c r="D327" s="236">
        <v>5.2720641063147278E-2</v>
      </c>
      <c r="E327" s="236">
        <v>0</v>
      </c>
      <c r="F327" s="236">
        <v>0</v>
      </c>
      <c r="G327" s="237">
        <v>0.1015266816919534</v>
      </c>
    </row>
    <row r="328" spans="2:7">
      <c r="B328" s="235" t="s">
        <v>812</v>
      </c>
      <c r="C328" s="236">
        <v>3.2574037800641671E-2</v>
      </c>
      <c r="D328" s="236">
        <v>8.2177716799649442E-2</v>
      </c>
      <c r="E328" s="236">
        <v>0</v>
      </c>
      <c r="F328" s="236">
        <v>0</v>
      </c>
      <c r="G328" s="237">
        <v>0.11475175460029111</v>
      </c>
    </row>
    <row r="329" spans="2:7">
      <c r="B329" s="235" t="s">
        <v>813</v>
      </c>
      <c r="C329" s="236">
        <v>1.212978971360372E-2</v>
      </c>
      <c r="D329" s="236">
        <v>1.31026873195061E-2</v>
      </c>
      <c r="E329" s="236">
        <v>0</v>
      </c>
      <c r="F329" s="236">
        <v>0</v>
      </c>
      <c r="G329" s="237">
        <v>2.523247703310982E-2</v>
      </c>
    </row>
    <row r="330" spans="2:7" ht="15" thickBot="1">
      <c r="B330" s="238" t="s">
        <v>814</v>
      </c>
      <c r="C330" s="239">
        <v>0</v>
      </c>
      <c r="D330" s="239">
        <v>0</v>
      </c>
      <c r="E330" s="239">
        <v>0</v>
      </c>
      <c r="F330" s="239">
        <v>0.33882369775826682</v>
      </c>
      <c r="G330" s="240">
        <v>0.33882369775826682</v>
      </c>
    </row>
    <row r="331" spans="2:7" ht="15.5" thickBot="1">
      <c r="B331" s="241" t="s">
        <v>61</v>
      </c>
      <c r="C331" s="242">
        <v>13.04516953517588</v>
      </c>
      <c r="D331" s="242">
        <v>26.53407882642243</v>
      </c>
      <c r="E331" s="242">
        <v>2.8541937628322618</v>
      </c>
      <c r="F331" s="242">
        <v>0.33882369775826682</v>
      </c>
      <c r="G331" s="243">
        <v>42.772265822188842</v>
      </c>
    </row>
    <row r="332" spans="2:7" ht="15">
      <c r="B332" s="232" t="s">
        <v>815</v>
      </c>
      <c r="C332" s="233"/>
      <c r="D332" s="233"/>
      <c r="E332" s="233"/>
      <c r="F332" s="233"/>
      <c r="G332" s="234"/>
    </row>
    <row r="333" spans="2:7">
      <c r="B333" s="235" t="s">
        <v>808</v>
      </c>
      <c r="C333" s="236">
        <v>1.015061859726561</v>
      </c>
      <c r="D333" s="236">
        <v>2.2891421515042139E-2</v>
      </c>
      <c r="E333" s="236">
        <v>0</v>
      </c>
      <c r="F333" s="236">
        <v>0</v>
      </c>
      <c r="G333" s="237">
        <v>1.037953281241603</v>
      </c>
    </row>
    <row r="334" spans="2:7">
      <c r="B334" s="235" t="s">
        <v>809</v>
      </c>
      <c r="C334" s="236">
        <v>14.711841717281869</v>
      </c>
      <c r="D334" s="236">
        <v>22.707660796917629</v>
      </c>
      <c r="E334" s="236">
        <v>0.39631959455793592</v>
      </c>
      <c r="F334" s="236">
        <v>0</v>
      </c>
      <c r="G334" s="237">
        <v>37.81582210875743</v>
      </c>
    </row>
    <row r="335" spans="2:7">
      <c r="B335" s="235" t="s">
        <v>810</v>
      </c>
      <c r="C335" s="236">
        <v>7.305562921058957E-2</v>
      </c>
      <c r="D335" s="236">
        <v>4.7391635216278337E-2</v>
      </c>
      <c r="E335" s="236">
        <v>1.5692076890489901</v>
      </c>
      <c r="F335" s="236">
        <v>0</v>
      </c>
      <c r="G335" s="237">
        <v>1.689654953475858</v>
      </c>
    </row>
    <row r="336" spans="2:7">
      <c r="B336" s="235" t="s">
        <v>811</v>
      </c>
      <c r="C336" s="236">
        <v>2.9504878586694559E-2</v>
      </c>
      <c r="D336" s="236">
        <v>8.2435167344345833E-2</v>
      </c>
      <c r="E336" s="236">
        <v>0</v>
      </c>
      <c r="F336" s="236">
        <v>0</v>
      </c>
      <c r="G336" s="237">
        <v>0.1119400459310404</v>
      </c>
    </row>
    <row r="337" spans="2:9">
      <c r="B337" s="235" t="s">
        <v>812</v>
      </c>
      <c r="C337" s="236">
        <v>0.55375910751551793</v>
      </c>
      <c r="D337" s="236">
        <v>0.81941930557501719</v>
      </c>
      <c r="E337" s="236">
        <v>0</v>
      </c>
      <c r="F337" s="236">
        <v>0</v>
      </c>
      <c r="G337" s="237">
        <v>1.3731784130905349</v>
      </c>
    </row>
    <row r="338" spans="2:9">
      <c r="B338" s="235" t="s">
        <v>813</v>
      </c>
      <c r="C338" s="236">
        <v>9.1478316102484008E-3</v>
      </c>
      <c r="D338" s="236">
        <v>2.5558587791267601E-2</v>
      </c>
      <c r="E338" s="236">
        <v>0</v>
      </c>
      <c r="F338" s="236">
        <v>0</v>
      </c>
      <c r="G338" s="237">
        <v>3.4706419401516003E-2</v>
      </c>
    </row>
    <row r="339" spans="2:9" ht="15" thickBot="1">
      <c r="B339" s="238" t="s">
        <v>814</v>
      </c>
      <c r="C339" s="239">
        <v>0</v>
      </c>
      <c r="D339" s="239">
        <v>0</v>
      </c>
      <c r="E339" s="239">
        <v>0</v>
      </c>
      <c r="F339" s="239">
        <v>0.18873695710492899</v>
      </c>
      <c r="G339" s="240">
        <v>0.18873695710492899</v>
      </c>
    </row>
    <row r="340" spans="2:9" ht="15.5" thickBot="1">
      <c r="B340" s="241" t="s">
        <v>61</v>
      </c>
      <c r="C340" s="242">
        <v>16.392371023931481</v>
      </c>
      <c r="D340" s="242">
        <v>23.70535691435958</v>
      </c>
      <c r="E340" s="242">
        <v>1.965527283606926</v>
      </c>
      <c r="F340" s="242">
        <v>0.18873695710492899</v>
      </c>
      <c r="G340" s="243">
        <v>42.251992179002919</v>
      </c>
    </row>
    <row r="341" spans="2:9" ht="15">
      <c r="B341" s="232" t="s">
        <v>816</v>
      </c>
      <c r="C341" s="233"/>
      <c r="D341" s="233"/>
      <c r="E341" s="233"/>
      <c r="F341" s="233"/>
      <c r="G341" s="234"/>
    </row>
    <row r="342" spans="2:9">
      <c r="B342" s="235" t="s">
        <v>808</v>
      </c>
      <c r="C342" s="236">
        <v>1.1283046450841021</v>
      </c>
      <c r="D342" s="236">
        <v>2.8001321579004399E-2</v>
      </c>
      <c r="E342" s="236">
        <v>0</v>
      </c>
      <c r="F342" s="236">
        <v>0</v>
      </c>
      <c r="G342" s="245">
        <v>1.1563059666631059</v>
      </c>
      <c r="I342" s="247">
        <f>G342/$AC$2</f>
        <v>0.32119610185086273</v>
      </c>
    </row>
    <row r="343" spans="2:9">
      <c r="B343" s="235" t="s">
        <v>809</v>
      </c>
      <c r="C343" s="236">
        <v>14.50167633202298</v>
      </c>
      <c r="D343" s="236">
        <v>21.38749363384531</v>
      </c>
      <c r="E343" s="236">
        <v>0.39643355265580899</v>
      </c>
      <c r="F343" s="236">
        <v>0</v>
      </c>
      <c r="G343" s="245">
        <v>36.285603518524098</v>
      </c>
      <c r="I343" s="247">
        <f t="shared" ref="I343:I344" si="4">G343/$AC$2</f>
        <v>10.079334310701139</v>
      </c>
    </row>
    <row r="344" spans="2:9">
      <c r="B344" s="235" t="s">
        <v>810</v>
      </c>
      <c r="C344" s="236">
        <v>0.104375577443947</v>
      </c>
      <c r="D344" s="236">
        <v>9.5742242409587008E-2</v>
      </c>
      <c r="E344" s="236">
        <v>1.509322913682003</v>
      </c>
      <c r="F344" s="236">
        <v>0</v>
      </c>
      <c r="G344" s="245">
        <v>1.709440733535537</v>
      </c>
      <c r="I344" s="247">
        <f t="shared" si="4"/>
        <v>0.47484464820431582</v>
      </c>
    </row>
    <row r="345" spans="2:9">
      <c r="B345" s="235" t="s">
        <v>811</v>
      </c>
      <c r="C345" s="236">
        <v>3.36864150941713E-2</v>
      </c>
      <c r="D345" s="236">
        <v>0.149573370373981</v>
      </c>
      <c r="E345" s="236">
        <v>0</v>
      </c>
      <c r="F345" s="236">
        <v>0</v>
      </c>
      <c r="G345" s="237">
        <v>0.1832597854681523</v>
      </c>
    </row>
    <row r="346" spans="2:9">
      <c r="B346" s="235" t="s">
        <v>812</v>
      </c>
      <c r="C346" s="236">
        <v>0.60094437078434115</v>
      </c>
      <c r="D346" s="236">
        <v>0.8454907232309935</v>
      </c>
      <c r="E346" s="236">
        <v>0</v>
      </c>
      <c r="F346" s="236">
        <v>0</v>
      </c>
      <c r="G346" s="237">
        <v>1.446435094015335</v>
      </c>
    </row>
    <row r="347" spans="2:9">
      <c r="B347" s="235" t="s">
        <v>813</v>
      </c>
      <c r="C347" s="236">
        <v>1.177423779471057E-2</v>
      </c>
      <c r="D347" s="236">
        <v>5.2279603680484572E-2</v>
      </c>
      <c r="E347" s="236">
        <v>0</v>
      </c>
      <c r="F347" s="236">
        <v>0</v>
      </c>
      <c r="G347" s="237">
        <v>6.4053841475195147E-2</v>
      </c>
    </row>
    <row r="348" spans="2:9" ht="15" thickBot="1">
      <c r="B348" s="238" t="s">
        <v>814</v>
      </c>
      <c r="C348" s="239">
        <v>0</v>
      </c>
      <c r="D348" s="239">
        <v>0</v>
      </c>
      <c r="E348" s="239">
        <v>0</v>
      </c>
      <c r="F348" s="239">
        <v>0.22484315759456761</v>
      </c>
      <c r="G348" s="240">
        <v>0.22484315759456761</v>
      </c>
    </row>
    <row r="349" spans="2:9" ht="15.5" thickBot="1">
      <c r="B349" s="241" t="s">
        <v>61</v>
      </c>
      <c r="C349" s="218">
        <v>16.380761578224259</v>
      </c>
      <c r="D349" s="218">
        <v>22.55858089511937</v>
      </c>
      <c r="E349" s="218">
        <v>1.905756466337813</v>
      </c>
      <c r="F349" s="218">
        <v>0.22484315759456761</v>
      </c>
      <c r="G349" s="223">
        <v>41.069942097275998</v>
      </c>
    </row>
    <row r="350" spans="2:9" ht="15">
      <c r="B350" s="224" t="s">
        <v>819</v>
      </c>
      <c r="C350" s="246"/>
      <c r="D350" s="246"/>
      <c r="E350" s="246"/>
      <c r="F350" s="246"/>
      <c r="G350" s="246"/>
    </row>
    <row r="351" spans="2:9">
      <c r="B351" s="224" t="s">
        <v>825</v>
      </c>
    </row>
    <row r="354" spans="2:31" ht="15.5">
      <c r="B354" s="198" t="s">
        <v>826</v>
      </c>
      <c r="C354" s="199"/>
      <c r="D354" s="199"/>
      <c r="E354" s="199"/>
      <c r="F354" s="199"/>
      <c r="G354" s="199"/>
      <c r="H354" s="199"/>
      <c r="I354" s="199"/>
      <c r="J354" s="199"/>
      <c r="K354" s="199"/>
      <c r="L354" s="199"/>
      <c r="M354" s="199"/>
      <c r="N354" s="199"/>
      <c r="O354" s="199"/>
      <c r="P354" s="199"/>
      <c r="Q354" s="199"/>
      <c r="R354" s="199"/>
      <c r="S354" s="199"/>
      <c r="T354" s="199"/>
      <c r="U354" s="199"/>
      <c r="V354" s="199"/>
      <c r="W354" s="199"/>
      <c r="X354" s="199"/>
      <c r="Y354" s="199"/>
      <c r="Z354" s="199"/>
      <c r="AA354" s="199"/>
    </row>
    <row r="355" spans="2:31">
      <c r="B355" s="200" t="s">
        <v>827</v>
      </c>
      <c r="C355" s="201"/>
      <c r="D355" s="201"/>
      <c r="E355" s="201"/>
      <c r="F355" s="201"/>
      <c r="G355" s="201"/>
      <c r="H355" s="201"/>
      <c r="I355" s="201"/>
      <c r="J355" s="201"/>
      <c r="K355" s="201"/>
      <c r="L355" s="201"/>
      <c r="M355" s="201"/>
      <c r="N355" s="201"/>
      <c r="O355" s="201"/>
      <c r="P355" s="201"/>
      <c r="Q355" s="201"/>
      <c r="R355" s="201"/>
      <c r="S355" s="201"/>
      <c r="T355" s="201"/>
      <c r="U355" s="201"/>
      <c r="V355" s="201"/>
      <c r="W355" s="201"/>
      <c r="X355" s="201"/>
      <c r="Y355" s="201"/>
      <c r="Z355" s="201"/>
      <c r="AA355" s="201"/>
      <c r="AC355" s="202" t="s">
        <v>678</v>
      </c>
    </row>
    <row r="356" spans="2:31" ht="15.5" thickBot="1">
      <c r="B356" s="203" t="s">
        <v>707</v>
      </c>
      <c r="C356" s="204">
        <v>2000</v>
      </c>
      <c r="D356" s="204">
        <v>2001</v>
      </c>
      <c r="E356" s="204">
        <v>2002</v>
      </c>
      <c r="F356" s="204">
        <v>2003</v>
      </c>
      <c r="G356" s="204">
        <v>2004</v>
      </c>
      <c r="H356" s="204">
        <v>2005</v>
      </c>
      <c r="I356" s="204">
        <v>2006</v>
      </c>
      <c r="J356" s="204">
        <v>2007</v>
      </c>
      <c r="K356" s="204">
        <v>2008</v>
      </c>
      <c r="L356" s="204">
        <v>2009</v>
      </c>
      <c r="M356" s="204">
        <v>2010</v>
      </c>
      <c r="N356" s="204">
        <v>2011</v>
      </c>
      <c r="O356" s="204">
        <v>2012</v>
      </c>
      <c r="P356" s="204">
        <v>2013</v>
      </c>
      <c r="Q356" s="204">
        <v>2014</v>
      </c>
      <c r="R356" s="204">
        <v>2015</v>
      </c>
      <c r="S356" s="204">
        <v>2016</v>
      </c>
      <c r="T356" s="204">
        <v>2017</v>
      </c>
      <c r="U356" s="204">
        <v>2018</v>
      </c>
      <c r="V356" s="204">
        <v>2019</v>
      </c>
      <c r="W356" s="204">
        <v>2020</v>
      </c>
      <c r="X356" s="204">
        <v>2021</v>
      </c>
      <c r="Y356" s="204">
        <v>2022</v>
      </c>
      <c r="Z356" s="204">
        <v>2023</v>
      </c>
      <c r="AA356" s="204" t="s">
        <v>680</v>
      </c>
      <c r="AC356" s="205">
        <f ca="1">OFFSET(C356,0,[1]Matrix!$C$2-2000)</f>
        <v>2023</v>
      </c>
      <c r="AE356" t="s">
        <v>828</v>
      </c>
    </row>
    <row r="357" spans="2:31" ht="15">
      <c r="B357" s="206" t="s">
        <v>701</v>
      </c>
      <c r="C357" s="207">
        <v>158.9224734351987</v>
      </c>
      <c r="D357" s="208">
        <v>171.3508892753147</v>
      </c>
      <c r="E357" s="208">
        <v>156.05386339267741</v>
      </c>
      <c r="F357" s="208">
        <v>167.5745633298958</v>
      </c>
      <c r="G357" s="208">
        <v>161.3556603808739</v>
      </c>
      <c r="H357" s="208">
        <v>163.74947587865941</v>
      </c>
      <c r="I357" s="208">
        <v>155.13452059407189</v>
      </c>
      <c r="J357" s="208">
        <v>133.42021840151139</v>
      </c>
      <c r="K357" s="208">
        <v>144.66727883863149</v>
      </c>
      <c r="L357" s="208">
        <v>139.11369318875691</v>
      </c>
      <c r="M357" s="208">
        <v>153.18079596764801</v>
      </c>
      <c r="N357" s="208">
        <v>115.1302680896495</v>
      </c>
      <c r="O357" s="208">
        <v>127.65375222684681</v>
      </c>
      <c r="P357" s="208">
        <v>137.13779889623191</v>
      </c>
      <c r="Q357" s="208">
        <v>98.565308392737165</v>
      </c>
      <c r="R357" s="208">
        <v>107.02385565005279</v>
      </c>
      <c r="S357" s="208">
        <v>111.8205376990953</v>
      </c>
      <c r="T357" s="208">
        <v>103.52898259346</v>
      </c>
      <c r="U357" s="208">
        <v>90.092410500698776</v>
      </c>
      <c r="V357" s="208">
        <v>87.703575185863187</v>
      </c>
      <c r="W357" s="208">
        <v>77.654599782199824</v>
      </c>
      <c r="X357" s="208">
        <v>87.694919112929824</v>
      </c>
      <c r="Y357" s="208">
        <v>66.613429974962287</v>
      </c>
      <c r="Z357" s="208">
        <v>65.53682622196807</v>
      </c>
      <c r="AA357" s="209">
        <v>-0.58761763012270907</v>
      </c>
      <c r="AC357" s="210">
        <f ca="1">OFFSET(C357,0,[1]Matrix!$C$2-2000)/$AC$2</f>
        <v>18.204673950546685</v>
      </c>
      <c r="AE357" s="227">
        <f ca="1">SUM(AC357:AC358,AC360,AC372:AC373,AC375)</f>
        <v>49.132820484372985</v>
      </c>
    </row>
    <row r="358" spans="2:31" ht="15">
      <c r="B358" s="206" t="s">
        <v>609</v>
      </c>
      <c r="C358" s="207">
        <v>50.167042362297039</v>
      </c>
      <c r="D358" s="208">
        <v>55.939275214762937</v>
      </c>
      <c r="E358" s="208">
        <v>52.65349919315949</v>
      </c>
      <c r="F358" s="208">
        <v>59.181009148392953</v>
      </c>
      <c r="G358" s="208">
        <v>59.604753526422869</v>
      </c>
      <c r="H358" s="208">
        <v>63.478072577617681</v>
      </c>
      <c r="I358" s="208">
        <v>63.234697733954491</v>
      </c>
      <c r="J358" s="208">
        <v>56.662065359030443</v>
      </c>
      <c r="K358" s="208">
        <v>64.446246446523489</v>
      </c>
      <c r="L358" s="208">
        <v>64.378612234548456</v>
      </c>
      <c r="M358" s="208">
        <v>74.837997903372653</v>
      </c>
      <c r="N358" s="208">
        <v>58.615268249635342</v>
      </c>
      <c r="O358" s="208">
        <v>67.795710601190365</v>
      </c>
      <c r="P358" s="208">
        <v>76.169030892839231</v>
      </c>
      <c r="Q358" s="208">
        <v>58.13962905563163</v>
      </c>
      <c r="R358" s="208">
        <v>65.793242251312535</v>
      </c>
      <c r="S358" s="208">
        <v>71.278326368418249</v>
      </c>
      <c r="T358" s="208">
        <v>70.325517736228022</v>
      </c>
      <c r="U358" s="208">
        <v>64.624777048034176</v>
      </c>
      <c r="V358" s="208">
        <v>66.820608957837706</v>
      </c>
      <c r="W358" s="208">
        <v>62.790570804355482</v>
      </c>
      <c r="X358" s="208">
        <v>74.528425778195484</v>
      </c>
      <c r="Y358" s="208">
        <v>58.459081039271901</v>
      </c>
      <c r="Z358" s="208">
        <v>56.585921908698722</v>
      </c>
      <c r="AA358" s="209">
        <v>0.12795012909163991</v>
      </c>
      <c r="AC358" s="210">
        <f ca="1">OFFSET(C358,0,[1]Matrix!$C$2-2000)/$AC$2</f>
        <v>15.718311641305201</v>
      </c>
      <c r="AE358" t="s">
        <v>829</v>
      </c>
    </row>
    <row r="359" spans="2:31" ht="15">
      <c r="B359" s="206" t="s">
        <v>161</v>
      </c>
      <c r="C359" s="207">
        <v>15.37673771916929</v>
      </c>
      <c r="D359" s="208">
        <v>16.82126946318024</v>
      </c>
      <c r="E359" s="208">
        <v>15.643585692540141</v>
      </c>
      <c r="F359" s="208">
        <v>17.03044652650031</v>
      </c>
      <c r="G359" s="208">
        <v>16.952159090417229</v>
      </c>
      <c r="H359" s="208">
        <v>17.724630296139249</v>
      </c>
      <c r="I359" s="208">
        <v>17.452952528609149</v>
      </c>
      <c r="J359" s="208">
        <v>15.53044604788205</v>
      </c>
      <c r="K359" s="208">
        <v>17.41594093911937</v>
      </c>
      <c r="L359" s="208">
        <v>17.303509116752409</v>
      </c>
      <c r="M359" s="208">
        <v>19.679937856052149</v>
      </c>
      <c r="N359" s="208">
        <v>15.52896462631549</v>
      </c>
      <c r="O359" s="208">
        <v>17.850504000731672</v>
      </c>
      <c r="P359" s="208">
        <v>20.14111436842067</v>
      </c>
      <c r="Q359" s="208">
        <v>15.37297175288222</v>
      </c>
      <c r="R359" s="208">
        <v>17.268298180893041</v>
      </c>
      <c r="S359" s="208">
        <v>18.85018786562518</v>
      </c>
      <c r="T359" s="208">
        <v>18.56164785867896</v>
      </c>
      <c r="U359" s="208">
        <v>17.397036763233029</v>
      </c>
      <c r="V359" s="208">
        <v>18.124893553303671</v>
      </c>
      <c r="W359" s="208">
        <v>17.501438271183918</v>
      </c>
      <c r="X359" s="208">
        <v>21.462816950553901</v>
      </c>
      <c r="Y359" s="208">
        <v>17.920371173920149</v>
      </c>
      <c r="Z359" s="208">
        <v>19.890838775439239</v>
      </c>
      <c r="AA359" s="209">
        <v>0.29356688907052653</v>
      </c>
      <c r="AC359" s="210">
        <f ca="1">OFFSET(C359,0,[1]Matrix!$C$2-2000)/$AC$2</f>
        <v>5.5252329931775659</v>
      </c>
      <c r="AE359" s="227">
        <f ca="1">AC359+AC374+AC377</f>
        <v>9.9832281609121907</v>
      </c>
    </row>
    <row r="360" spans="2:31" ht="15">
      <c r="B360" s="206" t="s">
        <v>427</v>
      </c>
      <c r="C360" s="207">
        <v>24.073272226903459</v>
      </c>
      <c r="D360" s="208">
        <v>26.30779548301858</v>
      </c>
      <c r="E360" s="208">
        <v>24.142038383865948</v>
      </c>
      <c r="F360" s="208">
        <v>26.526584462047168</v>
      </c>
      <c r="G360" s="208">
        <v>26.116434024777689</v>
      </c>
      <c r="H360" s="208">
        <v>27.249930604057841</v>
      </c>
      <c r="I360" s="208">
        <v>26.905599788658261</v>
      </c>
      <c r="J360" s="208">
        <v>23.64967700533057</v>
      </c>
      <c r="K360" s="208">
        <v>27.167682067824611</v>
      </c>
      <c r="L360" s="208">
        <v>27.166450697920911</v>
      </c>
      <c r="M360" s="208">
        <v>31.107667371793742</v>
      </c>
      <c r="N360" s="208">
        <v>24.440680564937828</v>
      </c>
      <c r="O360" s="208">
        <v>28.146182716616931</v>
      </c>
      <c r="P360" s="208">
        <v>31.593913537990371</v>
      </c>
      <c r="Q360" s="208">
        <v>23.742795549938361</v>
      </c>
      <c r="R360" s="208">
        <v>26.780996068470969</v>
      </c>
      <c r="S360" s="208">
        <v>29.206388228993521</v>
      </c>
      <c r="T360" s="208">
        <v>28.670603396118889</v>
      </c>
      <c r="U360" s="208">
        <v>27.289525256572549</v>
      </c>
      <c r="V360" s="208">
        <v>28.634745953137969</v>
      </c>
      <c r="W360" s="208">
        <v>27.28019395418259</v>
      </c>
      <c r="X360" s="208">
        <v>33.554648655554708</v>
      </c>
      <c r="Y360" s="208">
        <v>26.66955763832873</v>
      </c>
      <c r="Z360" s="208">
        <v>28.708677752287951</v>
      </c>
      <c r="AA360" s="209">
        <v>0.19255402762421811</v>
      </c>
      <c r="AC360" s="210">
        <f ca="1">OFFSET(C360,0,[1]Matrix!$C$2-2000)/$AC$2</f>
        <v>7.9746327089688753</v>
      </c>
    </row>
    <row r="361" spans="2:31" ht="15">
      <c r="B361" s="206" t="s">
        <v>83</v>
      </c>
      <c r="C361" s="207">
        <v>0.59310072978784989</v>
      </c>
      <c r="D361" s="208">
        <v>0.66059767655047275</v>
      </c>
      <c r="E361" s="208">
        <v>0.52975222924427934</v>
      </c>
      <c r="F361" s="208">
        <v>0.56588967134658519</v>
      </c>
      <c r="G361" s="208">
        <v>0.55224067312568204</v>
      </c>
      <c r="H361" s="208">
        <v>0.63342212590547098</v>
      </c>
      <c r="I361" s="208">
        <v>0.55207791099413883</v>
      </c>
      <c r="J361" s="208">
        <v>0.44744242448163768</v>
      </c>
      <c r="K361" s="208">
        <v>0.47364168902591341</v>
      </c>
      <c r="L361" s="208">
        <v>0.3831013727638557</v>
      </c>
      <c r="M361" s="208">
        <v>0.42252387675165248</v>
      </c>
      <c r="N361" s="208">
        <v>0.32432322731976121</v>
      </c>
      <c r="O361" s="208">
        <v>0.33775410633962932</v>
      </c>
      <c r="P361" s="208">
        <v>0.24640308725062809</v>
      </c>
      <c r="Q361" s="208">
        <v>0.19105041106187709</v>
      </c>
      <c r="R361" s="208">
        <v>0.20008049858983901</v>
      </c>
      <c r="S361" s="208">
        <v>0.1843355656819364</v>
      </c>
      <c r="T361" s="208">
        <v>0.17087696370516281</v>
      </c>
      <c r="U361" s="208">
        <v>0.1484172934436879</v>
      </c>
      <c r="V361" s="208">
        <v>0.13774139768614449</v>
      </c>
      <c r="W361" s="208">
        <v>0.1285719081864562</v>
      </c>
      <c r="X361" s="208">
        <v>0.13096138628416679</v>
      </c>
      <c r="Y361" s="208">
        <v>0.1142230829598464</v>
      </c>
      <c r="Z361" s="208">
        <v>0.1034856320423654</v>
      </c>
      <c r="AA361" s="209">
        <v>-0.82551761135181567</v>
      </c>
      <c r="AC361" s="210">
        <f ca="1">OFFSET(C361,0,[1]Matrix!$C$2-2000)/$AC$2</f>
        <v>2.8746008900657052E-2</v>
      </c>
    </row>
    <row r="362" spans="2:31" ht="15">
      <c r="B362" s="206" t="s">
        <v>177</v>
      </c>
      <c r="C362" s="207">
        <v>7.8087065371617772</v>
      </c>
      <c r="D362" s="208">
        <v>8.7120910260534288</v>
      </c>
      <c r="E362" s="208">
        <v>7.9369250682753396</v>
      </c>
      <c r="F362" s="208">
        <v>8.903709741554982</v>
      </c>
      <c r="G362" s="208">
        <v>9.1727895779526047</v>
      </c>
      <c r="H362" s="208">
        <v>9.6381982643595627</v>
      </c>
      <c r="I362" s="208">
        <v>9.2915596023475757</v>
      </c>
      <c r="J362" s="208">
        <v>8.176365684458899</v>
      </c>
      <c r="K362" s="208">
        <v>9.259929786136297</v>
      </c>
      <c r="L362" s="208">
        <v>9.4425815257710806</v>
      </c>
      <c r="M362" s="208">
        <v>10.78900693841504</v>
      </c>
      <c r="N362" s="208">
        <v>8.8508421004042077</v>
      </c>
      <c r="O362" s="208">
        <v>10.301488037146299</v>
      </c>
      <c r="P362" s="208">
        <v>12.02590338147656</v>
      </c>
      <c r="Q362" s="208">
        <v>9.267575227603416</v>
      </c>
      <c r="R362" s="208">
        <v>10.6823106446331</v>
      </c>
      <c r="S362" s="208">
        <v>11.77023344099675</v>
      </c>
      <c r="T362" s="208">
        <v>11.86341158287475</v>
      </c>
      <c r="U362" s="208">
        <v>11.263693221595039</v>
      </c>
      <c r="V362" s="208">
        <v>11.950922519237849</v>
      </c>
      <c r="W362" s="208">
        <v>11.59766318451924</v>
      </c>
      <c r="X362" s="208">
        <v>14.329206093851271</v>
      </c>
      <c r="Y362" s="208">
        <v>11.90465045422058</v>
      </c>
      <c r="Z362" s="208">
        <v>13.0405795249953</v>
      </c>
      <c r="AA362" s="209">
        <v>0.67000507227860873</v>
      </c>
      <c r="AC362" s="210">
        <f ca="1">OFFSET(C362,0,[1]Matrix!$C$2-2000)/$AC$2</f>
        <v>3.6223832013875832</v>
      </c>
    </row>
    <row r="363" spans="2:31" ht="15">
      <c r="B363" s="206" t="s">
        <v>703</v>
      </c>
      <c r="C363" s="207">
        <v>4.4716860258883679</v>
      </c>
      <c r="D363" s="208">
        <v>5.1614463460253512</v>
      </c>
      <c r="E363" s="208">
        <v>5.0099450213441692</v>
      </c>
      <c r="F363" s="208">
        <v>5.7715106757046559</v>
      </c>
      <c r="G363" s="208">
        <v>6.0452620632626433</v>
      </c>
      <c r="H363" s="208">
        <v>6.7468461936582811</v>
      </c>
      <c r="I363" s="208">
        <v>7.0774576874434061</v>
      </c>
      <c r="J363" s="208">
        <v>6.7833640904641026</v>
      </c>
      <c r="K363" s="208">
        <v>8.1774792547593673</v>
      </c>
      <c r="L363" s="208">
        <v>8.6829981324224494</v>
      </c>
      <c r="M363" s="208">
        <v>10.59771165460316</v>
      </c>
      <c r="N363" s="208">
        <v>8.8482911620776985</v>
      </c>
      <c r="O363" s="208">
        <v>10.839994596386139</v>
      </c>
      <c r="P363" s="208">
        <v>13.215370174345381</v>
      </c>
      <c r="Q363" s="208">
        <v>10.610601699714019</v>
      </c>
      <c r="R363" s="208">
        <v>12.71654490204735</v>
      </c>
      <c r="S363" s="208">
        <v>14.612621080719419</v>
      </c>
      <c r="T363" s="208">
        <v>15.01321390039571</v>
      </c>
      <c r="U363" s="208">
        <v>14.76643502191747</v>
      </c>
      <c r="V363" s="208">
        <v>16.149111857055249</v>
      </c>
      <c r="W363" s="208">
        <v>16.42442775275693</v>
      </c>
      <c r="X363" s="208">
        <v>21.32704109188241</v>
      </c>
      <c r="Y363" s="208">
        <v>18.812175964959131</v>
      </c>
      <c r="Z363" s="208">
        <v>22.59670771177489</v>
      </c>
      <c r="AA363" s="209">
        <v>4.053285848101492</v>
      </c>
      <c r="AC363" s="210">
        <f ca="1">OFFSET(C363,0,[1]Matrix!$C$2-2000)/$AC$2</f>
        <v>6.2768632532708022</v>
      </c>
    </row>
    <row r="364" spans="2:31" ht="15.5" thickBot="1">
      <c r="B364" s="211" t="s">
        <v>689</v>
      </c>
      <c r="C364" s="212">
        <v>1.274466669852</v>
      </c>
      <c r="D364" s="213">
        <v>1.493298645778</v>
      </c>
      <c r="E364" s="213">
        <v>1.1673815954240001</v>
      </c>
      <c r="F364" s="213">
        <v>1.1793985231060999</v>
      </c>
      <c r="G364" s="213">
        <v>1.11323467883</v>
      </c>
      <c r="H364" s="213">
        <v>0.98766119174</v>
      </c>
      <c r="I364" s="213">
        <v>1.203997613661</v>
      </c>
      <c r="J364" s="213">
        <v>0.80811925102799997</v>
      </c>
      <c r="K364" s="213">
        <v>0.91660682643800007</v>
      </c>
      <c r="L364" s="213">
        <v>0.96270884585669969</v>
      </c>
      <c r="M364" s="213">
        <v>1.0688550528155001</v>
      </c>
      <c r="N364" s="213">
        <v>0.72957141072629994</v>
      </c>
      <c r="O364" s="213">
        <v>0.77644584760479995</v>
      </c>
      <c r="P364" s="213">
        <v>0.81304751757840021</v>
      </c>
      <c r="Q364" s="213">
        <v>0.56736706629490019</v>
      </c>
      <c r="R364" s="213">
        <v>0.6396851685730901</v>
      </c>
      <c r="S364" s="213">
        <v>0.58940073191350006</v>
      </c>
      <c r="T364" s="213">
        <v>0.61777686074110005</v>
      </c>
      <c r="U364" s="213">
        <v>0.529200837516</v>
      </c>
      <c r="V364" s="213">
        <v>0.49878522122529989</v>
      </c>
      <c r="W364" s="213">
        <v>0.46504138255470012</v>
      </c>
      <c r="X364" s="213">
        <v>0.5505087209477999</v>
      </c>
      <c r="Y364" s="213">
        <v>0.47763101745885989</v>
      </c>
      <c r="Z364" s="213">
        <v>0.56009002745950009</v>
      </c>
      <c r="AA364" s="214">
        <v>-0.56052987441049218</v>
      </c>
      <c r="AC364" s="215">
        <f ca="1">OFFSET(C364,0,[1]Matrix!$C$2-2000)/$AC$2</f>
        <v>0.15558056318319446</v>
      </c>
    </row>
    <row r="365" spans="2:31" ht="15.5" thickBot="1">
      <c r="B365" s="221" t="s">
        <v>61</v>
      </c>
      <c r="C365" s="222">
        <v>262.6874857062586</v>
      </c>
      <c r="D365" s="223">
        <v>286.4466631306837</v>
      </c>
      <c r="E365" s="223">
        <v>263.13699057653071</v>
      </c>
      <c r="F365" s="223">
        <v>286.73311207854857</v>
      </c>
      <c r="G365" s="223">
        <v>280.91253401566257</v>
      </c>
      <c r="H365" s="223">
        <v>290.20823713213758</v>
      </c>
      <c r="I365" s="223">
        <v>280.85286345973992</v>
      </c>
      <c r="J365" s="223">
        <v>245.4776982641871</v>
      </c>
      <c r="K365" s="223">
        <v>272.52480584845853</v>
      </c>
      <c r="L365" s="223">
        <v>267.43365511479283</v>
      </c>
      <c r="M365" s="223">
        <v>301.68449662145179</v>
      </c>
      <c r="N365" s="223">
        <v>232.4682094310661</v>
      </c>
      <c r="O365" s="223">
        <v>263.70183213286259</v>
      </c>
      <c r="P365" s="223">
        <v>291.34258185613322</v>
      </c>
      <c r="Q365" s="223">
        <v>216.45729915586361</v>
      </c>
      <c r="R365" s="223">
        <v>241.10501336457281</v>
      </c>
      <c r="S365" s="223">
        <v>258.31203098144391</v>
      </c>
      <c r="T365" s="223">
        <v>248.75203089220261</v>
      </c>
      <c r="U365" s="223">
        <v>226.11149594301071</v>
      </c>
      <c r="V365" s="223">
        <v>230.02038464534709</v>
      </c>
      <c r="W365" s="223">
        <v>213.84250703993911</v>
      </c>
      <c r="X365" s="223">
        <v>253.5785277901995</v>
      </c>
      <c r="Y365" s="223">
        <v>200.97112034608139</v>
      </c>
      <c r="Z365" s="223">
        <v>207.0231275546661</v>
      </c>
      <c r="AA365" s="219">
        <v>-0.21190334972347069</v>
      </c>
      <c r="AC365" s="220">
        <f ca="1">OFFSET(C365,0,[1]Matrix!$C$2-2000)/$AC$2</f>
        <v>57.506424320740585</v>
      </c>
    </row>
    <row r="366" spans="2:31">
      <c r="B366" s="224" t="s">
        <v>705</v>
      </c>
    </row>
    <row r="369" spans="2:29" ht="15.5">
      <c r="B369" s="198" t="s">
        <v>830</v>
      </c>
      <c r="C369" s="199"/>
      <c r="D369" s="199"/>
      <c r="E369" s="199"/>
      <c r="F369" s="199"/>
      <c r="G369" s="199"/>
      <c r="H369" s="199"/>
      <c r="I369" s="199"/>
      <c r="J369" s="199"/>
      <c r="K369" s="199"/>
      <c r="L369" s="199"/>
      <c r="M369" s="199"/>
      <c r="N369" s="199"/>
      <c r="O369" s="199"/>
      <c r="P369" s="199"/>
      <c r="Q369" s="199"/>
      <c r="R369" s="199"/>
      <c r="S369" s="199"/>
      <c r="T369" s="199"/>
      <c r="U369" s="199"/>
      <c r="V369" s="199"/>
      <c r="W369" s="199"/>
      <c r="X369" s="199"/>
      <c r="Y369" s="199"/>
      <c r="Z369" s="199"/>
      <c r="AA369" s="199"/>
    </row>
    <row r="370" spans="2:29">
      <c r="B370" s="200" t="s">
        <v>827</v>
      </c>
      <c r="C370" s="201"/>
      <c r="D370" s="201"/>
      <c r="E370" s="201"/>
      <c r="F370" s="201"/>
      <c r="G370" s="201"/>
      <c r="H370" s="201"/>
      <c r="I370" s="201"/>
      <c r="J370" s="201"/>
      <c r="K370" s="201"/>
      <c r="L370" s="201"/>
      <c r="M370" s="201"/>
      <c r="N370" s="201"/>
      <c r="O370" s="201"/>
      <c r="P370" s="201"/>
      <c r="Q370" s="201"/>
      <c r="R370" s="201"/>
      <c r="S370" s="201"/>
      <c r="T370" s="201"/>
      <c r="U370" s="201"/>
      <c r="V370" s="201"/>
      <c r="W370" s="201"/>
      <c r="X370" s="201"/>
      <c r="Y370" s="201"/>
      <c r="Z370" s="201"/>
      <c r="AA370" s="201"/>
      <c r="AC370" s="202" t="s">
        <v>678</v>
      </c>
    </row>
    <row r="371" spans="2:29" ht="15.5" thickBot="1">
      <c r="B371" s="203" t="s">
        <v>707</v>
      </c>
      <c r="C371" s="204">
        <v>2000</v>
      </c>
      <c r="D371" s="204">
        <v>2001</v>
      </c>
      <c r="E371" s="204">
        <v>2002</v>
      </c>
      <c r="F371" s="204">
        <v>2003</v>
      </c>
      <c r="G371" s="204">
        <v>2004</v>
      </c>
      <c r="H371" s="204">
        <v>2005</v>
      </c>
      <c r="I371" s="204">
        <v>2006</v>
      </c>
      <c r="J371" s="204">
        <v>2007</v>
      </c>
      <c r="K371" s="204">
        <v>2008</v>
      </c>
      <c r="L371" s="204">
        <v>2009</v>
      </c>
      <c r="M371" s="204">
        <v>2010</v>
      </c>
      <c r="N371" s="204">
        <v>2011</v>
      </c>
      <c r="O371" s="204">
        <v>2012</v>
      </c>
      <c r="P371" s="204">
        <v>2013</v>
      </c>
      <c r="Q371" s="204">
        <v>2014</v>
      </c>
      <c r="R371" s="204">
        <v>2015</v>
      </c>
      <c r="S371" s="204">
        <v>2016</v>
      </c>
      <c r="T371" s="204">
        <v>2017</v>
      </c>
      <c r="U371" s="204">
        <v>2018</v>
      </c>
      <c r="V371" s="204">
        <v>2019</v>
      </c>
      <c r="W371" s="204">
        <v>2020</v>
      </c>
      <c r="X371" s="204">
        <v>2021</v>
      </c>
      <c r="Y371" s="204">
        <v>2022</v>
      </c>
      <c r="Z371" s="204">
        <v>2023</v>
      </c>
      <c r="AA371" s="204" t="s">
        <v>680</v>
      </c>
      <c r="AC371" s="205">
        <f ca="1">OFFSET(C371,0,[1]Matrix!$C$2-2000)</f>
        <v>2023</v>
      </c>
    </row>
    <row r="372" spans="2:29" ht="15">
      <c r="B372" s="206" t="s">
        <v>701</v>
      </c>
      <c r="C372" s="207">
        <v>26.355361874093202</v>
      </c>
      <c r="D372" s="208">
        <v>25.825376368003081</v>
      </c>
      <c r="E372" s="208">
        <v>25.50339800122029</v>
      </c>
      <c r="F372" s="208">
        <v>25.034818038820379</v>
      </c>
      <c r="G372" s="208">
        <v>24.43869888291038</v>
      </c>
      <c r="H372" s="208">
        <v>23.804060840782441</v>
      </c>
      <c r="I372" s="208">
        <v>23.251318808437912</v>
      </c>
      <c r="J372" s="208">
        <v>22.698775733489331</v>
      </c>
      <c r="K372" s="208">
        <v>22.024928394707331</v>
      </c>
      <c r="L372" s="208">
        <v>21.474209313345799</v>
      </c>
      <c r="M372" s="208">
        <v>20.707290503157299</v>
      </c>
      <c r="N372" s="208">
        <v>19.982702653464369</v>
      </c>
      <c r="O372" s="208">
        <v>19.320719508853522</v>
      </c>
      <c r="P372" s="208">
        <v>18.7285287815379</v>
      </c>
      <c r="Q372" s="208">
        <v>17.82785987626422</v>
      </c>
      <c r="R372" s="208">
        <v>17.18992962850551</v>
      </c>
      <c r="S372" s="208">
        <v>16.541613483757271</v>
      </c>
      <c r="T372" s="208">
        <v>15.57476598009567</v>
      </c>
      <c r="U372" s="208">
        <v>14.69542124309794</v>
      </c>
      <c r="V372" s="208">
        <v>13.873269347295301</v>
      </c>
      <c r="W372" s="208">
        <v>13.371023693628439</v>
      </c>
      <c r="X372" s="208">
        <v>12.32439294266212</v>
      </c>
      <c r="Y372" s="208">
        <v>11.576233207540509</v>
      </c>
      <c r="Z372" s="208">
        <v>10.85737699410147</v>
      </c>
      <c r="AA372" s="209">
        <v>-0.5880391608367912</v>
      </c>
      <c r="AC372" s="210">
        <f ca="1">OFFSET(C372,0,[1]Matrix!$C$2-2000)/$AC$2</f>
        <v>3.015938053917075</v>
      </c>
    </row>
    <row r="373" spans="2:29" ht="15">
      <c r="B373" s="206" t="s">
        <v>609</v>
      </c>
      <c r="C373" s="207">
        <v>9.811274090800854</v>
      </c>
      <c r="D373" s="208">
        <v>9.920963929418777</v>
      </c>
      <c r="E373" s="208">
        <v>10.2031087218714</v>
      </c>
      <c r="F373" s="208">
        <v>10.47152939388196</v>
      </c>
      <c r="G373" s="208">
        <v>10.70432659247156</v>
      </c>
      <c r="H373" s="208">
        <v>10.96051493385569</v>
      </c>
      <c r="I373" s="208">
        <v>11.29047148442932</v>
      </c>
      <c r="J373" s="208">
        <v>11.542904607390129</v>
      </c>
      <c r="K373" s="208">
        <v>11.716742899891219</v>
      </c>
      <c r="L373" s="208">
        <v>11.89221927909629</v>
      </c>
      <c r="M373" s="208">
        <v>12.11004996451855</v>
      </c>
      <c r="N373" s="208">
        <v>12.18555144255998</v>
      </c>
      <c r="O373" s="208">
        <v>12.26745753027679</v>
      </c>
      <c r="P373" s="208">
        <v>12.33978740732117</v>
      </c>
      <c r="Q373" s="208">
        <v>12.575210133073069</v>
      </c>
      <c r="R373" s="208">
        <v>12.61421682833973</v>
      </c>
      <c r="S373" s="208">
        <v>12.61326655479869</v>
      </c>
      <c r="T373" s="208">
        <v>12.740343461519689</v>
      </c>
      <c r="U373" s="208">
        <v>12.78577939205965</v>
      </c>
      <c r="V373" s="208">
        <v>12.93215200677545</v>
      </c>
      <c r="W373" s="208">
        <v>13.306432865688381</v>
      </c>
      <c r="X373" s="208">
        <v>12.91467718546526</v>
      </c>
      <c r="Y373" s="208">
        <v>12.61640243530708</v>
      </c>
      <c r="Z373" s="208">
        <v>11.80120977228089</v>
      </c>
      <c r="AA373" s="209">
        <v>0.20282133218007031</v>
      </c>
      <c r="AC373" s="210">
        <f ca="1">OFFSET(C373,0,[1]Matrix!$C$2-2000)/$AC$2</f>
        <v>3.2781138256335804</v>
      </c>
    </row>
    <row r="374" spans="2:29" ht="15">
      <c r="B374" s="206" t="s">
        <v>161</v>
      </c>
      <c r="C374" s="207">
        <v>9.360048544217797</v>
      </c>
      <c r="D374" s="208">
        <v>9.321922840663099</v>
      </c>
      <c r="E374" s="208">
        <v>9.3393506459000477</v>
      </c>
      <c r="F374" s="208">
        <v>9.3899164000852888</v>
      </c>
      <c r="G374" s="208">
        <v>9.4214402998130673</v>
      </c>
      <c r="H374" s="208">
        <v>9.4845797696823624</v>
      </c>
      <c r="I374" s="208">
        <v>9.5291254719136766</v>
      </c>
      <c r="J374" s="208">
        <v>9.5960219797070394</v>
      </c>
      <c r="K374" s="208">
        <v>9.7419513566013567</v>
      </c>
      <c r="L374" s="208">
        <v>9.8870577295331366</v>
      </c>
      <c r="M374" s="208">
        <v>10.006307864140449</v>
      </c>
      <c r="N374" s="208">
        <v>10.078660350230759</v>
      </c>
      <c r="O374" s="208">
        <v>10.165021648879369</v>
      </c>
      <c r="P374" s="208">
        <v>10.194908480054099</v>
      </c>
      <c r="Q374" s="208">
        <v>10.254750339734249</v>
      </c>
      <c r="R374" s="208">
        <v>10.294278337532489</v>
      </c>
      <c r="S374" s="208">
        <v>10.320310891034289</v>
      </c>
      <c r="T374" s="208">
        <v>10.414517962483989</v>
      </c>
      <c r="U374" s="208">
        <v>10.52002087068839</v>
      </c>
      <c r="V374" s="208">
        <v>10.650262908652889</v>
      </c>
      <c r="W374" s="208">
        <v>11.27332591161939</v>
      </c>
      <c r="X374" s="208">
        <v>11.06119023115177</v>
      </c>
      <c r="Y374" s="208">
        <v>11.094629119351019</v>
      </c>
      <c r="Z374" s="208">
        <v>10.772410287205251</v>
      </c>
      <c r="AA374" s="209">
        <v>0.1508925660284039</v>
      </c>
      <c r="AC374" s="210">
        <f ca="1">OFFSET(C374,0,[1]Matrix!$C$2-2000)/$AC$2</f>
        <v>2.9923361908903474</v>
      </c>
    </row>
    <row r="375" spans="2:29" ht="15">
      <c r="B375" s="206" t="s">
        <v>427</v>
      </c>
      <c r="C375" s="207">
        <v>1.552456247235817</v>
      </c>
      <c r="D375" s="208">
        <v>1.58150870423778</v>
      </c>
      <c r="E375" s="208">
        <v>1.6402587988052519</v>
      </c>
      <c r="F375" s="208">
        <v>1.699578786737187</v>
      </c>
      <c r="G375" s="208">
        <v>1.7331127928608849</v>
      </c>
      <c r="H375" s="208">
        <v>1.7684262772769379</v>
      </c>
      <c r="I375" s="208">
        <v>1.874345921191706</v>
      </c>
      <c r="J375" s="208">
        <v>1.9951780931497749</v>
      </c>
      <c r="K375" s="208">
        <v>2.1089830544997419</v>
      </c>
      <c r="L375" s="208">
        <v>2.1864986053088602</v>
      </c>
      <c r="M375" s="208">
        <v>2.22810006331872</v>
      </c>
      <c r="N375" s="208">
        <v>2.3170495152834518</v>
      </c>
      <c r="O375" s="208">
        <v>2.3320377807813619</v>
      </c>
      <c r="P375" s="208">
        <v>2.3706655221267332</v>
      </c>
      <c r="Q375" s="208">
        <v>2.4154706010925859</v>
      </c>
      <c r="R375" s="208">
        <v>2.4487214056223632</v>
      </c>
      <c r="S375" s="208">
        <v>2.4884014731992021</v>
      </c>
      <c r="T375" s="208">
        <v>2.521329469396965</v>
      </c>
      <c r="U375" s="208">
        <v>2.7459950863118752</v>
      </c>
      <c r="V375" s="208">
        <v>2.9632896632110159</v>
      </c>
      <c r="W375" s="208">
        <v>3.1297036624804719</v>
      </c>
      <c r="X375" s="208">
        <v>3.2556564910425059</v>
      </c>
      <c r="Y375" s="208">
        <v>3.27819310768602</v>
      </c>
      <c r="Z375" s="208">
        <v>3.388141094405642</v>
      </c>
      <c r="AA375" s="209">
        <v>1.18243902231596</v>
      </c>
      <c r="AC375" s="210">
        <f ca="1">OFFSET(C375,0,[1]Matrix!$C$2-2000)/$AC$2</f>
        <v>0.94115030400156718</v>
      </c>
    </row>
    <row r="376" spans="2:29" ht="15">
      <c r="B376" s="206" t="s">
        <v>177</v>
      </c>
      <c r="C376" s="207">
        <v>1.587173871801862</v>
      </c>
      <c r="D376" s="208">
        <v>1.600470227569861</v>
      </c>
      <c r="E376" s="208">
        <v>1.5978915362286901</v>
      </c>
      <c r="F376" s="208">
        <v>1.6157340505164051</v>
      </c>
      <c r="G376" s="208">
        <v>1.674865145061075</v>
      </c>
      <c r="H376" s="208">
        <v>1.681263740969632</v>
      </c>
      <c r="I376" s="208">
        <v>1.686896616120376</v>
      </c>
      <c r="J376" s="208">
        <v>1.691085689856102</v>
      </c>
      <c r="K376" s="208">
        <v>1.7053961213181299</v>
      </c>
      <c r="L376" s="208">
        <v>1.7575726588942591</v>
      </c>
      <c r="M376" s="208">
        <v>1.7554163235396389</v>
      </c>
      <c r="N376" s="208">
        <v>1.850697628194707</v>
      </c>
      <c r="O376" s="208">
        <v>1.873418902917332</v>
      </c>
      <c r="P376" s="208">
        <v>1.9651004776941849</v>
      </c>
      <c r="Q376" s="208">
        <v>2.021707580205486</v>
      </c>
      <c r="R376" s="208">
        <v>2.069177216956716</v>
      </c>
      <c r="S376" s="208">
        <v>2.1088068191567162</v>
      </c>
      <c r="T376" s="208">
        <v>2.175104711330341</v>
      </c>
      <c r="U376" s="208">
        <v>2.2848073201063852</v>
      </c>
      <c r="V376" s="208">
        <v>2.3986484693223198</v>
      </c>
      <c r="W376" s="208">
        <v>2.585990680317757</v>
      </c>
      <c r="X376" s="208">
        <v>2.6626496243562019</v>
      </c>
      <c r="Y376" s="208">
        <v>2.8113597078020551</v>
      </c>
      <c r="Z376" s="208">
        <v>2.967329071718237</v>
      </c>
      <c r="AA376" s="209">
        <v>0.8695677420329091</v>
      </c>
      <c r="AC376" s="210">
        <f ca="1">OFFSET(C376,0,[1]Matrix!$C$2-2000)/$AC$2</f>
        <v>0.82425807547728802</v>
      </c>
    </row>
    <row r="377" spans="2:29" ht="15">
      <c r="B377" s="206" t="s">
        <v>703</v>
      </c>
      <c r="C377" s="207">
        <v>0.80648004065760492</v>
      </c>
      <c r="D377" s="208">
        <v>0.88742668488585097</v>
      </c>
      <c r="E377" s="208">
        <v>0.97052965764523769</v>
      </c>
      <c r="F377" s="208">
        <v>1.0856964466194561</v>
      </c>
      <c r="G377" s="208">
        <v>1.1718441811273199</v>
      </c>
      <c r="H377" s="208">
        <v>1.2964144005392899</v>
      </c>
      <c r="I377" s="208">
        <v>1.4137659113857159</v>
      </c>
      <c r="J377" s="208">
        <v>1.5794464106008199</v>
      </c>
      <c r="K377" s="208">
        <v>1.730261360980651</v>
      </c>
      <c r="L377" s="208">
        <v>1.910077837425586</v>
      </c>
      <c r="M377" s="208">
        <v>2.089165350602368</v>
      </c>
      <c r="N377" s="208">
        <v>2.2210140963131191</v>
      </c>
      <c r="O377" s="208">
        <v>2.3535775394972251</v>
      </c>
      <c r="P377" s="208">
        <v>2.528665067659293</v>
      </c>
      <c r="Q377" s="208">
        <v>2.6972526363269891</v>
      </c>
      <c r="R377" s="208">
        <v>2.8962688688987899</v>
      </c>
      <c r="S377" s="208">
        <v>3.1136297721121839</v>
      </c>
      <c r="T377" s="208">
        <v>3.2741149021825251</v>
      </c>
      <c r="U377" s="208">
        <v>3.4651327018552851</v>
      </c>
      <c r="V377" s="208">
        <v>3.66016725161154</v>
      </c>
      <c r="W377" s="208">
        <v>4.0320749332878218</v>
      </c>
      <c r="X377" s="208">
        <v>4.2520821087710088</v>
      </c>
      <c r="Y377" s="208">
        <v>4.6444607916011273</v>
      </c>
      <c r="Z377" s="208">
        <v>5.2763723166394012</v>
      </c>
      <c r="AA377" s="209">
        <v>5.5424710478104826</v>
      </c>
      <c r="AC377" s="210">
        <f ca="1">OFFSET(C377,0,[1]Matrix!$C$2-2000)/$AC$2</f>
        <v>1.465658976844278</v>
      </c>
    </row>
    <row r="378" spans="2:29" ht="15.5" thickBot="1">
      <c r="B378" s="211" t="s">
        <v>689</v>
      </c>
      <c r="C378" s="212">
        <v>0.18239265983399999</v>
      </c>
      <c r="D378" s="213">
        <v>0.18485147095849999</v>
      </c>
      <c r="E378" s="213">
        <v>0.18778053326620001</v>
      </c>
      <c r="F378" s="213">
        <v>0.1545138842563</v>
      </c>
      <c r="G378" s="213">
        <v>0.161764555251</v>
      </c>
      <c r="H378" s="213">
        <v>0.137129727215</v>
      </c>
      <c r="I378" s="213">
        <v>0.19059641459139989</v>
      </c>
      <c r="J378" s="213">
        <v>0.1698645515867</v>
      </c>
      <c r="K378" s="213">
        <v>0.16339230333329999</v>
      </c>
      <c r="L378" s="213">
        <v>0.17887812718870011</v>
      </c>
      <c r="M378" s="213">
        <v>0.1695780963853</v>
      </c>
      <c r="N378" s="213">
        <v>0.15437486608618001</v>
      </c>
      <c r="O378" s="213">
        <v>0.140859181325</v>
      </c>
      <c r="P378" s="213">
        <v>0.13062953725340001</v>
      </c>
      <c r="Q378" s="213">
        <v>0.13449129001977</v>
      </c>
      <c r="R378" s="213">
        <v>0.12902303725888001</v>
      </c>
      <c r="S378" s="213">
        <v>0.10676808722301</v>
      </c>
      <c r="T378" s="213">
        <v>0.11737318838442</v>
      </c>
      <c r="U378" s="213">
        <v>0.1089014694614</v>
      </c>
      <c r="V378" s="213">
        <v>0.1038021182213</v>
      </c>
      <c r="W378" s="213">
        <v>0.10499248513294</v>
      </c>
      <c r="X378" s="213">
        <v>0.10087768887359</v>
      </c>
      <c r="Y378" s="213">
        <v>0.11477982648795</v>
      </c>
      <c r="Z378" s="213">
        <v>0.124412367936</v>
      </c>
      <c r="AA378" s="214">
        <v>-0.31788719979613911</v>
      </c>
      <c r="AC378" s="215">
        <f ca="1">OFFSET(C378,0,[1]Matrix!$C$2-2000)/$AC$2</f>
        <v>3.4558991093333331E-2</v>
      </c>
    </row>
    <row r="379" spans="2:29" ht="15.5" thickBot="1">
      <c r="B379" s="221" t="s">
        <v>61</v>
      </c>
      <c r="C379" s="222">
        <v>49.672749785155709</v>
      </c>
      <c r="D379" s="223">
        <v>49.341552189665599</v>
      </c>
      <c r="E379" s="223">
        <v>49.455031824867113</v>
      </c>
      <c r="F379" s="223">
        <v>49.46230576256449</v>
      </c>
      <c r="G379" s="223">
        <v>49.316399588134118</v>
      </c>
      <c r="H379" s="223">
        <v>49.151151532071303</v>
      </c>
      <c r="I379" s="223">
        <v>49.247497891631483</v>
      </c>
      <c r="J379" s="223">
        <v>49.286680540802479</v>
      </c>
      <c r="K379" s="223">
        <v>49.204104371059863</v>
      </c>
      <c r="L379" s="223">
        <v>49.297608845260022</v>
      </c>
      <c r="M379" s="223">
        <v>49.076448601720408</v>
      </c>
      <c r="N379" s="223">
        <v>48.801002327057333</v>
      </c>
      <c r="O379" s="223">
        <v>48.461834810310421</v>
      </c>
      <c r="P379" s="223">
        <v>48.266947255301091</v>
      </c>
      <c r="Q379" s="223">
        <v>47.938213412603261</v>
      </c>
      <c r="R379" s="223">
        <v>47.651432631373837</v>
      </c>
      <c r="S379" s="223">
        <v>47.303038022133023</v>
      </c>
      <c r="T379" s="223">
        <v>46.827718595567461</v>
      </c>
      <c r="U379" s="223">
        <v>46.615467070058557</v>
      </c>
      <c r="V379" s="223">
        <v>46.589673702545213</v>
      </c>
      <c r="W379" s="223">
        <v>47.813135100631968</v>
      </c>
      <c r="X379" s="223">
        <v>46.577867066280049</v>
      </c>
      <c r="Y379" s="223">
        <v>46.14628841410866</v>
      </c>
      <c r="Z379" s="223">
        <v>45.196658803242791</v>
      </c>
      <c r="AA379" s="219">
        <v>-9.0111600450405532E-2</v>
      </c>
      <c r="AC379" s="220">
        <f ca="1">OFFSET(C379,0,[1]Matrix!$C$2-2000)/$AC$2</f>
        <v>12.554627445345218</v>
      </c>
    </row>
    <row r="380" spans="2:29">
      <c r="B380" s="224" t="s">
        <v>705</v>
      </c>
    </row>
    <row r="383" spans="2:29" ht="15.5">
      <c r="B383" s="198" t="s">
        <v>831</v>
      </c>
      <c r="C383" s="199"/>
      <c r="D383" s="199"/>
      <c r="E383" s="199"/>
      <c r="F383" s="199"/>
      <c r="G383" s="199"/>
      <c r="H383" s="199"/>
      <c r="I383" s="199"/>
      <c r="J383" s="199"/>
      <c r="K383" s="199"/>
      <c r="L383" s="199"/>
      <c r="M383" s="199"/>
      <c r="N383" s="199"/>
      <c r="O383" s="199"/>
      <c r="P383" s="199"/>
      <c r="Q383" s="199"/>
      <c r="R383" s="199"/>
      <c r="S383" s="199"/>
      <c r="T383" s="199"/>
      <c r="U383" s="199"/>
      <c r="V383" s="199"/>
      <c r="W383" s="199"/>
      <c r="X383" s="199"/>
      <c r="Y383" s="199"/>
      <c r="Z383" s="199"/>
      <c r="AA383" s="199"/>
    </row>
    <row r="384" spans="2:29">
      <c r="B384" s="200" t="s">
        <v>723</v>
      </c>
      <c r="C384" s="201"/>
      <c r="D384" s="201"/>
      <c r="E384" s="201"/>
      <c r="F384" s="201"/>
      <c r="G384" s="201"/>
      <c r="H384" s="201"/>
      <c r="I384" s="201"/>
      <c r="J384" s="201"/>
      <c r="K384" s="201"/>
      <c r="L384" s="201"/>
      <c r="M384" s="201"/>
      <c r="N384" s="201"/>
      <c r="O384" s="201"/>
      <c r="P384" s="201"/>
      <c r="Q384" s="201"/>
      <c r="R384" s="201"/>
      <c r="S384" s="201"/>
      <c r="T384" s="201"/>
      <c r="U384" s="201"/>
      <c r="V384" s="201"/>
      <c r="W384" s="201"/>
      <c r="X384" s="201"/>
      <c r="Y384" s="201"/>
      <c r="Z384" s="201"/>
      <c r="AA384" s="201"/>
    </row>
    <row r="385" spans="2:29" ht="15.5" thickBot="1">
      <c r="B385" s="203" t="s">
        <v>707</v>
      </c>
      <c r="C385" s="204">
        <v>2000</v>
      </c>
      <c r="D385" s="204">
        <v>2001</v>
      </c>
      <c r="E385" s="204">
        <v>2002</v>
      </c>
      <c r="F385" s="204">
        <v>2003</v>
      </c>
      <c r="G385" s="204">
        <v>2004</v>
      </c>
      <c r="H385" s="204">
        <v>2005</v>
      </c>
      <c r="I385" s="204">
        <v>2006</v>
      </c>
      <c r="J385" s="204">
        <v>2007</v>
      </c>
      <c r="K385" s="204">
        <v>2008</v>
      </c>
      <c r="L385" s="204">
        <v>2009</v>
      </c>
      <c r="M385" s="204">
        <v>2010</v>
      </c>
      <c r="N385" s="204">
        <v>2011</v>
      </c>
      <c r="O385" s="204">
        <v>2012</v>
      </c>
      <c r="P385" s="204">
        <v>2013</v>
      </c>
      <c r="Q385" s="204">
        <v>2014</v>
      </c>
      <c r="R385" s="204">
        <v>2015</v>
      </c>
      <c r="S385" s="204">
        <v>2016</v>
      </c>
      <c r="T385" s="204">
        <v>2017</v>
      </c>
      <c r="U385" s="204">
        <v>2018</v>
      </c>
      <c r="V385" s="204">
        <v>2019</v>
      </c>
      <c r="W385" s="204">
        <v>2020</v>
      </c>
      <c r="X385" s="204">
        <v>2021</v>
      </c>
      <c r="Y385" s="204">
        <v>2022</v>
      </c>
      <c r="Z385" s="204">
        <v>2023</v>
      </c>
      <c r="AA385" s="204" t="s">
        <v>697</v>
      </c>
    </row>
    <row r="386" spans="2:29" ht="15">
      <c r="B386" s="206" t="s">
        <v>701</v>
      </c>
      <c r="C386" s="207">
        <v>204.93201016129191</v>
      </c>
      <c r="D386" s="208">
        <v>215.7012999543177</v>
      </c>
      <c r="E386" s="208">
        <v>199.24543015389759</v>
      </c>
      <c r="F386" s="208">
        <v>210.18603992871621</v>
      </c>
      <c r="G386" s="208">
        <v>202.51408832978419</v>
      </c>
      <c r="H386" s="208">
        <v>204.40261427944191</v>
      </c>
      <c r="I386" s="208">
        <v>194.50863686150981</v>
      </c>
      <c r="J386" s="208">
        <v>171.82512228400071</v>
      </c>
      <c r="K386" s="208">
        <v>181.6725985683388</v>
      </c>
      <c r="L386" s="208">
        <v>174.3940601166527</v>
      </c>
      <c r="M386" s="208">
        <v>187.49412874380519</v>
      </c>
      <c r="N386" s="208">
        <v>147.4974415792002</v>
      </c>
      <c r="O386" s="208">
        <v>158.79753349451289</v>
      </c>
      <c r="P386" s="208">
        <v>167.4422521567698</v>
      </c>
      <c r="Q386" s="208">
        <v>125.42342651800141</v>
      </c>
      <c r="R386" s="208">
        <v>133.02770063655831</v>
      </c>
      <c r="S386" s="208">
        <v>137.03334260785249</v>
      </c>
      <c r="T386" s="208">
        <v>126.8066956176783</v>
      </c>
      <c r="U386" s="208">
        <v>112.67069630479671</v>
      </c>
      <c r="V386" s="208">
        <v>108.6804333081585</v>
      </c>
      <c r="W386" s="208">
        <v>97.369250665828247</v>
      </c>
      <c r="X386" s="208">
        <v>106.1913071445919</v>
      </c>
      <c r="Y386" s="208">
        <v>85.123615292502791</v>
      </c>
      <c r="Z386" s="208">
        <v>82.348564558069555</v>
      </c>
      <c r="AA386" s="209">
        <v>-0.598166413859616</v>
      </c>
    </row>
    <row r="387" spans="2:29" ht="15">
      <c r="B387" s="206" t="s">
        <v>702</v>
      </c>
      <c r="C387" s="207">
        <v>91.627687084222174</v>
      </c>
      <c r="D387" s="208">
        <v>96.437138554671904</v>
      </c>
      <c r="E387" s="208">
        <v>92.410325960436467</v>
      </c>
      <c r="F387" s="208">
        <v>99.816056883899378</v>
      </c>
      <c r="G387" s="208">
        <v>101.65931075030061</v>
      </c>
      <c r="H387" s="208">
        <v>106.270878879848</v>
      </c>
      <c r="I387" s="208">
        <v>105.5795917124296</v>
      </c>
      <c r="J387" s="208">
        <v>101.6525352930841</v>
      </c>
      <c r="K387" s="208">
        <v>110.0794890766602</v>
      </c>
      <c r="L387" s="208">
        <v>104.97321345694181</v>
      </c>
      <c r="M387" s="208">
        <v>118.1113638394454</v>
      </c>
      <c r="N387" s="208">
        <v>103.2322095054822</v>
      </c>
      <c r="O387" s="208">
        <v>113.0835232718007</v>
      </c>
      <c r="P387" s="208">
        <v>121.60599878729811</v>
      </c>
      <c r="Q387" s="208">
        <v>103.7895684347202</v>
      </c>
      <c r="R387" s="208">
        <v>111.19366276953031</v>
      </c>
      <c r="S387" s="208">
        <v>117.2141948455063</v>
      </c>
      <c r="T387" s="208">
        <v>116.6670161538626</v>
      </c>
      <c r="U387" s="208">
        <v>110.8941024285738</v>
      </c>
      <c r="V387" s="208">
        <v>112.6485902511314</v>
      </c>
      <c r="W387" s="208">
        <v>107.1417809109642</v>
      </c>
      <c r="X387" s="208">
        <v>118.73652901787661</v>
      </c>
      <c r="Y387" s="208">
        <v>100.57241591531771</v>
      </c>
      <c r="Z387" s="208">
        <v>94.466635011380291</v>
      </c>
      <c r="AA387" s="209">
        <v>3.098351620017013E-2</v>
      </c>
    </row>
    <row r="388" spans="2:29" ht="15">
      <c r="B388" s="206" t="s">
        <v>161</v>
      </c>
      <c r="C388" s="207">
        <v>57.942212832892523</v>
      </c>
      <c r="D388" s="208">
        <v>59.527146966063569</v>
      </c>
      <c r="E388" s="208">
        <v>57.786282717931698</v>
      </c>
      <c r="F388" s="208">
        <v>59.983097604743833</v>
      </c>
      <c r="G388" s="208">
        <v>59.924788137332648</v>
      </c>
      <c r="H388" s="208">
        <v>61.444770173375609</v>
      </c>
      <c r="I388" s="208">
        <v>62.032539723351682</v>
      </c>
      <c r="J388" s="208">
        <v>60.779509167885791</v>
      </c>
      <c r="K388" s="208">
        <v>63.581282977821978</v>
      </c>
      <c r="L388" s="208">
        <v>62.365676974550723</v>
      </c>
      <c r="M388" s="208">
        <v>66.343134180400199</v>
      </c>
      <c r="N388" s="208">
        <v>62.438036256638817</v>
      </c>
      <c r="O388" s="208">
        <v>64.969025132163566</v>
      </c>
      <c r="P388" s="208">
        <v>67.388325976201273</v>
      </c>
      <c r="Q388" s="208">
        <v>61.976294545887463</v>
      </c>
      <c r="R388" s="208">
        <v>64.404671169256261</v>
      </c>
      <c r="S388" s="208">
        <v>66.01758374168098</v>
      </c>
      <c r="T388" s="208">
        <v>65.879659913352441</v>
      </c>
      <c r="U388" s="208">
        <v>65.640187732541619</v>
      </c>
      <c r="V388" s="208">
        <v>66.485495147341922</v>
      </c>
      <c r="W388" s="208">
        <v>64.970115310117563</v>
      </c>
      <c r="X388" s="208">
        <v>68.989474514541172</v>
      </c>
      <c r="Y388" s="208">
        <v>66.883578048741199</v>
      </c>
      <c r="Z388" s="208">
        <v>68.292361620537704</v>
      </c>
      <c r="AA388" s="209">
        <v>0.1786288144965294</v>
      </c>
    </row>
    <row r="389" spans="2:29" ht="15">
      <c r="B389" s="206" t="s">
        <v>427</v>
      </c>
      <c r="C389" s="207">
        <v>30.30841494456876</v>
      </c>
      <c r="D389" s="208">
        <v>32.535693606828559</v>
      </c>
      <c r="E389" s="208">
        <v>30.450815868683911</v>
      </c>
      <c r="F389" s="208">
        <v>33.292715971364522</v>
      </c>
      <c r="G389" s="208">
        <v>32.854304643640113</v>
      </c>
      <c r="H389" s="208">
        <v>34.157404590670822</v>
      </c>
      <c r="I389" s="208">
        <v>34.013688716475841</v>
      </c>
      <c r="J389" s="208">
        <v>31.790999874753251</v>
      </c>
      <c r="K389" s="208">
        <v>35.549484198571697</v>
      </c>
      <c r="L389" s="208">
        <v>35.694693010317238</v>
      </c>
      <c r="M389" s="208">
        <v>40.523218861369699</v>
      </c>
      <c r="N389" s="208">
        <v>34.276347887276692</v>
      </c>
      <c r="O389" s="208">
        <v>38.846640001232757</v>
      </c>
      <c r="P389" s="208">
        <v>42.635973269101832</v>
      </c>
      <c r="Q389" s="208">
        <v>35.540662949026412</v>
      </c>
      <c r="R389" s="208">
        <v>38.069893166650701</v>
      </c>
      <c r="S389" s="208">
        <v>40.542357715434328</v>
      </c>
      <c r="T389" s="208">
        <v>40.198488303832157</v>
      </c>
      <c r="U389" s="208">
        <v>39.113673253269873</v>
      </c>
      <c r="V389" s="208">
        <v>41.133651689664653</v>
      </c>
      <c r="W389" s="208">
        <v>39.799572354902651</v>
      </c>
      <c r="X389" s="208">
        <v>48.132861680176497</v>
      </c>
      <c r="Y389" s="208">
        <v>40.925862045981788</v>
      </c>
      <c r="Z389" s="208">
        <v>43.210913432831923</v>
      </c>
      <c r="AA389" s="209">
        <v>0.42570680492069979</v>
      </c>
    </row>
    <row r="390" spans="2:29" ht="15">
      <c r="B390" s="206" t="s">
        <v>83</v>
      </c>
      <c r="C390" s="207">
        <v>6.2769940603024272</v>
      </c>
      <c r="D390" s="208">
        <v>6.5689505458791428</v>
      </c>
      <c r="E390" s="208">
        <v>5.993382380374273</v>
      </c>
      <c r="F390" s="208">
        <v>5.7805789448941116</v>
      </c>
      <c r="G390" s="208">
        <v>5.2225140597645083</v>
      </c>
      <c r="H390" s="208">
        <v>6.2141577831554198</v>
      </c>
      <c r="I390" s="208">
        <v>6.1207159438785226</v>
      </c>
      <c r="J390" s="208">
        <v>7.0479828860792244</v>
      </c>
      <c r="K390" s="208">
        <v>6.4059724218300493</v>
      </c>
      <c r="L390" s="208">
        <v>6.0168898670208204</v>
      </c>
      <c r="M390" s="208">
        <v>6.1579155376524284</v>
      </c>
      <c r="N390" s="208">
        <v>5.803782780641324</v>
      </c>
      <c r="O390" s="208">
        <v>5.1861966153733503</v>
      </c>
      <c r="P390" s="208">
        <v>5.4899324526069364</v>
      </c>
      <c r="Q390" s="208">
        <v>5.2749420930747606</v>
      </c>
      <c r="R390" s="208">
        <v>5.1091067368491849</v>
      </c>
      <c r="S390" s="208">
        <v>4.7583846565335932</v>
      </c>
      <c r="T390" s="208">
        <v>4.6179514196690068</v>
      </c>
      <c r="U390" s="208">
        <v>4.2453854688756287</v>
      </c>
      <c r="V390" s="208">
        <v>3.9119804331415562</v>
      </c>
      <c r="W390" s="208">
        <v>3.678968899202228</v>
      </c>
      <c r="X390" s="208">
        <v>3.770309829241751</v>
      </c>
      <c r="Y390" s="208">
        <v>3.8745601012927411</v>
      </c>
      <c r="Z390" s="208">
        <v>3.0893022209982628</v>
      </c>
      <c r="AA390" s="209">
        <v>-0.50783731969161372</v>
      </c>
    </row>
    <row r="391" spans="2:29" ht="15">
      <c r="B391" s="206" t="s">
        <v>177</v>
      </c>
      <c r="C391" s="207">
        <v>14.143815219154639</v>
      </c>
      <c r="D391" s="208">
        <v>15.01461995647329</v>
      </c>
      <c r="E391" s="208">
        <v>14.49791156730403</v>
      </c>
      <c r="F391" s="208">
        <v>15.647005666171379</v>
      </c>
      <c r="G391" s="208">
        <v>15.522311289013681</v>
      </c>
      <c r="H391" s="208">
        <v>16.25673718832919</v>
      </c>
      <c r="I391" s="208">
        <v>16.733611242267951</v>
      </c>
      <c r="J391" s="208">
        <v>15.454839934515</v>
      </c>
      <c r="K391" s="208">
        <v>16.100876975954421</v>
      </c>
      <c r="L391" s="208">
        <v>15.882170198765341</v>
      </c>
      <c r="M391" s="208">
        <v>17.286261224944681</v>
      </c>
      <c r="N391" s="208">
        <v>15.401597932473919</v>
      </c>
      <c r="O391" s="208">
        <v>17.194795901622641</v>
      </c>
      <c r="P391" s="208">
        <v>18.32610601417074</v>
      </c>
      <c r="Q391" s="208">
        <v>15.601934614808901</v>
      </c>
      <c r="R391" s="208">
        <v>17.89246605158981</v>
      </c>
      <c r="S391" s="208">
        <v>19.237736523153469</v>
      </c>
      <c r="T391" s="208">
        <v>19.435267750385101</v>
      </c>
      <c r="U391" s="208">
        <v>19.511636867701419</v>
      </c>
      <c r="V391" s="208">
        <v>20.850256640760161</v>
      </c>
      <c r="W391" s="208">
        <v>20.59130112693699</v>
      </c>
      <c r="X391" s="208">
        <v>23.61169720620747</v>
      </c>
      <c r="Y391" s="208">
        <v>21.931116497022639</v>
      </c>
      <c r="Z391" s="208">
        <v>23.797757125713531</v>
      </c>
      <c r="AA391" s="209">
        <v>0.68255571477523147</v>
      </c>
    </row>
    <row r="392" spans="2:29" ht="15">
      <c r="B392" s="206" t="s">
        <v>703</v>
      </c>
      <c r="C392" s="207">
        <v>4.1833007238945488</v>
      </c>
      <c r="D392" s="208">
        <v>4.8624680405701746</v>
      </c>
      <c r="E392" s="208">
        <v>4.9099089183300064</v>
      </c>
      <c r="F392" s="208">
        <v>5.6951334881062996</v>
      </c>
      <c r="G392" s="208">
        <v>6.1122248985074554</v>
      </c>
      <c r="H392" s="208">
        <v>6.9473152222904098</v>
      </c>
      <c r="I392" s="208">
        <v>7.4877819021543814</v>
      </c>
      <c r="J392" s="208">
        <v>7.5461627252052814</v>
      </c>
      <c r="K392" s="208">
        <v>9.0477321587186985</v>
      </c>
      <c r="L392" s="208">
        <v>9.8163136201326839</v>
      </c>
      <c r="M392" s="208">
        <v>11.848324379992709</v>
      </c>
      <c r="N392" s="208">
        <v>10.552382496316151</v>
      </c>
      <c r="O392" s="208">
        <v>12.63178228084556</v>
      </c>
      <c r="P392" s="208">
        <v>15.107483849794161</v>
      </c>
      <c r="Q392" s="208">
        <v>12.997222327085661</v>
      </c>
      <c r="R392" s="208">
        <v>15.288353001957329</v>
      </c>
      <c r="S392" s="208">
        <v>17.388391428924081</v>
      </c>
      <c r="T392" s="208">
        <v>18.053260742548542</v>
      </c>
      <c r="U392" s="208">
        <v>18.139624301183559</v>
      </c>
      <c r="V392" s="208">
        <v>19.820681730307211</v>
      </c>
      <c r="W392" s="208">
        <v>20.597811383778641</v>
      </c>
      <c r="X392" s="208">
        <v>25.716380806586489</v>
      </c>
      <c r="Y392" s="208">
        <v>23.863787014481868</v>
      </c>
      <c r="Z392" s="208">
        <v>28.451218258465399</v>
      </c>
      <c r="AA392" s="209">
        <v>5.8011410453843784</v>
      </c>
    </row>
    <row r="393" spans="2:29" ht="15.5" thickBot="1">
      <c r="B393" s="211" t="s">
        <v>689</v>
      </c>
      <c r="C393" s="212">
        <v>23.820878531306011</v>
      </c>
      <c r="D393" s="213">
        <v>24.7602357245365</v>
      </c>
      <c r="E393" s="213">
        <v>22.0706673564802</v>
      </c>
      <c r="F393" s="213">
        <v>21.421955903365401</v>
      </c>
      <c r="G393" s="213">
        <v>22.848896120681001</v>
      </c>
      <c r="H393" s="213">
        <v>22.09203610095501</v>
      </c>
      <c r="I393" s="213">
        <v>22.593789938868309</v>
      </c>
      <c r="J393" s="213">
        <v>19.752742755781</v>
      </c>
      <c r="K393" s="213">
        <v>19.79409428280719</v>
      </c>
      <c r="L393" s="213">
        <v>17.593169993874699</v>
      </c>
      <c r="M393" s="213">
        <v>17.902370191933699</v>
      </c>
      <c r="N393" s="213">
        <v>16.964469773960669</v>
      </c>
      <c r="O393" s="213">
        <v>16.86481503932151</v>
      </c>
      <c r="P393" s="213">
        <v>16.078426957288119</v>
      </c>
      <c r="Q393" s="213">
        <v>15.90929043367368</v>
      </c>
      <c r="R393" s="213">
        <v>14.032724273645369</v>
      </c>
      <c r="S393" s="213">
        <v>14.01816020989521</v>
      </c>
      <c r="T393" s="213">
        <v>14.428788239381481</v>
      </c>
      <c r="U393" s="213">
        <v>14.651357985407399</v>
      </c>
      <c r="V393" s="213">
        <v>14.5912669283846</v>
      </c>
      <c r="W393" s="213">
        <v>14.668923169024641</v>
      </c>
      <c r="X393" s="213">
        <v>15.25329650923339</v>
      </c>
      <c r="Y393" s="213">
        <v>15.5859566114068</v>
      </c>
      <c r="Z393" s="213">
        <v>15.2706368039285</v>
      </c>
      <c r="AA393" s="214">
        <v>-0.35893897515746781</v>
      </c>
    </row>
    <row r="394" spans="2:29" ht="15.5" thickBot="1">
      <c r="B394" s="221" t="s">
        <v>700</v>
      </c>
      <c r="C394" s="222">
        <v>433.23531355763288</v>
      </c>
      <c r="D394" s="223">
        <v>455.40755334934079</v>
      </c>
      <c r="E394" s="223">
        <v>427.36472492343819</v>
      </c>
      <c r="F394" s="223">
        <v>451.82258439126099</v>
      </c>
      <c r="G394" s="223">
        <v>446.65843822902423</v>
      </c>
      <c r="H394" s="223">
        <v>457.78591421806641</v>
      </c>
      <c r="I394" s="223">
        <v>449.07035604093608</v>
      </c>
      <c r="J394" s="223">
        <v>415.84989492130438</v>
      </c>
      <c r="K394" s="223">
        <v>442.23153066070302</v>
      </c>
      <c r="L394" s="223">
        <v>426.73618723825609</v>
      </c>
      <c r="M394" s="223">
        <v>465.66671695954398</v>
      </c>
      <c r="N394" s="223">
        <v>396.16626821198992</v>
      </c>
      <c r="O394" s="223">
        <v>427.57431173687303</v>
      </c>
      <c r="P394" s="223">
        <v>454.07449946323089</v>
      </c>
      <c r="Q394" s="223">
        <v>376.51334191627848</v>
      </c>
      <c r="R394" s="223">
        <v>399.01857780603729</v>
      </c>
      <c r="S394" s="223">
        <v>416.21015172898052</v>
      </c>
      <c r="T394" s="223">
        <v>406.08712814070958</v>
      </c>
      <c r="U394" s="223">
        <v>384.86666434235008</v>
      </c>
      <c r="V394" s="223">
        <v>388.12235612888998</v>
      </c>
      <c r="W394" s="223">
        <v>368.81772382075508</v>
      </c>
      <c r="X394" s="223">
        <v>410.40185670845528</v>
      </c>
      <c r="Y394" s="223">
        <v>358.76089152674751</v>
      </c>
      <c r="Z394" s="223">
        <v>358.92738903192509</v>
      </c>
      <c r="AA394" s="219">
        <v>-0.17151862325235559</v>
      </c>
    </row>
    <row r="398" spans="2:29" ht="15.5">
      <c r="B398" s="198" t="s">
        <v>832</v>
      </c>
      <c r="C398" s="199"/>
      <c r="D398" s="199"/>
      <c r="E398" s="199"/>
      <c r="F398" s="199"/>
      <c r="G398" s="199"/>
      <c r="H398" s="199"/>
      <c r="I398" s="199"/>
      <c r="J398" s="199"/>
      <c r="K398" s="199"/>
      <c r="L398" s="199"/>
      <c r="M398" s="199"/>
      <c r="N398" s="199"/>
      <c r="O398" s="199"/>
      <c r="P398" s="199"/>
      <c r="Q398" s="199"/>
      <c r="R398" s="199"/>
      <c r="S398" s="199"/>
      <c r="T398" s="199"/>
      <c r="U398" s="199"/>
      <c r="V398" s="199"/>
      <c r="W398" s="199"/>
      <c r="X398" s="199"/>
      <c r="Y398" s="199"/>
      <c r="Z398" s="199"/>
      <c r="AA398" s="199"/>
    </row>
    <row r="399" spans="2:29">
      <c r="B399" s="200" t="s">
        <v>723</v>
      </c>
      <c r="C399" s="201"/>
      <c r="D399" s="201"/>
      <c r="E399" s="201"/>
      <c r="F399" s="201"/>
      <c r="G399" s="201"/>
      <c r="H399" s="201"/>
      <c r="I399" s="201"/>
      <c r="J399" s="201"/>
      <c r="K399" s="201"/>
      <c r="L399" s="201"/>
      <c r="M399" s="201"/>
      <c r="N399" s="201"/>
      <c r="O399" s="201"/>
      <c r="P399" s="201"/>
      <c r="Q399" s="201"/>
      <c r="R399" s="201"/>
      <c r="S399" s="201"/>
      <c r="T399" s="201"/>
      <c r="U399" s="201"/>
      <c r="V399" s="201"/>
      <c r="W399" s="201"/>
      <c r="X399" s="201"/>
      <c r="Y399" s="201"/>
      <c r="Z399" s="201"/>
      <c r="AA399" s="201"/>
      <c r="AC399" s="202" t="s">
        <v>678</v>
      </c>
    </row>
    <row r="400" spans="2:29" ht="15.5" thickBot="1">
      <c r="B400" s="203" t="s">
        <v>679</v>
      </c>
      <c r="C400" s="204">
        <v>2000</v>
      </c>
      <c r="D400" s="204">
        <v>2001</v>
      </c>
      <c r="E400" s="204">
        <v>2002</v>
      </c>
      <c r="F400" s="204">
        <v>2003</v>
      </c>
      <c r="G400" s="204">
        <v>2004</v>
      </c>
      <c r="H400" s="204">
        <v>2005</v>
      </c>
      <c r="I400" s="204">
        <v>2006</v>
      </c>
      <c r="J400" s="204">
        <v>2007</v>
      </c>
      <c r="K400" s="204">
        <v>2008</v>
      </c>
      <c r="L400" s="204">
        <v>2009</v>
      </c>
      <c r="M400" s="204">
        <v>2010</v>
      </c>
      <c r="N400" s="204">
        <v>2011</v>
      </c>
      <c r="O400" s="204">
        <v>2012</v>
      </c>
      <c r="P400" s="204">
        <v>2013</v>
      </c>
      <c r="Q400" s="204">
        <v>2014</v>
      </c>
      <c r="R400" s="204">
        <v>2015</v>
      </c>
      <c r="S400" s="204">
        <v>2016</v>
      </c>
      <c r="T400" s="204">
        <v>2017</v>
      </c>
      <c r="U400" s="204">
        <v>2018</v>
      </c>
      <c r="V400" s="204">
        <v>2019</v>
      </c>
      <c r="W400" s="204">
        <v>2020</v>
      </c>
      <c r="X400" s="204">
        <v>2021</v>
      </c>
      <c r="Y400" s="204">
        <v>2022</v>
      </c>
      <c r="Z400" s="204">
        <v>2023</v>
      </c>
      <c r="AA400" s="204" t="s">
        <v>697</v>
      </c>
      <c r="AC400" s="205">
        <f ca="1">OFFSET(C400,0,[1]Matrix!$C$2-2000)</f>
        <v>2023</v>
      </c>
    </row>
    <row r="401" spans="2:31" ht="15">
      <c r="B401" s="206" t="s">
        <v>681</v>
      </c>
      <c r="C401" s="207">
        <v>261.57415229828212</v>
      </c>
      <c r="D401" s="208">
        <v>285.23578558868678</v>
      </c>
      <c r="E401" s="208">
        <v>262.02960130849152</v>
      </c>
      <c r="F401" s="208">
        <v>285.53209925027949</v>
      </c>
      <c r="G401" s="208">
        <v>279.74333296151889</v>
      </c>
      <c r="H401" s="208">
        <v>289.01342811271297</v>
      </c>
      <c r="I401" s="208">
        <v>279.72206846595469</v>
      </c>
      <c r="J401" s="208">
        <v>244.4868411588628</v>
      </c>
      <c r="K401" s="208">
        <v>271.44678109817039</v>
      </c>
      <c r="L401" s="208">
        <v>266.38921609093711</v>
      </c>
      <c r="M401" s="208">
        <v>300.52120622615962</v>
      </c>
      <c r="N401" s="208">
        <v>231.56621529862949</v>
      </c>
      <c r="O401" s="208">
        <v>262.68933071512862</v>
      </c>
      <c r="P401" s="208">
        <v>290.25599318841608</v>
      </c>
      <c r="Q401" s="208">
        <v>215.65257306580349</v>
      </c>
      <c r="R401" s="208">
        <v>240.2187923531811</v>
      </c>
      <c r="S401" s="208">
        <v>257.38775291235169</v>
      </c>
      <c r="T401" s="208">
        <v>247.89035435806721</v>
      </c>
      <c r="U401" s="208">
        <v>225.33854209803081</v>
      </c>
      <c r="V401" s="208">
        <v>229.23577270490119</v>
      </c>
      <c r="W401" s="208">
        <v>213.13807301221681</v>
      </c>
      <c r="X401" s="208">
        <v>252.75385649374579</v>
      </c>
      <c r="Y401" s="208">
        <v>200.32618957305431</v>
      </c>
      <c r="Z401" s="208">
        <v>206.33516825722049</v>
      </c>
      <c r="AA401" s="209">
        <v>-0.21117906167605849</v>
      </c>
      <c r="AC401" s="210">
        <f ca="1">OFFSET(C401,0,[1]Matrix!$C$2-2000)/$AC$2</f>
        <v>57.315324515894581</v>
      </c>
    </row>
    <row r="402" spans="2:31" ht="15">
      <c r="B402" s="206" t="s">
        <v>682</v>
      </c>
      <c r="C402" s="207">
        <v>49.519623463805921</v>
      </c>
      <c r="D402" s="208">
        <v>49.190980721296377</v>
      </c>
      <c r="E402" s="208">
        <v>49.30735548769691</v>
      </c>
      <c r="F402" s="208">
        <v>49.316050504744481</v>
      </c>
      <c r="G402" s="208">
        <v>49.173939592058282</v>
      </c>
      <c r="H402" s="208">
        <v>49.010644448571597</v>
      </c>
      <c r="I402" s="208">
        <v>49.110469100504808</v>
      </c>
      <c r="J402" s="208">
        <v>49.153009294419107</v>
      </c>
      <c r="K402" s="208">
        <v>49.074809922619693</v>
      </c>
      <c r="L402" s="208">
        <v>49.173529198866447</v>
      </c>
      <c r="M402" s="208">
        <v>48.953580940286876</v>
      </c>
      <c r="N402" s="208">
        <v>48.680369629720722</v>
      </c>
      <c r="O402" s="208">
        <v>48.346213637925267</v>
      </c>
      <c r="P402" s="208">
        <v>48.155376964731552</v>
      </c>
      <c r="Q402" s="208">
        <v>47.835744393228047</v>
      </c>
      <c r="R402" s="208">
        <v>47.551382322056583</v>
      </c>
      <c r="S402" s="208">
        <v>47.203255124197689</v>
      </c>
      <c r="T402" s="208">
        <v>46.735937568193457</v>
      </c>
      <c r="U402" s="208">
        <v>46.529411570859303</v>
      </c>
      <c r="V402" s="208">
        <v>46.506024205781493</v>
      </c>
      <c r="W402" s="208">
        <v>47.736297502858193</v>
      </c>
      <c r="X402" s="208">
        <v>46.503808332326933</v>
      </c>
      <c r="Y402" s="208">
        <v>46.075397608947483</v>
      </c>
      <c r="Z402" s="208">
        <v>45.128233563737439</v>
      </c>
      <c r="AA402" s="209">
        <v>-8.8679791825924642E-2</v>
      </c>
      <c r="AC402" s="210">
        <f ca="1">OFFSET(C402,0,[1]Matrix!$C$2-2000)/$AC$2</f>
        <v>12.535620434371511</v>
      </c>
      <c r="AE402" s="248" t="s">
        <v>833</v>
      </c>
    </row>
    <row r="403" spans="2:31" ht="15">
      <c r="B403" s="206" t="s">
        <v>683</v>
      </c>
      <c r="C403" s="207">
        <v>107.76082825309329</v>
      </c>
      <c r="D403" s="208">
        <v>106.2133808252681</v>
      </c>
      <c r="E403" s="208">
        <v>101.0263148698369</v>
      </c>
      <c r="F403" s="208">
        <v>101.20231080309109</v>
      </c>
      <c r="G403" s="208">
        <v>102.1521563860026</v>
      </c>
      <c r="H403" s="208">
        <v>103.7696138506563</v>
      </c>
      <c r="I403" s="208">
        <v>103.6903999376208</v>
      </c>
      <c r="J403" s="208">
        <v>105.316621833594</v>
      </c>
      <c r="K403" s="208">
        <v>104.0829882237562</v>
      </c>
      <c r="L403" s="208">
        <v>93.325716238574017</v>
      </c>
      <c r="M403" s="208">
        <v>97.949541910872995</v>
      </c>
      <c r="N403" s="208">
        <v>97.737923628642193</v>
      </c>
      <c r="O403" s="208">
        <v>98.563311555488497</v>
      </c>
      <c r="P403" s="208">
        <v>97.679682534932354</v>
      </c>
      <c r="Q403" s="208">
        <v>95.490125731437104</v>
      </c>
      <c r="R403" s="208">
        <v>92.926824547601768</v>
      </c>
      <c r="S403" s="208">
        <v>93.68796672822981</v>
      </c>
      <c r="T403" s="208">
        <v>93.383068671141189</v>
      </c>
      <c r="U403" s="208">
        <v>94.608807589637067</v>
      </c>
      <c r="V403" s="208">
        <v>93.99117328528925</v>
      </c>
      <c r="W403" s="208">
        <v>89.989984999355798</v>
      </c>
      <c r="X403" s="208">
        <v>93.590423469612446</v>
      </c>
      <c r="Y403" s="208">
        <v>93.710439345751212</v>
      </c>
      <c r="Z403" s="208">
        <v>88.874891309118595</v>
      </c>
      <c r="AA403" s="209">
        <v>-0.17525790447358211</v>
      </c>
      <c r="AC403" s="210">
        <f ca="1">OFFSET(C403,0,[1]Matrix!$C$2-2000)/$AC$2</f>
        <v>24.687469808088498</v>
      </c>
      <c r="AE403" s="249">
        <f ca="1">SUM(AC403:AC404)</f>
        <v>28.177255367760683</v>
      </c>
    </row>
    <row r="404" spans="2:31" ht="15">
      <c r="B404" s="206" t="s">
        <v>698</v>
      </c>
      <c r="C404" s="207">
        <v>10.38415936033075</v>
      </c>
      <c r="D404" s="208">
        <v>10.63076794482723</v>
      </c>
      <c r="E404" s="208">
        <v>10.8835027746698</v>
      </c>
      <c r="F404" s="208">
        <v>11.01395760401447</v>
      </c>
      <c r="G404" s="208">
        <v>11.26081991685172</v>
      </c>
      <c r="H404" s="208">
        <v>11.481949195385379</v>
      </c>
      <c r="I404" s="208">
        <v>11.79227532690097</v>
      </c>
      <c r="J404" s="208">
        <v>12.394641374586559</v>
      </c>
      <c r="K404" s="208">
        <v>12.94163030054535</v>
      </c>
      <c r="L404" s="208">
        <v>12.899132059466361</v>
      </c>
      <c r="M404" s="208">
        <v>13.205417656134641</v>
      </c>
      <c r="N404" s="208">
        <v>13.1394015378264</v>
      </c>
      <c r="O404" s="208">
        <v>12.919436692913351</v>
      </c>
      <c r="P404" s="208">
        <v>12.836266023405731</v>
      </c>
      <c r="Q404" s="208">
        <v>12.859572293980939</v>
      </c>
      <c r="R404" s="208">
        <v>12.679731130896171</v>
      </c>
      <c r="S404" s="208">
        <v>12.638403351928719</v>
      </c>
      <c r="T404" s="208">
        <v>12.469339763857709</v>
      </c>
      <c r="U404" s="208">
        <v>12.652492874985089</v>
      </c>
      <c r="V404" s="208">
        <v>12.70279661739907</v>
      </c>
      <c r="W404" s="208">
        <v>12.458826699594191</v>
      </c>
      <c r="X404" s="208">
        <v>12.487197696522021</v>
      </c>
      <c r="Y404" s="208">
        <v>12.706248144839799</v>
      </c>
      <c r="Z404" s="208">
        <v>12.56322801481987</v>
      </c>
      <c r="AA404" s="209">
        <v>0.20984545584051101</v>
      </c>
      <c r="AC404" s="210">
        <f ca="1">OFFSET(C404,0,[1]Matrix!$C$2-2000)/$AC$2</f>
        <v>3.4897855596721863</v>
      </c>
    </row>
    <row r="405" spans="2:31" ht="15.5" thickBot="1">
      <c r="B405" s="211" t="s">
        <v>699</v>
      </c>
      <c r="C405" s="212">
        <v>3.9965501821209131</v>
      </c>
      <c r="D405" s="213">
        <v>4.1366382692624271</v>
      </c>
      <c r="E405" s="213">
        <v>4.1179504827431259</v>
      </c>
      <c r="F405" s="213">
        <v>4.7581662291316356</v>
      </c>
      <c r="G405" s="213">
        <v>4.3281893725927088</v>
      </c>
      <c r="H405" s="213">
        <v>4.5102786107399986</v>
      </c>
      <c r="I405" s="213">
        <v>4.7551432099546744</v>
      </c>
      <c r="J405" s="213">
        <v>4.4987812598418957</v>
      </c>
      <c r="K405" s="213">
        <v>4.685321115611436</v>
      </c>
      <c r="L405" s="213">
        <v>4.948593650412267</v>
      </c>
      <c r="M405" s="213">
        <v>5.0369702260899496</v>
      </c>
      <c r="N405" s="213">
        <v>5.0423581171711476</v>
      </c>
      <c r="O405" s="213">
        <v>5.0560191354172428</v>
      </c>
      <c r="P405" s="213">
        <v>5.1471807517451218</v>
      </c>
      <c r="Q405" s="213">
        <v>4.6753264318289069</v>
      </c>
      <c r="R405" s="213">
        <v>5.6418474523016204</v>
      </c>
      <c r="S405" s="213">
        <v>5.2927736122726117</v>
      </c>
      <c r="T405" s="213">
        <v>5.6084277794501416</v>
      </c>
      <c r="U405" s="213">
        <v>5.737410208837769</v>
      </c>
      <c r="V405" s="213">
        <v>5.6865893155189431</v>
      </c>
      <c r="W405" s="213">
        <v>5.494541606730138</v>
      </c>
      <c r="X405" s="213">
        <v>5.0665707162481963</v>
      </c>
      <c r="Y405" s="213">
        <v>5.9426168541547657</v>
      </c>
      <c r="Z405" s="213">
        <v>6.0258678870287632</v>
      </c>
      <c r="AA405" s="214">
        <v>0.50776735244968707</v>
      </c>
      <c r="AC405" s="215">
        <f ca="1">OFFSET(C405,0,[1]Matrix!$C$2-2000)/$AC$2</f>
        <v>1.6738521908413231</v>
      </c>
    </row>
    <row r="406" spans="2:31" ht="15.5" thickBot="1">
      <c r="B406" s="221" t="s">
        <v>700</v>
      </c>
      <c r="C406" s="222">
        <v>433.23531355763299</v>
      </c>
      <c r="D406" s="223">
        <v>455.40755334934101</v>
      </c>
      <c r="E406" s="223">
        <v>427.36472492343819</v>
      </c>
      <c r="F406" s="223">
        <v>451.82258439126122</v>
      </c>
      <c r="G406" s="223">
        <v>446.65843822902423</v>
      </c>
      <c r="H406" s="223">
        <v>457.7859142180663</v>
      </c>
      <c r="I406" s="223">
        <v>449.07035604093602</v>
      </c>
      <c r="J406" s="223">
        <v>415.84989492130438</v>
      </c>
      <c r="K406" s="223">
        <v>442.23153066070307</v>
      </c>
      <c r="L406" s="223">
        <v>426.73618723825621</v>
      </c>
      <c r="M406" s="223">
        <v>465.66671695954409</v>
      </c>
      <c r="N406" s="223">
        <v>396.16626821198997</v>
      </c>
      <c r="O406" s="223">
        <v>427.57431173687303</v>
      </c>
      <c r="P406" s="223">
        <v>454.07449946323089</v>
      </c>
      <c r="Q406" s="223">
        <v>376.51334191627848</v>
      </c>
      <c r="R406" s="223">
        <v>399.01857780603729</v>
      </c>
      <c r="S406" s="223">
        <v>416.21015172898058</v>
      </c>
      <c r="T406" s="223">
        <v>406.08712814070958</v>
      </c>
      <c r="U406" s="223">
        <v>384.86666434235002</v>
      </c>
      <c r="V406" s="223">
        <v>388.12235612888998</v>
      </c>
      <c r="W406" s="223">
        <v>368.81772382075508</v>
      </c>
      <c r="X406" s="223">
        <v>410.40185670845528</v>
      </c>
      <c r="Y406" s="223">
        <v>358.76089152674751</v>
      </c>
      <c r="Z406" s="223">
        <v>358.92738903192509</v>
      </c>
      <c r="AA406" s="219">
        <v>-0.17151862325235581</v>
      </c>
      <c r="AC406" s="220">
        <f ca="1">OFFSET(C406,0,[1]Matrix!$C$2-2000)/$AC$2</f>
        <v>99.702052508868078</v>
      </c>
    </row>
    <row r="407" spans="2:31">
      <c r="B407" s="224" t="s">
        <v>705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595F8-0FA5-48CA-A115-63E36E4DDEA0}">
  <sheetPr codeName="Tabelle46">
    <tabColor rgb="FFFF0000"/>
  </sheetPr>
  <dimension ref="A1:K55"/>
  <sheetViews>
    <sheetView workbookViewId="0">
      <selection activeCell="K18" sqref="K18"/>
    </sheetView>
  </sheetViews>
  <sheetFormatPr defaultColWidth="11.54296875" defaultRowHeight="12.5"/>
  <cols>
    <col min="1" max="1" width="8.7265625" style="4" customWidth="1"/>
    <col min="2" max="10" width="11.81640625" style="4" customWidth="1"/>
    <col min="11" max="11" width="15.26953125" style="4" customWidth="1"/>
    <col min="12" max="16384" width="11.54296875" style="4"/>
  </cols>
  <sheetData>
    <row r="1" spans="1:11" ht="13">
      <c r="A1" s="3" t="s">
        <v>599</v>
      </c>
      <c r="K1" s="5" t="s">
        <v>600</v>
      </c>
    </row>
    <row r="2" spans="1:11" ht="13">
      <c r="A2" s="3" t="s">
        <v>601</v>
      </c>
      <c r="K2" s="5" t="s">
        <v>602</v>
      </c>
    </row>
    <row r="4" spans="1:11" ht="13.15" customHeight="1">
      <c r="A4" s="270" t="s">
        <v>55</v>
      </c>
      <c r="B4" s="259" t="s">
        <v>603</v>
      </c>
      <c r="C4" s="261"/>
      <c r="D4" s="259" t="s">
        <v>604</v>
      </c>
      <c r="E4" s="261"/>
      <c r="F4" s="259" t="s">
        <v>605</v>
      </c>
      <c r="G4" s="260"/>
      <c r="H4" s="261"/>
      <c r="I4" s="259" t="s">
        <v>524</v>
      </c>
      <c r="J4" s="261"/>
      <c r="K4" s="272" t="s">
        <v>606</v>
      </c>
    </row>
    <row r="5" spans="1:11" ht="22">
      <c r="A5" s="271"/>
      <c r="B5" s="96" t="s">
        <v>607</v>
      </c>
      <c r="C5" s="42" t="s">
        <v>608</v>
      </c>
      <c r="D5" s="96" t="s">
        <v>607</v>
      </c>
      <c r="E5" s="42" t="s">
        <v>608</v>
      </c>
      <c r="F5" s="96" t="s">
        <v>609</v>
      </c>
      <c r="G5" s="97" t="s">
        <v>610</v>
      </c>
      <c r="H5" s="42" t="s">
        <v>611</v>
      </c>
      <c r="I5" s="96" t="s">
        <v>607</v>
      </c>
      <c r="J5" s="42" t="s">
        <v>608</v>
      </c>
      <c r="K5" s="273"/>
    </row>
    <row r="6" spans="1:11" ht="22.5" customHeight="1">
      <c r="A6" s="263" t="s">
        <v>62</v>
      </c>
      <c r="B6" s="265" t="s">
        <v>612</v>
      </c>
      <c r="C6" s="266"/>
      <c r="D6" s="265" t="s">
        <v>463</v>
      </c>
      <c r="E6" s="266"/>
      <c r="F6" s="265" t="s">
        <v>613</v>
      </c>
      <c r="G6" s="267"/>
      <c r="H6" s="266"/>
      <c r="I6" s="265" t="s">
        <v>527</v>
      </c>
      <c r="J6" s="266"/>
      <c r="K6" s="268" t="s">
        <v>614</v>
      </c>
    </row>
    <row r="7" spans="1:11" ht="22.5" customHeight="1">
      <c r="A7" s="264"/>
      <c r="B7" s="89" t="s">
        <v>607</v>
      </c>
      <c r="C7" s="100" t="s">
        <v>608</v>
      </c>
      <c r="D7" s="89" t="s">
        <v>607</v>
      </c>
      <c r="E7" s="100" t="s">
        <v>608</v>
      </c>
      <c r="F7" s="89" t="s">
        <v>615</v>
      </c>
      <c r="G7" s="12" t="s">
        <v>616</v>
      </c>
      <c r="H7" s="100" t="s">
        <v>206</v>
      </c>
      <c r="I7" s="89" t="s">
        <v>607</v>
      </c>
      <c r="J7" s="100" t="s">
        <v>608</v>
      </c>
      <c r="K7" s="269"/>
    </row>
    <row r="8" spans="1:11">
      <c r="A8" s="14">
        <v>1990</v>
      </c>
      <c r="B8" s="15">
        <v>25</v>
      </c>
      <c r="C8" s="46">
        <v>275</v>
      </c>
      <c r="D8" s="144">
        <v>242</v>
      </c>
      <c r="E8" s="46">
        <v>31</v>
      </c>
      <c r="F8" s="144">
        <v>110</v>
      </c>
      <c r="G8" s="16">
        <v>13</v>
      </c>
      <c r="H8" s="46">
        <v>228</v>
      </c>
      <c r="I8" s="144">
        <v>566</v>
      </c>
      <c r="J8" s="46">
        <v>84</v>
      </c>
      <c r="K8" s="18">
        <v>189</v>
      </c>
    </row>
    <row r="9" spans="1:11">
      <c r="A9" s="157">
        <v>1991</v>
      </c>
      <c r="B9" s="125">
        <v>25</v>
      </c>
      <c r="C9" s="47">
        <v>328</v>
      </c>
      <c r="D9" s="125">
        <v>242</v>
      </c>
      <c r="E9" s="47">
        <v>37</v>
      </c>
      <c r="F9" s="125">
        <v>182</v>
      </c>
      <c r="G9" s="21">
        <v>17</v>
      </c>
      <c r="H9" s="47">
        <v>237</v>
      </c>
      <c r="I9" s="125">
        <v>662</v>
      </c>
      <c r="J9" s="47">
        <v>110</v>
      </c>
      <c r="K9" s="23">
        <v>235</v>
      </c>
    </row>
    <row r="10" spans="1:11">
      <c r="A10" s="157">
        <v>1992</v>
      </c>
      <c r="B10" s="125">
        <v>26</v>
      </c>
      <c r="C10" s="47">
        <v>379</v>
      </c>
      <c r="D10" s="125">
        <v>269</v>
      </c>
      <c r="E10" s="47">
        <v>43</v>
      </c>
      <c r="F10" s="125">
        <v>237</v>
      </c>
      <c r="G10" s="21">
        <v>24</v>
      </c>
      <c r="H10" s="47">
        <v>241</v>
      </c>
      <c r="I10" s="125">
        <v>714</v>
      </c>
      <c r="J10" s="47">
        <v>131</v>
      </c>
      <c r="K10" s="23">
        <v>272</v>
      </c>
    </row>
    <row r="11" spans="1:11">
      <c r="A11" s="157">
        <v>1993</v>
      </c>
      <c r="B11" s="125">
        <v>25</v>
      </c>
      <c r="C11" s="47">
        <v>428</v>
      </c>
      <c r="D11" s="125">
        <v>268</v>
      </c>
      <c r="E11" s="47">
        <v>51</v>
      </c>
      <c r="F11" s="125">
        <v>285</v>
      </c>
      <c r="G11" s="21">
        <v>23</v>
      </c>
      <c r="H11" s="47">
        <v>254</v>
      </c>
      <c r="I11" s="125">
        <v>772</v>
      </c>
      <c r="J11" s="47">
        <v>150</v>
      </c>
      <c r="K11" s="23">
        <v>308</v>
      </c>
    </row>
    <row r="12" spans="1:11">
      <c r="A12" s="157">
        <v>1994</v>
      </c>
      <c r="B12" s="125">
        <v>26</v>
      </c>
      <c r="C12" s="47">
        <v>502</v>
      </c>
      <c r="D12" s="125">
        <v>299</v>
      </c>
      <c r="E12" s="47">
        <v>64</v>
      </c>
      <c r="F12" s="125">
        <v>387</v>
      </c>
      <c r="G12" s="21">
        <v>37</v>
      </c>
      <c r="H12" s="47">
        <v>266</v>
      </c>
      <c r="I12" s="125">
        <v>794</v>
      </c>
      <c r="J12" s="47">
        <v>191</v>
      </c>
      <c r="K12" s="23">
        <v>374</v>
      </c>
    </row>
    <row r="13" spans="1:11">
      <c r="A13" s="157">
        <v>1995</v>
      </c>
      <c r="B13" s="125">
        <v>27</v>
      </c>
      <c r="C13" s="47">
        <v>568</v>
      </c>
      <c r="D13" s="125">
        <v>310</v>
      </c>
      <c r="E13" s="47">
        <v>75</v>
      </c>
      <c r="F13" s="125">
        <v>529</v>
      </c>
      <c r="G13" s="21">
        <v>64</v>
      </c>
      <c r="H13" s="47">
        <v>285</v>
      </c>
      <c r="I13" s="125">
        <v>890</v>
      </c>
      <c r="J13" s="47">
        <v>253</v>
      </c>
      <c r="K13" s="23">
        <v>477</v>
      </c>
    </row>
    <row r="14" spans="1:11">
      <c r="A14" s="157">
        <v>1996</v>
      </c>
      <c r="B14" s="125">
        <v>27</v>
      </c>
      <c r="C14" s="47">
        <v>630</v>
      </c>
      <c r="D14" s="125">
        <v>300</v>
      </c>
      <c r="E14" s="47">
        <v>83</v>
      </c>
      <c r="F14" s="125">
        <v>666</v>
      </c>
      <c r="G14" s="21">
        <v>92</v>
      </c>
      <c r="H14" s="47">
        <v>293</v>
      </c>
      <c r="I14" s="125">
        <v>973</v>
      </c>
      <c r="J14" s="47">
        <v>312</v>
      </c>
      <c r="K14" s="23">
        <v>571</v>
      </c>
    </row>
    <row r="15" spans="1:11">
      <c r="A15" s="157">
        <v>1997</v>
      </c>
      <c r="B15" s="125">
        <v>28</v>
      </c>
      <c r="C15" s="47">
        <v>691</v>
      </c>
      <c r="D15" s="125">
        <v>330</v>
      </c>
      <c r="E15" s="47">
        <v>94</v>
      </c>
      <c r="F15" s="125">
        <v>719</v>
      </c>
      <c r="G15" s="21">
        <v>119</v>
      </c>
      <c r="H15" s="47">
        <v>310</v>
      </c>
      <c r="I15" s="125">
        <v>1054</v>
      </c>
      <c r="J15" s="47">
        <v>346</v>
      </c>
      <c r="K15" s="23">
        <v>625</v>
      </c>
    </row>
    <row r="16" spans="1:11">
      <c r="A16" s="157">
        <v>1998</v>
      </c>
      <c r="B16" s="125">
        <v>31</v>
      </c>
      <c r="C16" s="47">
        <v>780</v>
      </c>
      <c r="D16" s="125">
        <v>339</v>
      </c>
      <c r="E16" s="47">
        <v>105</v>
      </c>
      <c r="F16" s="125">
        <v>772</v>
      </c>
      <c r="G16" s="21">
        <v>162</v>
      </c>
      <c r="H16" s="47">
        <v>335</v>
      </c>
      <c r="I16" s="125">
        <v>1123</v>
      </c>
      <c r="J16" s="47">
        <v>390</v>
      </c>
      <c r="K16" s="23">
        <v>686</v>
      </c>
    </row>
    <row r="17" spans="1:11" collapsed="1">
      <c r="A17" s="157">
        <v>1999</v>
      </c>
      <c r="B17" s="125">
        <v>33</v>
      </c>
      <c r="C17" s="47">
        <v>844</v>
      </c>
      <c r="D17" s="125">
        <v>356</v>
      </c>
      <c r="E17" s="47">
        <v>116</v>
      </c>
      <c r="F17" s="125">
        <v>813</v>
      </c>
      <c r="G17" s="21">
        <v>212</v>
      </c>
      <c r="H17" s="47">
        <v>359</v>
      </c>
      <c r="I17" s="125">
        <v>1196</v>
      </c>
      <c r="J17" s="47">
        <v>431</v>
      </c>
      <c r="K17" s="23">
        <v>742</v>
      </c>
    </row>
    <row r="18" spans="1:11">
      <c r="A18" s="157">
        <v>2000</v>
      </c>
      <c r="B18" s="125">
        <v>33</v>
      </c>
      <c r="C18" s="47">
        <v>884</v>
      </c>
      <c r="D18" s="125">
        <v>363</v>
      </c>
      <c r="E18" s="47">
        <v>125</v>
      </c>
      <c r="F18" s="125">
        <v>849</v>
      </c>
      <c r="G18" s="21">
        <v>248</v>
      </c>
      <c r="H18" s="47">
        <v>372</v>
      </c>
      <c r="I18" s="125">
        <v>1126</v>
      </c>
      <c r="J18" s="47">
        <v>466</v>
      </c>
      <c r="K18" s="23">
        <v>779</v>
      </c>
    </row>
    <row r="19" spans="1:11">
      <c r="A19" s="157">
        <v>2001</v>
      </c>
      <c r="B19" s="125">
        <v>32</v>
      </c>
      <c r="C19" s="47">
        <v>916</v>
      </c>
      <c r="D19" s="125">
        <v>352</v>
      </c>
      <c r="E19" s="47">
        <v>129</v>
      </c>
      <c r="F19" s="125">
        <v>887</v>
      </c>
      <c r="G19" s="21">
        <v>266</v>
      </c>
      <c r="H19" s="47">
        <v>414</v>
      </c>
      <c r="I19" s="125">
        <v>1072</v>
      </c>
      <c r="J19" s="47">
        <v>502</v>
      </c>
      <c r="K19" s="23">
        <v>822</v>
      </c>
    </row>
    <row r="20" spans="1:11">
      <c r="A20" s="157">
        <v>2002</v>
      </c>
      <c r="B20" s="125">
        <v>34</v>
      </c>
      <c r="C20" s="47">
        <v>953</v>
      </c>
      <c r="D20" s="125">
        <v>364</v>
      </c>
      <c r="E20" s="47">
        <v>133</v>
      </c>
      <c r="F20" s="125">
        <v>917</v>
      </c>
      <c r="G20" s="21">
        <v>275</v>
      </c>
      <c r="H20" s="47">
        <v>416</v>
      </c>
      <c r="I20" s="125">
        <v>1111</v>
      </c>
      <c r="J20" s="47">
        <v>517</v>
      </c>
      <c r="K20" s="23">
        <v>841</v>
      </c>
    </row>
    <row r="21" spans="1:11">
      <c r="A21" s="157">
        <v>2003</v>
      </c>
      <c r="B21" s="125">
        <v>34</v>
      </c>
      <c r="C21" s="47">
        <v>979</v>
      </c>
      <c r="D21" s="125">
        <v>371</v>
      </c>
      <c r="E21" s="47">
        <v>138</v>
      </c>
      <c r="F21" s="125">
        <v>951</v>
      </c>
      <c r="G21" s="21">
        <v>277</v>
      </c>
      <c r="H21" s="47">
        <v>416</v>
      </c>
      <c r="I21" s="125">
        <v>1138</v>
      </c>
      <c r="J21" s="47">
        <v>531</v>
      </c>
      <c r="K21" s="23">
        <v>856</v>
      </c>
    </row>
    <row r="22" spans="1:11">
      <c r="A22" s="157">
        <v>2004</v>
      </c>
      <c r="B22" s="125">
        <v>34</v>
      </c>
      <c r="C22" s="47">
        <v>1002</v>
      </c>
      <c r="D22" s="125">
        <v>342</v>
      </c>
      <c r="E22" s="47">
        <v>142</v>
      </c>
      <c r="F22" s="125">
        <v>993</v>
      </c>
      <c r="G22" s="21">
        <v>272</v>
      </c>
      <c r="H22" s="47">
        <v>428</v>
      </c>
      <c r="I22" s="125">
        <v>1111</v>
      </c>
      <c r="J22" s="47">
        <v>554</v>
      </c>
      <c r="K22" s="23">
        <v>876</v>
      </c>
    </row>
    <row r="23" spans="1:11">
      <c r="A23" s="157">
        <v>2005</v>
      </c>
      <c r="B23" s="125">
        <v>33</v>
      </c>
      <c r="C23" s="47">
        <v>1000</v>
      </c>
      <c r="D23" s="125">
        <v>337</v>
      </c>
      <c r="E23" s="47">
        <v>142</v>
      </c>
      <c r="F23" s="125">
        <v>1019</v>
      </c>
      <c r="G23" s="21">
        <v>267</v>
      </c>
      <c r="H23" s="47">
        <v>445</v>
      </c>
      <c r="I23" s="125">
        <v>1056</v>
      </c>
      <c r="J23" s="47">
        <v>567</v>
      </c>
      <c r="K23" s="23">
        <v>896</v>
      </c>
    </row>
    <row r="24" spans="1:11">
      <c r="A24" s="157">
        <v>2006</v>
      </c>
      <c r="B24" s="125">
        <v>33</v>
      </c>
      <c r="C24" s="47">
        <v>1010</v>
      </c>
      <c r="D24" s="125">
        <v>343</v>
      </c>
      <c r="E24" s="47">
        <v>143</v>
      </c>
      <c r="F24" s="125">
        <v>1021</v>
      </c>
      <c r="G24" s="21">
        <v>237</v>
      </c>
      <c r="H24" s="47">
        <v>483</v>
      </c>
      <c r="I24" s="125">
        <v>1070</v>
      </c>
      <c r="J24" s="47">
        <v>573</v>
      </c>
      <c r="K24" s="23">
        <v>896</v>
      </c>
    </row>
    <row r="25" spans="1:11">
      <c r="A25" s="157">
        <v>2007</v>
      </c>
      <c r="B25" s="125">
        <v>34</v>
      </c>
      <c r="C25" s="47">
        <v>994</v>
      </c>
      <c r="D25" s="125">
        <v>345</v>
      </c>
      <c r="E25" s="47">
        <v>138</v>
      </c>
      <c r="F25" s="125">
        <v>982</v>
      </c>
      <c r="G25" s="21">
        <v>220</v>
      </c>
      <c r="H25" s="47">
        <v>526</v>
      </c>
      <c r="I25" s="125">
        <v>1028</v>
      </c>
      <c r="J25" s="47">
        <v>571</v>
      </c>
      <c r="K25" s="23">
        <v>886</v>
      </c>
    </row>
    <row r="26" spans="1:11">
      <c r="A26" s="157">
        <v>2008</v>
      </c>
      <c r="B26" s="125">
        <v>36</v>
      </c>
      <c r="C26" s="47">
        <v>950</v>
      </c>
      <c r="D26" s="125">
        <v>370</v>
      </c>
      <c r="E26" s="47">
        <v>135</v>
      </c>
      <c r="F26" s="125">
        <v>952</v>
      </c>
      <c r="G26" s="21">
        <v>188</v>
      </c>
      <c r="H26" s="47">
        <v>558</v>
      </c>
      <c r="I26" s="125">
        <v>1053</v>
      </c>
      <c r="J26" s="47">
        <v>562</v>
      </c>
      <c r="K26" s="23">
        <v>859</v>
      </c>
    </row>
    <row r="27" spans="1:11">
      <c r="A27" s="157">
        <v>2009</v>
      </c>
      <c r="B27" s="125">
        <v>37</v>
      </c>
      <c r="C27" s="47">
        <v>955</v>
      </c>
      <c r="D27" s="125">
        <v>439</v>
      </c>
      <c r="E27" s="47">
        <v>135</v>
      </c>
      <c r="F27" s="125">
        <v>926</v>
      </c>
      <c r="G27" s="21">
        <v>146</v>
      </c>
      <c r="H27" s="47">
        <v>579</v>
      </c>
      <c r="I27" s="125">
        <v>1134</v>
      </c>
      <c r="J27" s="47">
        <v>553</v>
      </c>
      <c r="K27" s="23">
        <v>835</v>
      </c>
    </row>
    <row r="28" spans="1:11">
      <c r="A28" s="157">
        <v>2010</v>
      </c>
      <c r="B28" s="125">
        <v>42</v>
      </c>
      <c r="C28" s="47">
        <v>924</v>
      </c>
      <c r="D28" s="125">
        <v>464</v>
      </c>
      <c r="E28" s="47">
        <v>130</v>
      </c>
      <c r="F28" s="125">
        <v>871</v>
      </c>
      <c r="G28" s="21">
        <v>109</v>
      </c>
      <c r="H28" s="47">
        <v>636</v>
      </c>
      <c r="I28" s="125">
        <v>1443</v>
      </c>
      <c r="J28" s="47">
        <v>539</v>
      </c>
      <c r="K28" s="23">
        <v>808</v>
      </c>
    </row>
    <row r="29" spans="1:11">
      <c r="A29" s="157">
        <v>2011</v>
      </c>
      <c r="B29" s="125">
        <v>40</v>
      </c>
      <c r="C29" s="47">
        <v>939</v>
      </c>
      <c r="D29" s="125">
        <v>429</v>
      </c>
      <c r="E29" s="47">
        <v>138</v>
      </c>
      <c r="F29" s="125">
        <v>795</v>
      </c>
      <c r="G29" s="21">
        <v>95</v>
      </c>
      <c r="H29" s="47">
        <v>690</v>
      </c>
      <c r="I29" s="125">
        <v>1431</v>
      </c>
      <c r="J29" s="47">
        <v>529</v>
      </c>
      <c r="K29" s="23">
        <v>780</v>
      </c>
    </row>
    <row r="30" spans="1:11">
      <c r="A30" s="157">
        <v>2012</v>
      </c>
      <c r="B30" s="125">
        <v>39</v>
      </c>
      <c r="C30" s="47">
        <v>936</v>
      </c>
      <c r="D30" s="125">
        <v>457</v>
      </c>
      <c r="E30" s="47">
        <v>140</v>
      </c>
      <c r="F30" s="125">
        <v>783</v>
      </c>
      <c r="G30" s="21">
        <v>84</v>
      </c>
      <c r="H30" s="47">
        <v>770</v>
      </c>
      <c r="I30" s="125">
        <v>1415</v>
      </c>
      <c r="J30" s="47">
        <v>557</v>
      </c>
      <c r="K30" s="23">
        <v>789</v>
      </c>
    </row>
    <row r="31" spans="1:11">
      <c r="A31" s="157">
        <v>2013</v>
      </c>
      <c r="B31" s="125">
        <v>38</v>
      </c>
      <c r="C31" s="47">
        <v>938</v>
      </c>
      <c r="D31" s="125">
        <v>461</v>
      </c>
      <c r="E31" s="47">
        <v>139</v>
      </c>
      <c r="F31" s="125">
        <v>747</v>
      </c>
      <c r="G31" s="21">
        <v>77</v>
      </c>
      <c r="H31" s="47">
        <v>820</v>
      </c>
      <c r="I31" s="125">
        <v>1283</v>
      </c>
      <c r="J31" s="47">
        <v>563</v>
      </c>
      <c r="K31" s="23">
        <v>783</v>
      </c>
    </row>
    <row r="32" spans="1:11">
      <c r="A32" s="157">
        <v>2014</v>
      </c>
      <c r="B32" s="125">
        <v>35</v>
      </c>
      <c r="C32" s="47">
        <v>927</v>
      </c>
      <c r="D32" s="125">
        <v>429</v>
      </c>
      <c r="E32" s="47">
        <v>139</v>
      </c>
      <c r="F32" s="125">
        <v>708</v>
      </c>
      <c r="G32" s="21">
        <v>57</v>
      </c>
      <c r="H32" s="47">
        <v>849</v>
      </c>
      <c r="I32" s="125">
        <v>1080</v>
      </c>
      <c r="J32" s="47">
        <v>556</v>
      </c>
      <c r="K32" s="23">
        <v>762</v>
      </c>
    </row>
    <row r="33" spans="1:11">
      <c r="A33" s="157">
        <v>2015</v>
      </c>
      <c r="B33" s="125">
        <v>39</v>
      </c>
      <c r="C33" s="47">
        <v>947</v>
      </c>
      <c r="D33" s="125">
        <v>418</v>
      </c>
      <c r="E33" s="47">
        <v>144</v>
      </c>
      <c r="F33" s="125">
        <v>661</v>
      </c>
      <c r="G33" s="21">
        <v>56</v>
      </c>
      <c r="H33" s="47">
        <v>884</v>
      </c>
      <c r="I33" s="125">
        <v>1010</v>
      </c>
      <c r="J33" s="47">
        <v>557</v>
      </c>
      <c r="K33" s="23">
        <v>743</v>
      </c>
    </row>
    <row r="34" spans="1:11">
      <c r="A34" s="157">
        <v>2016</v>
      </c>
      <c r="B34" s="125">
        <v>40</v>
      </c>
      <c r="C34" s="47">
        <v>923</v>
      </c>
      <c r="D34" s="125">
        <v>373</v>
      </c>
      <c r="E34" s="47">
        <v>145</v>
      </c>
      <c r="F34" s="125">
        <v>627</v>
      </c>
      <c r="G34" s="21">
        <v>49</v>
      </c>
      <c r="H34" s="47">
        <v>930</v>
      </c>
      <c r="I34" s="125">
        <v>1280</v>
      </c>
      <c r="J34" s="47">
        <v>560</v>
      </c>
      <c r="K34" s="23">
        <v>741</v>
      </c>
    </row>
    <row r="35" spans="1:11">
      <c r="A35" s="157">
        <v>2017</v>
      </c>
      <c r="B35" s="125">
        <v>42</v>
      </c>
      <c r="C35" s="47">
        <v>877</v>
      </c>
      <c r="D35" s="125">
        <v>364</v>
      </c>
      <c r="E35" s="47">
        <v>138</v>
      </c>
      <c r="F35" s="125">
        <v>546</v>
      </c>
      <c r="G35" s="21">
        <v>42</v>
      </c>
      <c r="H35" s="47">
        <v>960</v>
      </c>
      <c r="I35" s="125">
        <v>1281</v>
      </c>
      <c r="J35" s="47">
        <v>546</v>
      </c>
      <c r="K35" s="23">
        <v>705</v>
      </c>
    </row>
    <row r="36" spans="1:11">
      <c r="A36" s="157">
        <v>2018</v>
      </c>
      <c r="B36" s="125">
        <v>43</v>
      </c>
      <c r="C36" s="47">
        <v>855</v>
      </c>
      <c r="D36" s="125">
        <v>360</v>
      </c>
      <c r="E36" s="47">
        <v>137</v>
      </c>
      <c r="F36" s="125">
        <v>474</v>
      </c>
      <c r="G36" s="21">
        <v>22</v>
      </c>
      <c r="H36" s="47">
        <v>1004</v>
      </c>
      <c r="I36" s="125">
        <v>1156</v>
      </c>
      <c r="J36" s="47">
        <v>538</v>
      </c>
      <c r="K36" s="23">
        <v>692</v>
      </c>
    </row>
    <row r="37" spans="1:11">
      <c r="A37" s="157">
        <v>2019</v>
      </c>
      <c r="B37" s="125">
        <v>50</v>
      </c>
      <c r="C37" s="47">
        <v>854</v>
      </c>
      <c r="D37" s="125">
        <v>411</v>
      </c>
      <c r="E37" s="47">
        <v>135</v>
      </c>
      <c r="F37" s="125">
        <v>426</v>
      </c>
      <c r="G37" s="21">
        <v>20</v>
      </c>
      <c r="H37" s="47">
        <v>1056</v>
      </c>
      <c r="I37" s="125">
        <v>1406</v>
      </c>
      <c r="J37" s="47">
        <v>540</v>
      </c>
      <c r="K37" s="23">
        <v>689</v>
      </c>
    </row>
    <row r="38" spans="1:11">
      <c r="A38" s="157">
        <v>2020</v>
      </c>
      <c r="B38" s="125">
        <v>57</v>
      </c>
      <c r="C38" s="47">
        <v>858</v>
      </c>
      <c r="D38" s="125">
        <v>405</v>
      </c>
      <c r="E38" s="47">
        <v>138</v>
      </c>
      <c r="F38" s="125">
        <v>413</v>
      </c>
      <c r="G38" s="21">
        <v>16</v>
      </c>
      <c r="H38" s="47">
        <v>1183</v>
      </c>
      <c r="I38" s="125">
        <v>1338</v>
      </c>
      <c r="J38" s="47">
        <v>580</v>
      </c>
      <c r="K38" s="23">
        <v>719</v>
      </c>
    </row>
    <row r="39" spans="1:11">
      <c r="A39" s="157">
        <v>2021</v>
      </c>
      <c r="B39" s="125">
        <v>63</v>
      </c>
      <c r="C39" s="47">
        <v>845</v>
      </c>
      <c r="D39" s="125">
        <v>450</v>
      </c>
      <c r="E39" s="47">
        <v>143</v>
      </c>
      <c r="F39" s="125">
        <v>357</v>
      </c>
      <c r="G39" s="21">
        <v>12</v>
      </c>
      <c r="H39" s="47">
        <v>1220</v>
      </c>
      <c r="I39" s="125">
        <v>1626</v>
      </c>
      <c r="J39" s="47">
        <v>574</v>
      </c>
      <c r="K39" s="23">
        <v>707</v>
      </c>
    </row>
    <row r="40" spans="1:11">
      <c r="A40" s="157">
        <v>2022</v>
      </c>
      <c r="B40" s="125">
        <v>64</v>
      </c>
      <c r="C40" s="47">
        <v>816</v>
      </c>
      <c r="D40" s="125">
        <v>417</v>
      </c>
      <c r="E40" s="47">
        <v>142</v>
      </c>
      <c r="F40" s="125">
        <v>309</v>
      </c>
      <c r="G40" s="21">
        <v>9</v>
      </c>
      <c r="H40" s="47">
        <v>1231</v>
      </c>
      <c r="I40" s="125">
        <v>1227</v>
      </c>
      <c r="J40" s="47">
        <v>559</v>
      </c>
      <c r="K40" s="23">
        <v>687</v>
      </c>
    </row>
    <row r="41" spans="1:11">
      <c r="A41" s="157">
        <v>2023</v>
      </c>
      <c r="B41" s="125">
        <v>65</v>
      </c>
      <c r="C41" s="47">
        <v>799</v>
      </c>
      <c r="D41" s="125">
        <v>429</v>
      </c>
      <c r="E41" s="47">
        <v>142</v>
      </c>
      <c r="F41" s="125">
        <v>257</v>
      </c>
      <c r="G41" s="21">
        <v>7</v>
      </c>
      <c r="H41" s="47">
        <v>1253</v>
      </c>
      <c r="I41" s="125">
        <v>1317</v>
      </c>
      <c r="J41" s="47">
        <v>549</v>
      </c>
      <c r="K41" s="23">
        <v>678</v>
      </c>
    </row>
    <row r="42" spans="1:11" ht="13">
      <c r="A42" s="159">
        <v>2024</v>
      </c>
      <c r="B42" s="193">
        <v>69</v>
      </c>
      <c r="C42" s="117">
        <v>794</v>
      </c>
      <c r="D42" s="193">
        <v>483</v>
      </c>
      <c r="E42" s="117">
        <v>142</v>
      </c>
      <c r="F42" s="193">
        <v>221</v>
      </c>
      <c r="G42" s="27">
        <v>6</v>
      </c>
      <c r="H42" s="117">
        <v>1263</v>
      </c>
      <c r="I42" s="193">
        <v>1608</v>
      </c>
      <c r="J42" s="117">
        <v>540</v>
      </c>
      <c r="K42" s="29">
        <v>662</v>
      </c>
    </row>
    <row r="43" spans="1:11" ht="13">
      <c r="A43" s="31"/>
      <c r="B43" s="127"/>
      <c r="C43" s="127"/>
      <c r="D43" s="127"/>
      <c r="E43" s="127"/>
      <c r="F43" s="127"/>
      <c r="G43" s="127"/>
      <c r="H43" s="127"/>
      <c r="I43" s="127"/>
      <c r="J43" s="127"/>
      <c r="K43" s="127"/>
    </row>
    <row r="44" spans="1:11">
      <c r="A44" s="77" t="s">
        <v>617</v>
      </c>
      <c r="G44" s="77" t="s">
        <v>618</v>
      </c>
    </row>
    <row r="45" spans="1:11">
      <c r="A45" s="77" t="s">
        <v>619</v>
      </c>
      <c r="G45" s="77" t="s">
        <v>620</v>
      </c>
    </row>
    <row r="46" spans="1:11">
      <c r="A46" s="77" t="s">
        <v>621</v>
      </c>
      <c r="G46" s="77" t="s">
        <v>622</v>
      </c>
    </row>
    <row r="47" spans="1:11">
      <c r="A47" s="77" t="s">
        <v>623</v>
      </c>
      <c r="G47" s="77" t="s">
        <v>624</v>
      </c>
    </row>
    <row r="48" spans="1:11">
      <c r="G48" s="78"/>
    </row>
    <row r="49" spans="1:10">
      <c r="A49" s="262" t="s">
        <v>625</v>
      </c>
      <c r="B49" s="262"/>
      <c r="C49" s="262"/>
      <c r="D49" s="262"/>
      <c r="G49" s="262" t="s">
        <v>626</v>
      </c>
      <c r="H49" s="262"/>
      <c r="I49" s="262"/>
      <c r="J49" s="262"/>
    </row>
    <row r="53" spans="1:10">
      <c r="A53" s="35" t="s">
        <v>75</v>
      </c>
    </row>
    <row r="54" spans="1:10">
      <c r="A54" s="35" t="s">
        <v>76</v>
      </c>
    </row>
    <row r="55" spans="1:10">
      <c r="A55" s="35" t="s">
        <v>77</v>
      </c>
    </row>
  </sheetData>
  <mergeCells count="14">
    <mergeCell ref="K6:K7"/>
    <mergeCell ref="A4:A5"/>
    <mergeCell ref="B4:C4"/>
    <mergeCell ref="D4:E4"/>
    <mergeCell ref="F4:H4"/>
    <mergeCell ref="I4:J4"/>
    <mergeCell ref="K4:K5"/>
    <mergeCell ref="A49:D49"/>
    <mergeCell ref="G49:J49"/>
    <mergeCell ref="A6:A7"/>
    <mergeCell ref="B6:C6"/>
    <mergeCell ref="D6:E6"/>
    <mergeCell ref="F6:H6"/>
    <mergeCell ref="I6:J6"/>
  </mergeCells>
  <conditionalFormatting sqref="B8:K27">
    <cfRule type="expression" dxfId="52" priority="2">
      <formula>#REF!&lt;&gt;0</formula>
    </cfRule>
  </conditionalFormatting>
  <conditionalFormatting sqref="B28:K43">
    <cfRule type="expression" dxfId="51" priority="1">
      <formula>Z28&lt;&gt;0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F9CBC-474E-476A-9499-63079EDBFB2A}">
  <sheetPr codeName="Tabelle9">
    <tabColor rgb="FFFF0000"/>
  </sheetPr>
  <dimension ref="A1:R71"/>
  <sheetViews>
    <sheetView topLeftCell="A3" workbookViewId="0">
      <selection activeCell="R61" sqref="R61"/>
    </sheetView>
  </sheetViews>
  <sheetFormatPr defaultColWidth="11.54296875" defaultRowHeight="12.5"/>
  <cols>
    <col min="1" max="1" width="8.7265625" style="4" customWidth="1"/>
    <col min="2" max="2" width="12.7265625" style="4" customWidth="1"/>
    <col min="3" max="10" width="9.7265625" style="4" customWidth="1"/>
    <col min="11" max="11" width="12.7265625" style="4" customWidth="1"/>
    <col min="12" max="13" width="9.7265625" style="4" customWidth="1"/>
    <col min="14" max="14" width="12.7265625" style="4" customWidth="1"/>
    <col min="15" max="15" width="12.1796875" style="4" customWidth="1"/>
    <col min="16" max="16384" width="11.54296875" style="4"/>
  </cols>
  <sheetData>
    <row r="1" spans="1:18" ht="13">
      <c r="A1" s="3" t="s">
        <v>78</v>
      </c>
      <c r="R1" s="5" t="s">
        <v>79</v>
      </c>
    </row>
    <row r="2" spans="1:18" ht="13">
      <c r="A2" s="3" t="s">
        <v>80</v>
      </c>
      <c r="R2" s="5" t="s">
        <v>81</v>
      </c>
    </row>
    <row r="3" spans="1:18" ht="13">
      <c r="E3" s="36"/>
      <c r="I3" s="37"/>
      <c r="J3" s="37"/>
      <c r="K3" s="37"/>
      <c r="L3" s="37"/>
    </row>
    <row r="4" spans="1:18" ht="21.65" customHeight="1">
      <c r="A4" s="6" t="s">
        <v>55</v>
      </c>
      <c r="B4" s="7" t="s">
        <v>82</v>
      </c>
      <c r="C4" s="275" t="s">
        <v>83</v>
      </c>
      <c r="D4" s="276"/>
      <c r="E4" s="275" t="s">
        <v>84</v>
      </c>
      <c r="F4" s="276"/>
      <c r="G4" s="275" t="s">
        <v>85</v>
      </c>
      <c r="H4" s="276"/>
      <c r="I4" s="281" t="s">
        <v>86</v>
      </c>
      <c r="J4" s="282"/>
      <c r="K4" s="281" t="s">
        <v>87</v>
      </c>
      <c r="L4" s="282"/>
      <c r="M4" s="275" t="s">
        <v>88</v>
      </c>
      <c r="N4" s="276"/>
      <c r="O4" s="38" t="s">
        <v>89</v>
      </c>
      <c r="P4" s="275" t="s">
        <v>90</v>
      </c>
      <c r="Q4" s="276"/>
      <c r="R4" s="39" t="s">
        <v>61</v>
      </c>
    </row>
    <row r="5" spans="1:18" ht="21.65" customHeight="1">
      <c r="A5" s="253" t="s">
        <v>62</v>
      </c>
      <c r="B5" s="40" t="s">
        <v>91</v>
      </c>
      <c r="C5" s="277" t="s">
        <v>92</v>
      </c>
      <c r="D5" s="278"/>
      <c r="E5" s="277" t="s">
        <v>93</v>
      </c>
      <c r="F5" s="278"/>
      <c r="G5" s="277" t="s">
        <v>94</v>
      </c>
      <c r="H5" s="278"/>
      <c r="I5" s="279" t="s">
        <v>95</v>
      </c>
      <c r="J5" s="280"/>
      <c r="K5" s="279" t="s">
        <v>96</v>
      </c>
      <c r="L5" s="280"/>
      <c r="M5" s="277" t="s">
        <v>97</v>
      </c>
      <c r="N5" s="278"/>
      <c r="O5" s="41" t="s">
        <v>98</v>
      </c>
      <c r="P5" s="277" t="s">
        <v>99</v>
      </c>
      <c r="Q5" s="278"/>
      <c r="R5" s="42" t="s">
        <v>61</v>
      </c>
    </row>
    <row r="6" spans="1:18">
      <c r="A6" s="254"/>
      <c r="B6" s="43" t="s">
        <v>100</v>
      </c>
      <c r="C6" s="44" t="s">
        <v>101</v>
      </c>
      <c r="D6" s="44" t="s">
        <v>100</v>
      </c>
      <c r="E6" s="44" t="s">
        <v>102</v>
      </c>
      <c r="F6" s="44" t="s">
        <v>103</v>
      </c>
      <c r="G6" s="44" t="s">
        <v>102</v>
      </c>
      <c r="H6" s="44" t="s">
        <v>100</v>
      </c>
      <c r="I6" s="44" t="s">
        <v>102</v>
      </c>
      <c r="J6" s="44" t="s">
        <v>100</v>
      </c>
      <c r="K6" s="44" t="s">
        <v>102</v>
      </c>
      <c r="L6" s="44" t="s">
        <v>100</v>
      </c>
      <c r="M6" s="44" t="s">
        <v>104</v>
      </c>
      <c r="N6" s="44" t="s">
        <v>100</v>
      </c>
      <c r="O6" s="44" t="s">
        <v>100</v>
      </c>
      <c r="P6" s="44" t="s">
        <v>104</v>
      </c>
      <c r="Q6" s="44" t="s">
        <v>100</v>
      </c>
      <c r="R6" s="45" t="s">
        <v>100</v>
      </c>
    </row>
    <row r="7" spans="1:18">
      <c r="A7" s="14">
        <v>1970</v>
      </c>
      <c r="B7" s="21" t="s">
        <v>68</v>
      </c>
      <c r="C7" s="21">
        <v>827</v>
      </c>
      <c r="D7" s="21">
        <v>24230</v>
      </c>
      <c r="E7" s="21" t="s">
        <v>68</v>
      </c>
      <c r="F7" s="21" t="s">
        <v>68</v>
      </c>
      <c r="G7" s="21">
        <v>13359</v>
      </c>
      <c r="H7" s="21">
        <v>559320</v>
      </c>
      <c r="I7" s="21"/>
      <c r="J7" s="21"/>
      <c r="K7" s="21"/>
      <c r="L7" s="21"/>
      <c r="M7" s="21">
        <v>428</v>
      </c>
      <c r="N7" s="21">
        <v>1540</v>
      </c>
      <c r="O7" s="21" t="s">
        <v>68</v>
      </c>
      <c r="P7" s="21">
        <v>3594</v>
      </c>
      <c r="Q7" s="21">
        <v>12940</v>
      </c>
      <c r="R7" s="46">
        <v>598030</v>
      </c>
    </row>
    <row r="8" spans="1:18">
      <c r="A8" s="19">
        <v>1971</v>
      </c>
      <c r="B8" s="21" t="s">
        <v>68</v>
      </c>
      <c r="C8" s="21">
        <v>565</v>
      </c>
      <c r="D8" s="21">
        <v>16570</v>
      </c>
      <c r="E8" s="21" t="s">
        <v>68</v>
      </c>
      <c r="F8" s="21" t="s">
        <v>68</v>
      </c>
      <c r="G8" s="21">
        <v>13588</v>
      </c>
      <c r="H8" s="21">
        <v>568900</v>
      </c>
      <c r="I8" s="21"/>
      <c r="J8" s="21"/>
      <c r="K8" s="21"/>
      <c r="L8" s="21"/>
      <c r="M8" s="21">
        <v>1032</v>
      </c>
      <c r="N8" s="21">
        <v>3720</v>
      </c>
      <c r="O8" s="21" t="s">
        <v>68</v>
      </c>
      <c r="P8" s="21">
        <v>6873</v>
      </c>
      <c r="Q8" s="21">
        <v>24740</v>
      </c>
      <c r="R8" s="47">
        <v>613930</v>
      </c>
    </row>
    <row r="9" spans="1:18">
      <c r="A9" s="19">
        <v>1972</v>
      </c>
      <c r="B9" s="21" t="s">
        <v>68</v>
      </c>
      <c r="C9" s="21">
        <v>389</v>
      </c>
      <c r="D9" s="21">
        <v>11410</v>
      </c>
      <c r="E9" s="21" t="s">
        <v>68</v>
      </c>
      <c r="F9" s="21" t="s">
        <v>68</v>
      </c>
      <c r="G9" s="21">
        <v>13946</v>
      </c>
      <c r="H9" s="21">
        <v>583890</v>
      </c>
      <c r="I9" s="21"/>
      <c r="J9" s="21"/>
      <c r="K9" s="21"/>
      <c r="L9" s="21"/>
      <c r="M9" s="21">
        <v>1310</v>
      </c>
      <c r="N9" s="21">
        <v>4720</v>
      </c>
      <c r="O9" s="21" t="s">
        <v>68</v>
      </c>
      <c r="P9" s="21">
        <v>7847</v>
      </c>
      <c r="Q9" s="21">
        <v>28250</v>
      </c>
      <c r="R9" s="47">
        <v>628270</v>
      </c>
    </row>
    <row r="10" spans="1:18">
      <c r="A10" s="19">
        <v>1973</v>
      </c>
      <c r="B10" s="21">
        <v>220</v>
      </c>
      <c r="C10" s="21">
        <v>370</v>
      </c>
      <c r="D10" s="21">
        <v>10830</v>
      </c>
      <c r="E10" s="21" t="s">
        <v>68</v>
      </c>
      <c r="F10" s="21" t="s">
        <v>68</v>
      </c>
      <c r="G10" s="21">
        <v>14900</v>
      </c>
      <c r="H10" s="21">
        <v>623830</v>
      </c>
      <c r="I10" s="21"/>
      <c r="J10" s="21"/>
      <c r="K10" s="21"/>
      <c r="L10" s="21"/>
      <c r="M10" s="21">
        <v>1775</v>
      </c>
      <c r="N10" s="21">
        <v>6390</v>
      </c>
      <c r="O10" s="21" t="s">
        <v>68</v>
      </c>
      <c r="P10" s="21">
        <v>7018</v>
      </c>
      <c r="Q10" s="21">
        <v>25260</v>
      </c>
      <c r="R10" s="47">
        <v>666530</v>
      </c>
    </row>
    <row r="11" spans="1:18">
      <c r="A11" s="19">
        <v>1974</v>
      </c>
      <c r="B11" s="21" t="s">
        <v>68</v>
      </c>
      <c r="C11" s="21">
        <v>535</v>
      </c>
      <c r="D11" s="21">
        <v>15680</v>
      </c>
      <c r="E11" s="21" t="s">
        <v>68</v>
      </c>
      <c r="F11" s="21" t="s">
        <v>68</v>
      </c>
      <c r="G11" s="21">
        <v>13922</v>
      </c>
      <c r="H11" s="21">
        <v>582880</v>
      </c>
      <c r="I11" s="21"/>
      <c r="J11" s="21"/>
      <c r="K11" s="21"/>
      <c r="L11" s="21"/>
      <c r="M11" s="21">
        <v>3738</v>
      </c>
      <c r="N11" s="21">
        <v>13460</v>
      </c>
      <c r="O11" s="21" t="s">
        <v>68</v>
      </c>
      <c r="P11" s="21">
        <v>6274</v>
      </c>
      <c r="Q11" s="21">
        <v>22590</v>
      </c>
      <c r="R11" s="47">
        <v>634610</v>
      </c>
    </row>
    <row r="12" spans="1:18">
      <c r="A12" s="19">
        <v>1975</v>
      </c>
      <c r="B12" s="21" t="s">
        <v>68</v>
      </c>
      <c r="C12" s="21">
        <v>321</v>
      </c>
      <c r="D12" s="21">
        <v>9420</v>
      </c>
      <c r="E12" s="21" t="s">
        <v>68</v>
      </c>
      <c r="F12" s="21" t="s">
        <v>68</v>
      </c>
      <c r="G12" s="21">
        <v>12711</v>
      </c>
      <c r="H12" s="21">
        <v>532180</v>
      </c>
      <c r="I12" s="21"/>
      <c r="J12" s="21"/>
      <c r="K12" s="21"/>
      <c r="L12" s="21"/>
      <c r="M12" s="21">
        <v>6023</v>
      </c>
      <c r="N12" s="21">
        <v>21680</v>
      </c>
      <c r="O12" s="21" t="s">
        <v>68</v>
      </c>
      <c r="P12" s="21">
        <v>4635</v>
      </c>
      <c r="Q12" s="21">
        <v>16690</v>
      </c>
      <c r="R12" s="47">
        <v>579970</v>
      </c>
    </row>
    <row r="13" spans="1:18">
      <c r="A13" s="19">
        <v>1976</v>
      </c>
      <c r="B13" s="21" t="s">
        <v>68</v>
      </c>
      <c r="C13" s="21">
        <v>305</v>
      </c>
      <c r="D13" s="21">
        <v>8930</v>
      </c>
      <c r="E13" s="21" t="s">
        <v>68</v>
      </c>
      <c r="F13" s="21" t="s">
        <v>68</v>
      </c>
      <c r="G13" s="21">
        <v>13389</v>
      </c>
      <c r="H13" s="21">
        <v>560590</v>
      </c>
      <c r="I13" s="21"/>
      <c r="J13" s="21"/>
      <c r="K13" s="21"/>
      <c r="L13" s="21"/>
      <c r="M13" s="21">
        <v>6285</v>
      </c>
      <c r="N13" s="21">
        <v>22630</v>
      </c>
      <c r="O13" s="21" t="s">
        <v>68</v>
      </c>
      <c r="P13" s="21">
        <v>7179</v>
      </c>
      <c r="Q13" s="21">
        <v>25840</v>
      </c>
      <c r="R13" s="47">
        <v>617990</v>
      </c>
    </row>
    <row r="14" spans="1:18">
      <c r="A14" s="19">
        <v>1977</v>
      </c>
      <c r="B14" s="21">
        <v>440</v>
      </c>
      <c r="C14" s="21">
        <v>315</v>
      </c>
      <c r="D14" s="21">
        <v>10540</v>
      </c>
      <c r="E14" s="21" t="s">
        <v>68</v>
      </c>
      <c r="F14" s="21" t="s">
        <v>68</v>
      </c>
      <c r="G14" s="21">
        <v>13287</v>
      </c>
      <c r="H14" s="21">
        <v>556300</v>
      </c>
      <c r="I14" s="21"/>
      <c r="J14" s="21"/>
      <c r="K14" s="21"/>
      <c r="L14" s="21"/>
      <c r="M14" s="21">
        <v>7178</v>
      </c>
      <c r="N14" s="21">
        <v>25840</v>
      </c>
      <c r="O14" s="21" t="s">
        <v>68</v>
      </c>
      <c r="P14" s="21">
        <v>5046</v>
      </c>
      <c r="Q14" s="21">
        <v>18170</v>
      </c>
      <c r="R14" s="47">
        <v>611290</v>
      </c>
    </row>
    <row r="15" spans="1:18">
      <c r="A15" s="19">
        <v>1978</v>
      </c>
      <c r="B15" s="21" t="s">
        <v>68</v>
      </c>
      <c r="C15" s="21">
        <v>317</v>
      </c>
      <c r="D15" s="21">
        <v>8940</v>
      </c>
      <c r="E15" s="21" t="s">
        <v>68</v>
      </c>
      <c r="F15" s="21" t="s">
        <v>68</v>
      </c>
      <c r="G15" s="21">
        <v>13358</v>
      </c>
      <c r="H15" s="21">
        <v>560000</v>
      </c>
      <c r="I15" s="21"/>
      <c r="J15" s="21"/>
      <c r="K15" s="21"/>
      <c r="L15" s="21"/>
      <c r="M15" s="21">
        <v>7875</v>
      </c>
      <c r="N15" s="21">
        <v>28350</v>
      </c>
      <c r="O15" s="21" t="s">
        <v>68</v>
      </c>
      <c r="P15" s="21">
        <v>7653</v>
      </c>
      <c r="Q15" s="21">
        <v>27550</v>
      </c>
      <c r="R15" s="47">
        <v>624840</v>
      </c>
    </row>
    <row r="16" spans="1:18">
      <c r="A16" s="19">
        <v>1979</v>
      </c>
      <c r="B16" s="21" t="s">
        <v>68</v>
      </c>
      <c r="C16" s="21">
        <v>524</v>
      </c>
      <c r="D16" s="21">
        <v>14940</v>
      </c>
      <c r="E16" s="21" t="s">
        <v>68</v>
      </c>
      <c r="F16" s="21" t="s">
        <v>68</v>
      </c>
      <c r="G16" s="21">
        <v>12887</v>
      </c>
      <c r="H16" s="21">
        <v>539560</v>
      </c>
      <c r="I16" s="21"/>
      <c r="J16" s="21"/>
      <c r="K16" s="21"/>
      <c r="L16" s="21"/>
      <c r="M16" s="21">
        <v>8833</v>
      </c>
      <c r="N16" s="21">
        <v>31800</v>
      </c>
      <c r="O16" s="21" t="s">
        <v>68</v>
      </c>
      <c r="P16" s="21">
        <v>8868</v>
      </c>
      <c r="Q16" s="21">
        <v>31920</v>
      </c>
      <c r="R16" s="47">
        <v>618220</v>
      </c>
    </row>
    <row r="17" spans="1:18">
      <c r="A17" s="19">
        <v>1980</v>
      </c>
      <c r="B17" s="21">
        <v>220</v>
      </c>
      <c r="C17" s="21">
        <v>773</v>
      </c>
      <c r="D17" s="21">
        <v>22100</v>
      </c>
      <c r="E17" s="21" t="s">
        <v>68</v>
      </c>
      <c r="F17" s="21" t="s">
        <v>68</v>
      </c>
      <c r="G17" s="21">
        <v>12705</v>
      </c>
      <c r="H17" s="21">
        <v>531060</v>
      </c>
      <c r="I17" s="21">
        <v>4605</v>
      </c>
      <c r="J17" s="21">
        <v>192810</v>
      </c>
      <c r="K17" s="21">
        <v>8100</v>
      </c>
      <c r="L17" s="21">
        <v>338250</v>
      </c>
      <c r="M17" s="21">
        <v>10077</v>
      </c>
      <c r="N17" s="21">
        <v>36280</v>
      </c>
      <c r="O17" s="21" t="s">
        <v>68</v>
      </c>
      <c r="P17" s="21">
        <v>9947</v>
      </c>
      <c r="Q17" s="21">
        <v>35810</v>
      </c>
      <c r="R17" s="47">
        <v>625470</v>
      </c>
    </row>
    <row r="18" spans="1:18">
      <c r="A18" s="19">
        <v>1981</v>
      </c>
      <c r="B18" s="21">
        <v>220</v>
      </c>
      <c r="C18" s="21">
        <v>1033</v>
      </c>
      <c r="D18" s="21">
        <v>29850</v>
      </c>
      <c r="E18" s="21" t="s">
        <v>68</v>
      </c>
      <c r="F18" s="21" t="s">
        <v>68</v>
      </c>
      <c r="G18" s="21">
        <v>11846</v>
      </c>
      <c r="H18" s="21">
        <v>496080</v>
      </c>
      <c r="I18" s="21">
        <v>3984</v>
      </c>
      <c r="J18" s="21">
        <v>167300</v>
      </c>
      <c r="K18" s="21">
        <v>7862</v>
      </c>
      <c r="L18" s="21">
        <v>328780</v>
      </c>
      <c r="M18" s="21">
        <v>10873</v>
      </c>
      <c r="N18" s="21">
        <v>39140</v>
      </c>
      <c r="O18" s="21" t="s">
        <v>68</v>
      </c>
      <c r="P18" s="21">
        <v>9839</v>
      </c>
      <c r="Q18" s="21">
        <v>35420</v>
      </c>
      <c r="R18" s="47">
        <v>600710</v>
      </c>
    </row>
    <row r="19" spans="1:18">
      <c r="A19" s="19">
        <v>1982</v>
      </c>
      <c r="B19" s="21">
        <v>280</v>
      </c>
      <c r="C19" s="21">
        <v>595</v>
      </c>
      <c r="D19" s="21">
        <v>17130</v>
      </c>
      <c r="E19" s="21" t="s">
        <v>68</v>
      </c>
      <c r="F19" s="21" t="s">
        <v>68</v>
      </c>
      <c r="G19" s="21">
        <v>11101</v>
      </c>
      <c r="H19" s="21">
        <v>463650</v>
      </c>
      <c r="I19" s="21">
        <v>3967</v>
      </c>
      <c r="J19" s="21">
        <v>166090</v>
      </c>
      <c r="K19" s="21">
        <v>7134</v>
      </c>
      <c r="L19" s="21">
        <v>297560</v>
      </c>
      <c r="M19" s="21">
        <v>11482</v>
      </c>
      <c r="N19" s="21">
        <v>41340</v>
      </c>
      <c r="O19" s="21" t="s">
        <v>68</v>
      </c>
      <c r="P19" s="21">
        <v>9041</v>
      </c>
      <c r="Q19" s="21">
        <v>32550</v>
      </c>
      <c r="R19" s="47">
        <v>554950</v>
      </c>
    </row>
    <row r="20" spans="1:18">
      <c r="A20" s="19">
        <v>1983</v>
      </c>
      <c r="B20" s="21">
        <v>250</v>
      </c>
      <c r="C20" s="21">
        <v>458</v>
      </c>
      <c r="D20" s="21">
        <v>13140</v>
      </c>
      <c r="E20" s="21" t="s">
        <v>68</v>
      </c>
      <c r="F20" s="21" t="s">
        <v>68</v>
      </c>
      <c r="G20" s="21">
        <v>12485</v>
      </c>
      <c r="H20" s="21">
        <v>521030</v>
      </c>
      <c r="I20" s="21">
        <v>4211</v>
      </c>
      <c r="J20" s="21">
        <v>176310</v>
      </c>
      <c r="K20" s="21">
        <v>8274</v>
      </c>
      <c r="L20" s="21">
        <v>344720</v>
      </c>
      <c r="M20" s="21">
        <v>12625</v>
      </c>
      <c r="N20" s="21">
        <v>45450</v>
      </c>
      <c r="O20" s="21" t="s">
        <v>68</v>
      </c>
      <c r="P20" s="21">
        <v>11149</v>
      </c>
      <c r="Q20" s="21">
        <v>40140</v>
      </c>
      <c r="R20" s="47">
        <v>620010</v>
      </c>
    </row>
    <row r="21" spans="1:18">
      <c r="A21" s="19">
        <v>1984</v>
      </c>
      <c r="B21" s="21">
        <v>260</v>
      </c>
      <c r="C21" s="21">
        <v>659</v>
      </c>
      <c r="D21" s="21">
        <v>18250</v>
      </c>
      <c r="E21" s="21" t="s">
        <v>68</v>
      </c>
      <c r="F21" s="21" t="s">
        <v>68</v>
      </c>
      <c r="G21" s="21">
        <v>12165</v>
      </c>
      <c r="H21" s="21">
        <v>509050</v>
      </c>
      <c r="I21" s="21">
        <v>4073</v>
      </c>
      <c r="J21" s="21">
        <v>170530</v>
      </c>
      <c r="K21" s="21">
        <v>8092</v>
      </c>
      <c r="L21" s="21">
        <v>338520</v>
      </c>
      <c r="M21" s="21">
        <v>14080</v>
      </c>
      <c r="N21" s="21">
        <v>50690</v>
      </c>
      <c r="O21" s="21" t="s">
        <v>68</v>
      </c>
      <c r="P21" s="21">
        <v>16306</v>
      </c>
      <c r="Q21" s="21">
        <v>58700</v>
      </c>
      <c r="R21" s="47">
        <v>636950</v>
      </c>
    </row>
    <row r="22" spans="1:18" collapsed="1">
      <c r="A22" s="19">
        <v>1985</v>
      </c>
      <c r="B22" s="21">
        <v>350</v>
      </c>
      <c r="C22" s="21">
        <v>587</v>
      </c>
      <c r="D22" s="21">
        <v>16200</v>
      </c>
      <c r="E22" s="21" t="s">
        <v>68</v>
      </c>
      <c r="F22" s="21" t="s">
        <v>68</v>
      </c>
      <c r="G22" s="21">
        <v>12353</v>
      </c>
      <c r="H22" s="21">
        <v>516890</v>
      </c>
      <c r="I22" s="21">
        <v>4220</v>
      </c>
      <c r="J22" s="21">
        <v>176690</v>
      </c>
      <c r="K22" s="21">
        <v>8133</v>
      </c>
      <c r="L22" s="21">
        <v>340200</v>
      </c>
      <c r="M22" s="21">
        <v>14567</v>
      </c>
      <c r="N22" s="21">
        <v>52440</v>
      </c>
      <c r="O22" s="21" t="s">
        <v>68</v>
      </c>
      <c r="P22" s="21">
        <v>15579</v>
      </c>
      <c r="Q22" s="21">
        <v>56080</v>
      </c>
      <c r="R22" s="47">
        <v>641960</v>
      </c>
    </row>
    <row r="23" spans="1:18">
      <c r="A23" s="19">
        <v>1986</v>
      </c>
      <c r="B23" s="21">
        <v>660</v>
      </c>
      <c r="C23" s="21">
        <v>706</v>
      </c>
      <c r="D23" s="21">
        <v>19610</v>
      </c>
      <c r="E23" s="21" t="s">
        <v>68</v>
      </c>
      <c r="F23" s="21" t="s">
        <v>68</v>
      </c>
      <c r="G23" s="21">
        <v>13594</v>
      </c>
      <c r="H23" s="21">
        <v>568700</v>
      </c>
      <c r="I23" s="21">
        <v>4295</v>
      </c>
      <c r="J23" s="21">
        <v>179820</v>
      </c>
      <c r="K23" s="21">
        <v>9299</v>
      </c>
      <c r="L23" s="21">
        <v>388880</v>
      </c>
      <c r="M23" s="21">
        <v>14945</v>
      </c>
      <c r="N23" s="21">
        <v>53810</v>
      </c>
      <c r="O23" s="21" t="s">
        <v>68</v>
      </c>
      <c r="P23" s="21">
        <v>14512</v>
      </c>
      <c r="Q23" s="21">
        <v>52240</v>
      </c>
      <c r="R23" s="47">
        <v>695020</v>
      </c>
    </row>
    <row r="24" spans="1:18">
      <c r="A24" s="19">
        <v>1987</v>
      </c>
      <c r="B24" s="21">
        <v>500</v>
      </c>
      <c r="C24" s="21">
        <v>605</v>
      </c>
      <c r="D24" s="21">
        <v>16810</v>
      </c>
      <c r="E24" s="21" t="s">
        <v>68</v>
      </c>
      <c r="F24" s="21" t="s">
        <v>68</v>
      </c>
      <c r="G24" s="21">
        <v>12008</v>
      </c>
      <c r="H24" s="21">
        <v>502440</v>
      </c>
      <c r="I24" s="21">
        <v>4158</v>
      </c>
      <c r="J24" s="21">
        <v>174090</v>
      </c>
      <c r="K24" s="21">
        <v>7850</v>
      </c>
      <c r="L24" s="21">
        <v>328350</v>
      </c>
      <c r="M24" s="21">
        <v>16102</v>
      </c>
      <c r="N24" s="21">
        <v>57970</v>
      </c>
      <c r="O24" s="21" t="s">
        <v>68</v>
      </c>
      <c r="P24" s="21">
        <v>12710</v>
      </c>
      <c r="Q24" s="21">
        <v>45760</v>
      </c>
      <c r="R24" s="47">
        <v>623480</v>
      </c>
    </row>
    <row r="25" spans="1:18">
      <c r="A25" s="19">
        <v>1988</v>
      </c>
      <c r="B25" s="21">
        <v>550</v>
      </c>
      <c r="C25" s="21">
        <v>493</v>
      </c>
      <c r="D25" s="21">
        <v>13690</v>
      </c>
      <c r="E25" s="21" t="s">
        <v>68</v>
      </c>
      <c r="F25" s="21" t="s">
        <v>68</v>
      </c>
      <c r="G25" s="21">
        <v>12325</v>
      </c>
      <c r="H25" s="21">
        <v>515580</v>
      </c>
      <c r="I25" s="21">
        <v>3961</v>
      </c>
      <c r="J25" s="21">
        <v>165850</v>
      </c>
      <c r="K25" s="21">
        <v>8364</v>
      </c>
      <c r="L25" s="21">
        <v>349730</v>
      </c>
      <c r="M25" s="21">
        <v>16228</v>
      </c>
      <c r="N25" s="21">
        <v>58430</v>
      </c>
      <c r="O25" s="21" t="s">
        <v>68</v>
      </c>
      <c r="P25" s="21">
        <v>15106</v>
      </c>
      <c r="Q25" s="21">
        <v>54380</v>
      </c>
      <c r="R25" s="47">
        <v>642630</v>
      </c>
    </row>
    <row r="26" spans="1:18">
      <c r="A26" s="19">
        <v>1989</v>
      </c>
      <c r="B26" s="21">
        <v>590</v>
      </c>
      <c r="C26" s="21">
        <v>383</v>
      </c>
      <c r="D26" s="21">
        <v>10660</v>
      </c>
      <c r="E26" s="21" t="s">
        <v>68</v>
      </c>
      <c r="F26" s="21" t="s">
        <v>68</v>
      </c>
      <c r="G26" s="21">
        <v>12141</v>
      </c>
      <c r="H26" s="21">
        <v>507580</v>
      </c>
      <c r="I26" s="21">
        <v>3065</v>
      </c>
      <c r="J26" s="21">
        <v>128330</v>
      </c>
      <c r="K26" s="21">
        <v>9076</v>
      </c>
      <c r="L26" s="21">
        <v>379250</v>
      </c>
      <c r="M26" s="21">
        <v>17686</v>
      </c>
      <c r="N26" s="21">
        <v>63670</v>
      </c>
      <c r="O26" s="21" t="s">
        <v>68</v>
      </c>
      <c r="P26" s="21">
        <v>21933</v>
      </c>
      <c r="Q26" s="21">
        <v>78960</v>
      </c>
      <c r="R26" s="47">
        <v>661460</v>
      </c>
    </row>
    <row r="27" spans="1:18">
      <c r="A27" s="19">
        <v>1990</v>
      </c>
      <c r="B27" s="21">
        <v>370</v>
      </c>
      <c r="C27" s="21">
        <v>515</v>
      </c>
      <c r="D27" s="21">
        <v>14380</v>
      </c>
      <c r="E27" s="21" t="s">
        <v>68</v>
      </c>
      <c r="F27" s="21" t="s">
        <v>68</v>
      </c>
      <c r="G27" s="21">
        <v>12914</v>
      </c>
      <c r="H27" s="21">
        <v>549780</v>
      </c>
      <c r="I27" s="21">
        <v>3127</v>
      </c>
      <c r="J27" s="21">
        <v>133140</v>
      </c>
      <c r="K27" s="21">
        <v>9787</v>
      </c>
      <c r="L27" s="21">
        <v>416640</v>
      </c>
      <c r="M27" s="21">
        <v>18940</v>
      </c>
      <c r="N27" s="21">
        <v>68180</v>
      </c>
      <c r="O27" s="21" t="s">
        <v>68</v>
      </c>
      <c r="P27" s="21">
        <v>22799</v>
      </c>
      <c r="Q27" s="21">
        <v>82080</v>
      </c>
      <c r="R27" s="47">
        <v>714790</v>
      </c>
    </row>
    <row r="28" spans="1:18">
      <c r="A28" s="19">
        <v>1991</v>
      </c>
      <c r="B28" s="21">
        <v>360</v>
      </c>
      <c r="C28" s="21">
        <v>413</v>
      </c>
      <c r="D28" s="21">
        <v>11480</v>
      </c>
      <c r="E28" s="21" t="s">
        <v>68</v>
      </c>
      <c r="F28" s="21" t="s">
        <v>68</v>
      </c>
      <c r="G28" s="21">
        <v>13432</v>
      </c>
      <c r="H28" s="21">
        <v>571990</v>
      </c>
      <c r="I28" s="21">
        <v>4671</v>
      </c>
      <c r="J28" s="21">
        <v>198920</v>
      </c>
      <c r="K28" s="21">
        <v>8761</v>
      </c>
      <c r="L28" s="21">
        <v>373070</v>
      </c>
      <c r="M28" s="21">
        <v>21271</v>
      </c>
      <c r="N28" s="21">
        <v>76580</v>
      </c>
      <c r="O28" s="21" t="s">
        <v>68</v>
      </c>
      <c r="P28" s="21">
        <v>24005</v>
      </c>
      <c r="Q28" s="21">
        <v>86420</v>
      </c>
      <c r="R28" s="47">
        <v>746830</v>
      </c>
    </row>
    <row r="29" spans="1:18">
      <c r="A29" s="19">
        <v>1992</v>
      </c>
      <c r="B29" s="21">
        <v>410</v>
      </c>
      <c r="C29" s="21">
        <v>195</v>
      </c>
      <c r="D29" s="21">
        <v>5350</v>
      </c>
      <c r="E29" s="21" t="s">
        <v>68</v>
      </c>
      <c r="F29" s="21" t="s">
        <v>68</v>
      </c>
      <c r="G29" s="21">
        <v>13451</v>
      </c>
      <c r="H29" s="21">
        <v>572980</v>
      </c>
      <c r="I29" s="21">
        <v>4317</v>
      </c>
      <c r="J29" s="21">
        <v>183870</v>
      </c>
      <c r="K29" s="21">
        <v>9134</v>
      </c>
      <c r="L29" s="21">
        <v>389110</v>
      </c>
      <c r="M29" s="21">
        <v>22365</v>
      </c>
      <c r="N29" s="21">
        <v>80510</v>
      </c>
      <c r="O29" s="21" t="s">
        <v>68</v>
      </c>
      <c r="P29" s="21">
        <v>21757</v>
      </c>
      <c r="Q29" s="21">
        <v>78330</v>
      </c>
      <c r="R29" s="47">
        <v>737580</v>
      </c>
    </row>
    <row r="30" spans="1:18">
      <c r="A30" s="19">
        <v>1993</v>
      </c>
      <c r="B30" s="21">
        <v>400</v>
      </c>
      <c r="C30" s="21">
        <v>158</v>
      </c>
      <c r="D30" s="21">
        <v>4350</v>
      </c>
      <c r="E30" s="21" t="s">
        <v>68</v>
      </c>
      <c r="F30" s="21" t="s">
        <v>68</v>
      </c>
      <c r="G30" s="21">
        <v>12239</v>
      </c>
      <c r="H30" s="21">
        <v>521330</v>
      </c>
      <c r="I30" s="21">
        <v>4764</v>
      </c>
      <c r="J30" s="21">
        <v>203020</v>
      </c>
      <c r="K30" s="21">
        <v>7475</v>
      </c>
      <c r="L30" s="21">
        <v>318310</v>
      </c>
      <c r="M30" s="21">
        <v>23467</v>
      </c>
      <c r="N30" s="21">
        <v>84480</v>
      </c>
      <c r="O30" s="21" t="s">
        <v>68</v>
      </c>
      <c r="P30" s="21">
        <v>23854</v>
      </c>
      <c r="Q30" s="21">
        <v>85870</v>
      </c>
      <c r="R30" s="47">
        <v>696430</v>
      </c>
    </row>
    <row r="31" spans="1:18">
      <c r="A31" s="19">
        <v>1994</v>
      </c>
      <c r="B31" s="21">
        <v>330</v>
      </c>
      <c r="C31" s="21">
        <v>164</v>
      </c>
      <c r="D31" s="21">
        <v>4520</v>
      </c>
      <c r="E31" s="21" t="s">
        <v>68</v>
      </c>
      <c r="F31" s="21" t="s">
        <v>68</v>
      </c>
      <c r="G31" s="21">
        <v>13041</v>
      </c>
      <c r="H31" s="21">
        <v>555670</v>
      </c>
      <c r="I31" s="21">
        <v>4880</v>
      </c>
      <c r="J31" s="21">
        <v>208210</v>
      </c>
      <c r="K31" s="21">
        <v>8161</v>
      </c>
      <c r="L31" s="21">
        <v>347460</v>
      </c>
      <c r="M31" s="21">
        <v>23158</v>
      </c>
      <c r="N31" s="21">
        <v>83370</v>
      </c>
      <c r="O31" s="21" t="s">
        <v>68</v>
      </c>
      <c r="P31" s="21">
        <v>22723</v>
      </c>
      <c r="Q31" s="21">
        <v>81800</v>
      </c>
      <c r="R31" s="47">
        <v>725690</v>
      </c>
    </row>
    <row r="32" spans="1:18">
      <c r="A32" s="19">
        <v>1995</v>
      </c>
      <c r="B32" s="21">
        <v>340</v>
      </c>
      <c r="C32" s="21">
        <v>244</v>
      </c>
      <c r="D32" s="21">
        <v>6780</v>
      </c>
      <c r="E32" s="21" t="s">
        <v>68</v>
      </c>
      <c r="F32" s="21" t="s">
        <v>68</v>
      </c>
      <c r="G32" s="21">
        <v>12013</v>
      </c>
      <c r="H32" s="21">
        <v>511960</v>
      </c>
      <c r="I32" s="21">
        <v>4657</v>
      </c>
      <c r="J32" s="21">
        <v>198700</v>
      </c>
      <c r="K32" s="21">
        <v>7356</v>
      </c>
      <c r="L32" s="21">
        <v>313260</v>
      </c>
      <c r="M32" s="21">
        <v>25534</v>
      </c>
      <c r="N32" s="21">
        <v>91920</v>
      </c>
      <c r="O32" s="21" t="s">
        <v>68</v>
      </c>
      <c r="P32" s="21">
        <v>28948</v>
      </c>
      <c r="Q32" s="21">
        <v>104210</v>
      </c>
      <c r="R32" s="47">
        <v>715210</v>
      </c>
    </row>
    <row r="33" spans="1:18">
      <c r="A33" s="19">
        <v>1996</v>
      </c>
      <c r="B33" s="21">
        <v>350</v>
      </c>
      <c r="C33" s="21">
        <v>165</v>
      </c>
      <c r="D33" s="21">
        <v>4560</v>
      </c>
      <c r="E33" s="21" t="s">
        <v>68</v>
      </c>
      <c r="F33" s="21" t="s">
        <v>68</v>
      </c>
      <c r="G33" s="21">
        <v>12920</v>
      </c>
      <c r="H33" s="21">
        <v>550630</v>
      </c>
      <c r="I33" s="21">
        <v>5323</v>
      </c>
      <c r="J33" s="21">
        <v>227120</v>
      </c>
      <c r="K33" s="21">
        <v>7597</v>
      </c>
      <c r="L33" s="21">
        <v>323510</v>
      </c>
      <c r="M33" s="21">
        <v>27638</v>
      </c>
      <c r="N33" s="21">
        <v>99500</v>
      </c>
      <c r="O33" s="21" t="s">
        <v>68</v>
      </c>
      <c r="P33" s="21">
        <v>33485</v>
      </c>
      <c r="Q33" s="21">
        <v>120550</v>
      </c>
      <c r="R33" s="47">
        <v>775590</v>
      </c>
    </row>
    <row r="34" spans="1:18">
      <c r="A34" s="19">
        <v>1997</v>
      </c>
      <c r="B34" s="21">
        <v>330</v>
      </c>
      <c r="C34" s="21">
        <v>113</v>
      </c>
      <c r="D34" s="21">
        <v>3110</v>
      </c>
      <c r="E34" s="21" t="s">
        <v>68</v>
      </c>
      <c r="F34" s="21" t="s">
        <v>68</v>
      </c>
      <c r="G34" s="21">
        <v>13204</v>
      </c>
      <c r="H34" s="21">
        <v>563110</v>
      </c>
      <c r="I34" s="21">
        <v>4984</v>
      </c>
      <c r="J34" s="21">
        <v>212800</v>
      </c>
      <c r="K34" s="21">
        <v>8220</v>
      </c>
      <c r="L34" s="21">
        <v>350310</v>
      </c>
      <c r="M34" s="21">
        <v>26682</v>
      </c>
      <c r="N34" s="21">
        <v>96060</v>
      </c>
      <c r="O34" s="21">
        <v>0</v>
      </c>
      <c r="P34" s="21">
        <v>30655</v>
      </c>
      <c r="Q34" s="21">
        <v>110360</v>
      </c>
      <c r="R34" s="47">
        <v>772970</v>
      </c>
    </row>
    <row r="35" spans="1:18">
      <c r="A35" s="19">
        <v>1998</v>
      </c>
      <c r="B35" s="21">
        <v>360</v>
      </c>
      <c r="C35" s="21">
        <v>98</v>
      </c>
      <c r="D35" s="21">
        <v>2690</v>
      </c>
      <c r="E35" s="21" t="s">
        <v>68</v>
      </c>
      <c r="F35" s="21" t="s">
        <v>68</v>
      </c>
      <c r="G35" s="21">
        <v>13574</v>
      </c>
      <c r="H35" s="21">
        <v>579170</v>
      </c>
      <c r="I35" s="21">
        <v>5070</v>
      </c>
      <c r="J35" s="21">
        <v>216740</v>
      </c>
      <c r="K35" s="21">
        <v>8504</v>
      </c>
      <c r="L35" s="21">
        <v>362430</v>
      </c>
      <c r="M35" s="21">
        <v>27466</v>
      </c>
      <c r="N35" s="21">
        <v>98880</v>
      </c>
      <c r="O35" s="21">
        <v>0</v>
      </c>
      <c r="P35" s="21">
        <v>37419</v>
      </c>
      <c r="Q35" s="21">
        <v>134710</v>
      </c>
      <c r="R35" s="47">
        <v>815810</v>
      </c>
    </row>
    <row r="36" spans="1:18">
      <c r="A36" s="19">
        <v>1999</v>
      </c>
      <c r="B36" s="21">
        <v>340</v>
      </c>
      <c r="C36" s="21">
        <v>94</v>
      </c>
      <c r="D36" s="21">
        <v>2570</v>
      </c>
      <c r="E36" s="21" t="s">
        <v>68</v>
      </c>
      <c r="F36" s="21" t="s">
        <v>68</v>
      </c>
      <c r="G36" s="21">
        <v>12655</v>
      </c>
      <c r="H36" s="21">
        <v>539970</v>
      </c>
      <c r="I36" s="21">
        <v>5093</v>
      </c>
      <c r="J36" s="21">
        <v>217620</v>
      </c>
      <c r="K36" s="21">
        <v>7562</v>
      </c>
      <c r="L36" s="21">
        <v>322350</v>
      </c>
      <c r="M36" s="21">
        <v>28457</v>
      </c>
      <c r="N36" s="21">
        <v>102450</v>
      </c>
      <c r="O36" s="21">
        <v>0</v>
      </c>
      <c r="P36" s="21">
        <v>37064</v>
      </c>
      <c r="Q36" s="21">
        <v>133430</v>
      </c>
      <c r="R36" s="47">
        <v>778760</v>
      </c>
    </row>
    <row r="37" spans="1:18">
      <c r="A37" s="19">
        <v>2000</v>
      </c>
      <c r="B37" s="21">
        <v>340</v>
      </c>
      <c r="C37" s="21">
        <v>285</v>
      </c>
      <c r="D37" s="21">
        <v>7830</v>
      </c>
      <c r="E37" s="21" t="s">
        <v>68</v>
      </c>
      <c r="F37" s="21" t="s">
        <v>68</v>
      </c>
      <c r="G37" s="21">
        <v>12388</v>
      </c>
      <c r="H37" s="21">
        <v>527500</v>
      </c>
      <c r="I37" s="21">
        <v>4649</v>
      </c>
      <c r="J37" s="21">
        <v>198090</v>
      </c>
      <c r="K37" s="21">
        <v>7739</v>
      </c>
      <c r="L37" s="21">
        <v>329410</v>
      </c>
      <c r="M37" s="21">
        <v>28299</v>
      </c>
      <c r="N37" s="21">
        <v>101880</v>
      </c>
      <c r="O37" s="21">
        <v>0</v>
      </c>
      <c r="P37" s="21">
        <v>24330</v>
      </c>
      <c r="Q37" s="21">
        <v>87590</v>
      </c>
      <c r="R37" s="47">
        <v>725140</v>
      </c>
    </row>
    <row r="38" spans="1:18">
      <c r="A38" s="19">
        <v>2001</v>
      </c>
      <c r="B38" s="21">
        <v>420</v>
      </c>
      <c r="C38" s="21">
        <v>195</v>
      </c>
      <c r="D38" s="21">
        <v>5330</v>
      </c>
      <c r="E38" s="21" t="s">
        <v>68</v>
      </c>
      <c r="F38" s="21" t="s">
        <v>68</v>
      </c>
      <c r="G38" s="21">
        <v>13731</v>
      </c>
      <c r="H38" s="21">
        <v>584970</v>
      </c>
      <c r="I38" s="21">
        <v>4927</v>
      </c>
      <c r="J38" s="21">
        <v>209970</v>
      </c>
      <c r="K38" s="21">
        <v>8804</v>
      </c>
      <c r="L38" s="21">
        <v>375000</v>
      </c>
      <c r="M38" s="21">
        <v>29456</v>
      </c>
      <c r="N38" s="21">
        <v>106040</v>
      </c>
      <c r="O38" s="21">
        <v>0</v>
      </c>
      <c r="P38" s="21">
        <v>24096</v>
      </c>
      <c r="Q38" s="21">
        <v>86750</v>
      </c>
      <c r="R38" s="47">
        <v>783510</v>
      </c>
    </row>
    <row r="39" spans="1:18">
      <c r="A39" s="19">
        <v>2002</v>
      </c>
      <c r="B39" s="21">
        <v>390</v>
      </c>
      <c r="C39" s="21">
        <v>159</v>
      </c>
      <c r="D39" s="21">
        <v>4300</v>
      </c>
      <c r="E39" s="21" t="s">
        <v>68</v>
      </c>
      <c r="F39" s="21" t="s">
        <v>68</v>
      </c>
      <c r="G39" s="21">
        <v>13174</v>
      </c>
      <c r="H39" s="21">
        <v>561570</v>
      </c>
      <c r="I39" s="21">
        <v>4924</v>
      </c>
      <c r="J39" s="21">
        <v>210160</v>
      </c>
      <c r="K39" s="21">
        <v>8250</v>
      </c>
      <c r="L39" s="21">
        <v>351410</v>
      </c>
      <c r="M39" s="21">
        <v>28911</v>
      </c>
      <c r="N39" s="21">
        <v>104080</v>
      </c>
      <c r="O39" s="21">
        <v>0</v>
      </c>
      <c r="P39" s="21">
        <v>27800</v>
      </c>
      <c r="Q39" s="21">
        <v>100080</v>
      </c>
      <c r="R39" s="47">
        <v>770420</v>
      </c>
    </row>
    <row r="40" spans="1:18">
      <c r="A40" s="19">
        <v>2003</v>
      </c>
      <c r="B40" s="21">
        <v>360</v>
      </c>
      <c r="C40" s="21">
        <v>116</v>
      </c>
      <c r="D40" s="21">
        <v>3110</v>
      </c>
      <c r="E40" s="21" t="s">
        <v>68</v>
      </c>
      <c r="F40" s="21" t="s">
        <v>68</v>
      </c>
      <c r="G40" s="21">
        <v>12659</v>
      </c>
      <c r="H40" s="21">
        <v>539490</v>
      </c>
      <c r="I40" s="21">
        <v>4646</v>
      </c>
      <c r="J40" s="21">
        <v>197980</v>
      </c>
      <c r="K40" s="21">
        <v>8013</v>
      </c>
      <c r="L40" s="21">
        <v>341510</v>
      </c>
      <c r="M40" s="21">
        <v>30560</v>
      </c>
      <c r="N40" s="21">
        <v>110010</v>
      </c>
      <c r="O40" s="21">
        <v>0</v>
      </c>
      <c r="P40" s="21">
        <v>30084</v>
      </c>
      <c r="Q40" s="21">
        <v>108300</v>
      </c>
      <c r="R40" s="47">
        <v>761270</v>
      </c>
    </row>
    <row r="41" spans="1:18">
      <c r="A41" s="19">
        <v>2004</v>
      </c>
      <c r="B41" s="21">
        <v>350</v>
      </c>
      <c r="C41" s="21">
        <v>202</v>
      </c>
      <c r="D41" s="21">
        <v>5400</v>
      </c>
      <c r="E41" s="21" t="s">
        <v>68</v>
      </c>
      <c r="F41" s="21" t="s">
        <v>68</v>
      </c>
      <c r="G41" s="21">
        <v>12666</v>
      </c>
      <c r="H41" s="21">
        <v>539800</v>
      </c>
      <c r="I41" s="21">
        <v>5219</v>
      </c>
      <c r="J41" s="21">
        <v>222570</v>
      </c>
      <c r="K41" s="21">
        <v>7447</v>
      </c>
      <c r="L41" s="21">
        <v>317230</v>
      </c>
      <c r="M41" s="21">
        <v>31526</v>
      </c>
      <c r="N41" s="21">
        <v>113490</v>
      </c>
      <c r="O41" s="21">
        <v>0</v>
      </c>
      <c r="P41" s="21">
        <v>27056</v>
      </c>
      <c r="Q41" s="21">
        <v>97400</v>
      </c>
      <c r="R41" s="47">
        <v>756440</v>
      </c>
    </row>
    <row r="42" spans="1:18">
      <c r="A42" s="19">
        <v>2005</v>
      </c>
      <c r="B42" s="21">
        <v>380</v>
      </c>
      <c r="C42" s="21">
        <v>161</v>
      </c>
      <c r="D42" s="21">
        <v>4110</v>
      </c>
      <c r="E42" s="21" t="s">
        <v>68</v>
      </c>
      <c r="F42" s="21" t="s">
        <v>68</v>
      </c>
      <c r="G42" s="21">
        <v>12996</v>
      </c>
      <c r="H42" s="21">
        <v>553980</v>
      </c>
      <c r="I42" s="21">
        <v>4877</v>
      </c>
      <c r="J42" s="21">
        <v>208050</v>
      </c>
      <c r="K42" s="21">
        <v>8119</v>
      </c>
      <c r="L42" s="21">
        <v>345930</v>
      </c>
      <c r="M42" s="21">
        <v>32365</v>
      </c>
      <c r="N42" s="21">
        <v>116510</v>
      </c>
      <c r="O42" s="21">
        <v>10</v>
      </c>
      <c r="P42" s="21">
        <v>38346</v>
      </c>
      <c r="Q42" s="21">
        <v>138050</v>
      </c>
      <c r="R42" s="47">
        <v>813040</v>
      </c>
    </row>
    <row r="43" spans="1:18">
      <c r="A43" s="19">
        <v>2006</v>
      </c>
      <c r="B43" s="21">
        <v>380</v>
      </c>
      <c r="C43" s="21">
        <v>268</v>
      </c>
      <c r="D43" s="21">
        <v>6720</v>
      </c>
      <c r="E43" s="21" t="s">
        <v>68</v>
      </c>
      <c r="F43" s="21" t="s">
        <v>68</v>
      </c>
      <c r="G43" s="21">
        <v>13248</v>
      </c>
      <c r="H43" s="21">
        <v>565150</v>
      </c>
      <c r="I43" s="21">
        <v>5563</v>
      </c>
      <c r="J43" s="21">
        <v>237780</v>
      </c>
      <c r="K43" s="21">
        <v>7685</v>
      </c>
      <c r="L43" s="21">
        <v>327370</v>
      </c>
      <c r="M43" s="21">
        <v>31469</v>
      </c>
      <c r="N43" s="21">
        <v>113290</v>
      </c>
      <c r="O43" s="21">
        <v>0</v>
      </c>
      <c r="P43" s="21">
        <v>33803</v>
      </c>
      <c r="Q43" s="21">
        <v>121690</v>
      </c>
      <c r="R43" s="47">
        <v>807230</v>
      </c>
    </row>
    <row r="44" spans="1:18">
      <c r="A44" s="19">
        <v>2007</v>
      </c>
      <c r="B44" s="21">
        <v>820</v>
      </c>
      <c r="C44" s="21">
        <v>335</v>
      </c>
      <c r="D44" s="21">
        <v>8460</v>
      </c>
      <c r="E44" s="21" t="s">
        <v>68</v>
      </c>
      <c r="F44" s="21" t="s">
        <v>68</v>
      </c>
      <c r="G44" s="21">
        <v>11687</v>
      </c>
      <c r="H44" s="21">
        <v>498520</v>
      </c>
      <c r="I44" s="21">
        <v>4720</v>
      </c>
      <c r="J44" s="21">
        <v>201720</v>
      </c>
      <c r="K44" s="21">
        <v>6967</v>
      </c>
      <c r="L44" s="21">
        <v>296800</v>
      </c>
      <c r="M44" s="21">
        <v>30641</v>
      </c>
      <c r="N44" s="21">
        <v>110310</v>
      </c>
      <c r="O44" s="21">
        <v>0</v>
      </c>
      <c r="P44" s="21">
        <v>34818</v>
      </c>
      <c r="Q44" s="21">
        <v>125340</v>
      </c>
      <c r="R44" s="47">
        <v>743450</v>
      </c>
    </row>
    <row r="45" spans="1:18">
      <c r="A45" s="19">
        <v>2008</v>
      </c>
      <c r="B45" s="21">
        <v>790</v>
      </c>
      <c r="C45" s="21">
        <v>260</v>
      </c>
      <c r="D45" s="21">
        <v>6490</v>
      </c>
      <c r="E45" s="21" t="s">
        <v>68</v>
      </c>
      <c r="F45" s="21" t="s">
        <v>68</v>
      </c>
      <c r="G45" s="21">
        <v>12849</v>
      </c>
      <c r="H45" s="21">
        <v>548300</v>
      </c>
      <c r="I45" s="21">
        <v>5133</v>
      </c>
      <c r="J45" s="21">
        <v>219200</v>
      </c>
      <c r="K45" s="21">
        <v>7716</v>
      </c>
      <c r="L45" s="21">
        <v>329100</v>
      </c>
      <c r="M45" s="21">
        <v>32648</v>
      </c>
      <c r="N45" s="21">
        <v>117530</v>
      </c>
      <c r="O45" s="21">
        <v>10</v>
      </c>
      <c r="P45" s="21">
        <v>31601</v>
      </c>
      <c r="Q45" s="21">
        <v>113760</v>
      </c>
      <c r="R45" s="47">
        <v>786880</v>
      </c>
    </row>
    <row r="46" spans="1:18">
      <c r="A46" s="19">
        <v>2009</v>
      </c>
      <c r="B46" s="21">
        <v>1090</v>
      </c>
      <c r="C46" s="21">
        <v>272</v>
      </c>
      <c r="D46" s="21">
        <v>6810</v>
      </c>
      <c r="E46" s="21" t="s">
        <v>68</v>
      </c>
      <c r="F46" s="21" t="s">
        <v>68</v>
      </c>
      <c r="G46" s="21">
        <v>13128</v>
      </c>
      <c r="H46" s="21">
        <v>560730</v>
      </c>
      <c r="I46" s="21">
        <v>4833</v>
      </c>
      <c r="J46" s="21">
        <v>206810</v>
      </c>
      <c r="K46" s="21">
        <v>8295</v>
      </c>
      <c r="L46" s="21">
        <v>353920</v>
      </c>
      <c r="M46" s="21">
        <v>31335</v>
      </c>
      <c r="N46" s="21">
        <v>112810</v>
      </c>
      <c r="O46" s="21">
        <v>100</v>
      </c>
      <c r="P46" s="21">
        <v>31368</v>
      </c>
      <c r="Q46" s="21">
        <v>112920</v>
      </c>
      <c r="R46" s="47">
        <v>794460</v>
      </c>
    </row>
    <row r="47" spans="1:18">
      <c r="A47" s="19">
        <v>2010</v>
      </c>
      <c r="B47" s="21">
        <v>1190</v>
      </c>
      <c r="C47" s="21">
        <v>216</v>
      </c>
      <c r="D47" s="21">
        <v>5380</v>
      </c>
      <c r="E47" s="21" t="s">
        <v>68</v>
      </c>
      <c r="F47" s="21" t="s">
        <v>68</v>
      </c>
      <c r="G47" s="21">
        <v>11861</v>
      </c>
      <c r="H47" s="21">
        <v>506250</v>
      </c>
      <c r="I47" s="21">
        <v>4546</v>
      </c>
      <c r="J47" s="21">
        <v>194360</v>
      </c>
      <c r="K47" s="21">
        <v>7315</v>
      </c>
      <c r="L47" s="21">
        <v>311890</v>
      </c>
      <c r="M47" s="21">
        <v>35004</v>
      </c>
      <c r="N47" s="21">
        <v>126010</v>
      </c>
      <c r="O47" s="21">
        <v>170</v>
      </c>
      <c r="P47" s="21">
        <v>33401</v>
      </c>
      <c r="Q47" s="21">
        <v>120240</v>
      </c>
      <c r="R47" s="47">
        <v>759240</v>
      </c>
    </row>
    <row r="48" spans="1:18">
      <c r="A48" s="19">
        <v>2011</v>
      </c>
      <c r="B48" s="21">
        <v>1250</v>
      </c>
      <c r="C48" s="21">
        <v>192</v>
      </c>
      <c r="D48" s="21">
        <v>4750</v>
      </c>
      <c r="E48" s="21" t="s">
        <v>68</v>
      </c>
      <c r="F48" s="21" t="s">
        <v>68</v>
      </c>
      <c r="G48" s="21">
        <v>11483</v>
      </c>
      <c r="H48" s="21">
        <v>490580</v>
      </c>
      <c r="I48" s="21">
        <v>4452</v>
      </c>
      <c r="J48" s="21">
        <v>190620</v>
      </c>
      <c r="K48" s="21">
        <v>7031</v>
      </c>
      <c r="L48" s="21">
        <v>299960</v>
      </c>
      <c r="M48" s="21">
        <v>31048</v>
      </c>
      <c r="N48" s="21">
        <v>111770</v>
      </c>
      <c r="O48" s="21">
        <v>190</v>
      </c>
      <c r="P48" s="21">
        <v>34824</v>
      </c>
      <c r="Q48" s="21">
        <v>125370</v>
      </c>
      <c r="R48" s="47">
        <v>733910</v>
      </c>
    </row>
    <row r="49" spans="1:18">
      <c r="A49" s="19">
        <v>2012</v>
      </c>
      <c r="B49" s="21">
        <v>1180</v>
      </c>
      <c r="C49" s="21">
        <v>215</v>
      </c>
      <c r="D49" s="21">
        <v>5390</v>
      </c>
      <c r="E49" s="21" t="s">
        <v>68</v>
      </c>
      <c r="F49" s="21" t="s">
        <v>68</v>
      </c>
      <c r="G49" s="21">
        <v>11713</v>
      </c>
      <c r="H49" s="21">
        <v>500420</v>
      </c>
      <c r="I49" s="21">
        <v>3455</v>
      </c>
      <c r="J49" s="21">
        <v>147580</v>
      </c>
      <c r="K49" s="21">
        <v>8258</v>
      </c>
      <c r="L49" s="21">
        <v>352840</v>
      </c>
      <c r="M49" s="21">
        <v>34034</v>
      </c>
      <c r="N49" s="21">
        <v>122520</v>
      </c>
      <c r="O49" s="21">
        <v>250</v>
      </c>
      <c r="P49" s="21">
        <v>31549</v>
      </c>
      <c r="Q49" s="21">
        <v>113580</v>
      </c>
      <c r="R49" s="47">
        <v>743340</v>
      </c>
    </row>
    <row r="50" spans="1:18">
      <c r="A50" s="19">
        <v>2013</v>
      </c>
      <c r="B50" s="21">
        <v>2080</v>
      </c>
      <c r="C50" s="21">
        <v>228</v>
      </c>
      <c r="D50" s="21">
        <v>5700</v>
      </c>
      <c r="E50" s="21" t="s">
        <v>68</v>
      </c>
      <c r="F50" s="21" t="s">
        <v>68</v>
      </c>
      <c r="G50" s="21">
        <v>12382</v>
      </c>
      <c r="H50" s="21">
        <v>529730</v>
      </c>
      <c r="I50" s="21">
        <v>4935</v>
      </c>
      <c r="J50" s="21">
        <v>211440</v>
      </c>
      <c r="K50" s="21">
        <v>7447</v>
      </c>
      <c r="L50" s="21">
        <v>318290</v>
      </c>
      <c r="M50" s="21">
        <v>35841</v>
      </c>
      <c r="N50" s="21">
        <v>129030</v>
      </c>
      <c r="O50" s="21">
        <v>280</v>
      </c>
      <c r="P50" s="21">
        <v>29874</v>
      </c>
      <c r="Q50" s="21">
        <v>107550</v>
      </c>
      <c r="R50" s="47">
        <v>774370</v>
      </c>
    </row>
    <row r="51" spans="1:18">
      <c r="A51" s="19">
        <v>2014</v>
      </c>
      <c r="B51" s="21">
        <v>1630</v>
      </c>
      <c r="C51" s="21">
        <v>192</v>
      </c>
      <c r="D51" s="21">
        <v>4640</v>
      </c>
      <c r="E51" s="21" t="s">
        <v>68</v>
      </c>
      <c r="F51" s="21" t="s">
        <v>68</v>
      </c>
      <c r="G51" s="21">
        <v>11234</v>
      </c>
      <c r="H51" s="21">
        <v>480230</v>
      </c>
      <c r="I51" s="21">
        <v>4975</v>
      </c>
      <c r="J51" s="21">
        <v>213010</v>
      </c>
      <c r="K51" s="21">
        <v>6259</v>
      </c>
      <c r="L51" s="21">
        <v>267220</v>
      </c>
      <c r="M51" s="21">
        <v>31047</v>
      </c>
      <c r="N51" s="21">
        <v>111770</v>
      </c>
      <c r="O51" s="21">
        <v>670</v>
      </c>
      <c r="P51" s="21">
        <v>28530</v>
      </c>
      <c r="Q51" s="21">
        <v>102710</v>
      </c>
      <c r="R51" s="47">
        <v>701650</v>
      </c>
    </row>
    <row r="52" spans="1:18">
      <c r="A52" s="19">
        <v>2015</v>
      </c>
      <c r="B52" s="21">
        <v>2100</v>
      </c>
      <c r="C52" s="21">
        <v>223</v>
      </c>
      <c r="D52" s="21">
        <v>5440</v>
      </c>
      <c r="E52" s="21">
        <v>384</v>
      </c>
      <c r="F52" s="21">
        <v>4470</v>
      </c>
      <c r="G52" s="21">
        <v>10731</v>
      </c>
      <c r="H52" s="21">
        <v>458960</v>
      </c>
      <c r="I52" s="21">
        <v>2836</v>
      </c>
      <c r="J52" s="21">
        <v>121340</v>
      </c>
      <c r="K52" s="21">
        <v>7895</v>
      </c>
      <c r="L52" s="21">
        <v>337620</v>
      </c>
      <c r="M52" s="21">
        <v>33172</v>
      </c>
      <c r="N52" s="21">
        <v>119420</v>
      </c>
      <c r="O52" s="21">
        <v>1840</v>
      </c>
      <c r="P52" s="21">
        <v>34033</v>
      </c>
      <c r="Q52" s="21">
        <v>122520</v>
      </c>
      <c r="R52" s="47">
        <v>714750</v>
      </c>
    </row>
    <row r="53" spans="1:18">
      <c r="A53" s="19">
        <v>2016</v>
      </c>
      <c r="B53" s="21">
        <v>1720</v>
      </c>
      <c r="C53" s="21">
        <v>197</v>
      </c>
      <c r="D53" s="21">
        <v>4760</v>
      </c>
      <c r="E53" s="21">
        <v>434</v>
      </c>
      <c r="F53" s="21">
        <v>5080</v>
      </c>
      <c r="G53" s="21">
        <v>10775</v>
      </c>
      <c r="H53" s="21">
        <v>460660</v>
      </c>
      <c r="I53" s="21">
        <v>3006</v>
      </c>
      <c r="J53" s="21">
        <v>128550</v>
      </c>
      <c r="K53" s="21">
        <v>7769</v>
      </c>
      <c r="L53" s="21">
        <v>332110</v>
      </c>
      <c r="M53" s="21">
        <v>34849</v>
      </c>
      <c r="N53" s="21">
        <v>125460</v>
      </c>
      <c r="O53" s="21">
        <v>3290</v>
      </c>
      <c r="P53" s="21">
        <v>34096</v>
      </c>
      <c r="Q53" s="21">
        <v>122750</v>
      </c>
      <c r="R53" s="47">
        <v>723720</v>
      </c>
    </row>
    <row r="54" spans="1:18">
      <c r="A54" s="19">
        <v>2017</v>
      </c>
      <c r="B54" s="21">
        <v>2190</v>
      </c>
      <c r="C54" s="21">
        <v>189</v>
      </c>
      <c r="D54" s="21">
        <v>4590</v>
      </c>
      <c r="E54" s="21">
        <v>451</v>
      </c>
      <c r="F54" s="21">
        <v>5320</v>
      </c>
      <c r="G54" s="21">
        <v>10599</v>
      </c>
      <c r="H54" s="21">
        <v>452690</v>
      </c>
      <c r="I54" s="21">
        <v>2889</v>
      </c>
      <c r="J54" s="21">
        <v>122930</v>
      </c>
      <c r="K54" s="21">
        <v>7710</v>
      </c>
      <c r="L54" s="21">
        <v>329760</v>
      </c>
      <c r="M54" s="21">
        <v>34998</v>
      </c>
      <c r="N54" s="21">
        <v>125990</v>
      </c>
      <c r="O54" s="21">
        <v>5230</v>
      </c>
      <c r="P54" s="21">
        <v>36496</v>
      </c>
      <c r="Q54" s="21">
        <v>131390</v>
      </c>
      <c r="R54" s="47">
        <v>727400</v>
      </c>
    </row>
    <row r="55" spans="1:18">
      <c r="A55" s="19">
        <v>2018</v>
      </c>
      <c r="B55" s="21">
        <v>2120</v>
      </c>
      <c r="C55" s="21">
        <v>141</v>
      </c>
      <c r="D55" s="21">
        <v>3390</v>
      </c>
      <c r="E55" s="21">
        <v>451</v>
      </c>
      <c r="F55" s="21">
        <v>5280</v>
      </c>
      <c r="G55" s="21">
        <v>9933</v>
      </c>
      <c r="H55" s="21">
        <v>424800</v>
      </c>
      <c r="I55" s="21">
        <v>3076</v>
      </c>
      <c r="J55" s="21">
        <v>131660</v>
      </c>
      <c r="K55" s="21">
        <v>6857</v>
      </c>
      <c r="L55" s="21">
        <v>293140</v>
      </c>
      <c r="M55" s="21">
        <v>33197</v>
      </c>
      <c r="N55" s="21">
        <v>119510</v>
      </c>
      <c r="O55" s="21">
        <v>7150</v>
      </c>
      <c r="P55" s="21">
        <v>31020</v>
      </c>
      <c r="Q55" s="21">
        <v>111670</v>
      </c>
      <c r="R55" s="47">
        <v>673920</v>
      </c>
    </row>
    <row r="56" spans="1:18">
      <c r="A56" s="19">
        <v>2019</v>
      </c>
      <c r="B56" s="21">
        <v>1790</v>
      </c>
      <c r="C56" s="21">
        <v>139</v>
      </c>
      <c r="D56" s="21">
        <v>3360</v>
      </c>
      <c r="E56" s="21">
        <v>465</v>
      </c>
      <c r="F56" s="21">
        <v>5450</v>
      </c>
      <c r="G56" s="21">
        <v>10910</v>
      </c>
      <c r="H56" s="21">
        <v>467520</v>
      </c>
      <c r="I56" s="21">
        <v>2789</v>
      </c>
      <c r="J56" s="21">
        <v>119790</v>
      </c>
      <c r="K56" s="21">
        <v>8121</v>
      </c>
      <c r="L56" s="21">
        <v>347730</v>
      </c>
      <c r="M56" s="21">
        <v>34060</v>
      </c>
      <c r="N56" s="21">
        <v>122610</v>
      </c>
      <c r="O56" s="21">
        <v>7370</v>
      </c>
      <c r="P56" s="21">
        <v>29505</v>
      </c>
      <c r="Q56" s="21">
        <v>106220</v>
      </c>
      <c r="R56" s="47">
        <v>714320</v>
      </c>
    </row>
    <row r="57" spans="1:18">
      <c r="A57" s="19">
        <v>2020</v>
      </c>
      <c r="B57" s="21">
        <v>1930</v>
      </c>
      <c r="C57" s="21">
        <v>139</v>
      </c>
      <c r="D57" s="21">
        <v>3340</v>
      </c>
      <c r="E57" s="21">
        <v>459</v>
      </c>
      <c r="F57" s="21">
        <v>5320</v>
      </c>
      <c r="G57" s="21">
        <v>9174</v>
      </c>
      <c r="H57" s="21">
        <v>392810</v>
      </c>
      <c r="I57" s="21">
        <v>2857</v>
      </c>
      <c r="J57" s="21">
        <v>122930</v>
      </c>
      <c r="K57" s="21">
        <v>6317</v>
      </c>
      <c r="L57" s="21">
        <v>269880</v>
      </c>
      <c r="M57" s="21">
        <v>33163</v>
      </c>
      <c r="N57" s="21">
        <v>119390</v>
      </c>
      <c r="O57" s="21">
        <v>6810</v>
      </c>
      <c r="P57" s="21">
        <v>26988</v>
      </c>
      <c r="Q57" s="21">
        <v>97160</v>
      </c>
      <c r="R57" s="47">
        <v>626760</v>
      </c>
    </row>
    <row r="58" spans="1:18">
      <c r="A58" s="19">
        <v>2021</v>
      </c>
      <c r="B58" s="21">
        <v>1880</v>
      </c>
      <c r="C58" s="21">
        <v>154</v>
      </c>
      <c r="D58" s="21">
        <v>3720</v>
      </c>
      <c r="E58" s="21">
        <v>365</v>
      </c>
      <c r="F58" s="21">
        <v>4320</v>
      </c>
      <c r="G58" s="21">
        <v>8419</v>
      </c>
      <c r="H58" s="21">
        <v>360770</v>
      </c>
      <c r="I58" s="21">
        <v>2339</v>
      </c>
      <c r="J58" s="21">
        <v>100940</v>
      </c>
      <c r="K58" s="21">
        <v>6080</v>
      </c>
      <c r="L58" s="21">
        <v>259830</v>
      </c>
      <c r="M58" s="21">
        <v>36069</v>
      </c>
      <c r="N58" s="21">
        <v>129850</v>
      </c>
      <c r="O58" s="21">
        <v>6270</v>
      </c>
      <c r="P58" s="21">
        <v>31532</v>
      </c>
      <c r="Q58" s="21">
        <v>113520</v>
      </c>
      <c r="R58" s="47">
        <v>620330</v>
      </c>
    </row>
    <row r="59" spans="1:18">
      <c r="A59" s="19">
        <v>2022</v>
      </c>
      <c r="B59" s="21">
        <v>2390</v>
      </c>
      <c r="C59" s="21">
        <v>160</v>
      </c>
      <c r="D59" s="21">
        <v>3870</v>
      </c>
      <c r="E59" s="21">
        <v>334</v>
      </c>
      <c r="F59" s="21">
        <v>3990</v>
      </c>
      <c r="G59" s="21">
        <v>8866</v>
      </c>
      <c r="H59" s="21">
        <v>379750</v>
      </c>
      <c r="I59" s="21">
        <v>3102</v>
      </c>
      <c r="J59" s="21">
        <v>133310</v>
      </c>
      <c r="K59" s="21">
        <v>5764</v>
      </c>
      <c r="L59" s="21">
        <v>246440</v>
      </c>
      <c r="M59" s="21">
        <v>29685</v>
      </c>
      <c r="N59" s="21">
        <v>106870</v>
      </c>
      <c r="O59" s="21">
        <v>6270</v>
      </c>
      <c r="P59" s="21">
        <v>33117</v>
      </c>
      <c r="Q59" s="21">
        <v>119220</v>
      </c>
      <c r="R59" s="47">
        <v>622360</v>
      </c>
    </row>
    <row r="60" spans="1:18">
      <c r="A60" s="19">
        <v>2023</v>
      </c>
      <c r="B60" s="20">
        <v>1920</v>
      </c>
      <c r="C60" s="21">
        <v>129</v>
      </c>
      <c r="D60" s="21">
        <v>3140</v>
      </c>
      <c r="E60" s="21">
        <v>351</v>
      </c>
      <c r="F60" s="21">
        <v>4140</v>
      </c>
      <c r="G60" s="21">
        <v>9571</v>
      </c>
      <c r="H60" s="21">
        <v>409170</v>
      </c>
      <c r="I60" s="21">
        <v>2868</v>
      </c>
      <c r="J60" s="21">
        <v>122270</v>
      </c>
      <c r="K60" s="21">
        <v>6703</v>
      </c>
      <c r="L60" s="21">
        <v>286900</v>
      </c>
      <c r="M60" s="21">
        <v>27483</v>
      </c>
      <c r="N60" s="21">
        <v>98930</v>
      </c>
      <c r="O60" s="21">
        <v>6870</v>
      </c>
      <c r="P60" s="21">
        <v>27462</v>
      </c>
      <c r="Q60" s="21">
        <v>98860</v>
      </c>
      <c r="R60" s="47">
        <v>623030</v>
      </c>
    </row>
    <row r="61" spans="1:18" ht="13">
      <c r="A61" s="48">
        <v>2024</v>
      </c>
      <c r="B61" s="49">
        <v>2400</v>
      </c>
      <c r="C61" s="50">
        <v>104</v>
      </c>
      <c r="D61" s="50">
        <v>2510</v>
      </c>
      <c r="E61" s="50">
        <v>407</v>
      </c>
      <c r="F61" s="50">
        <v>4740</v>
      </c>
      <c r="G61" s="50">
        <v>9271</v>
      </c>
      <c r="H61" s="50">
        <v>397470</v>
      </c>
      <c r="I61" s="50">
        <v>2605</v>
      </c>
      <c r="J61" s="50">
        <v>112000</v>
      </c>
      <c r="K61" s="50">
        <v>6666</v>
      </c>
      <c r="L61" s="50">
        <v>285470</v>
      </c>
      <c r="M61" s="50">
        <v>27911</v>
      </c>
      <c r="N61" s="50">
        <v>100480</v>
      </c>
      <c r="O61" s="50">
        <v>8750</v>
      </c>
      <c r="P61" s="50">
        <v>25955</v>
      </c>
      <c r="Q61" s="50">
        <v>93440</v>
      </c>
      <c r="R61" s="51">
        <v>609790</v>
      </c>
    </row>
    <row r="62" spans="1:18" ht="13">
      <c r="A62" s="31"/>
      <c r="B62" s="32"/>
      <c r="C62" s="32"/>
      <c r="D62" s="32"/>
      <c r="E62" s="32"/>
      <c r="F62" s="32"/>
      <c r="G62" s="32"/>
      <c r="H62" s="32"/>
      <c r="I62" s="32"/>
      <c r="J62" s="32"/>
      <c r="K62" s="32"/>
      <c r="L62" s="32"/>
      <c r="M62" s="32"/>
      <c r="N62" s="52"/>
    </row>
    <row r="63" spans="1:18" ht="38.25" customHeight="1">
      <c r="A63" s="274" t="s">
        <v>105</v>
      </c>
      <c r="B63" s="262"/>
      <c r="C63" s="262"/>
      <c r="D63" s="262"/>
      <c r="E63" s="262"/>
      <c r="F63" s="262"/>
      <c r="G63" s="262"/>
      <c r="H63" s="262"/>
      <c r="I63" s="274" t="s">
        <v>106</v>
      </c>
      <c r="J63" s="262"/>
      <c r="K63" s="262"/>
      <c r="L63" s="262"/>
      <c r="M63" s="262"/>
      <c r="N63" s="262"/>
    </row>
    <row r="64" spans="1:18" ht="12.75" customHeight="1">
      <c r="A64" s="262" t="s">
        <v>107</v>
      </c>
      <c r="B64" s="262"/>
      <c r="C64" s="262"/>
      <c r="D64" s="262"/>
      <c r="E64" s="262"/>
      <c r="F64" s="262"/>
      <c r="G64" s="262"/>
      <c r="H64" s="262"/>
      <c r="I64" s="274" t="s">
        <v>108</v>
      </c>
      <c r="J64" s="262"/>
      <c r="K64" s="262"/>
      <c r="L64" s="262"/>
      <c r="M64" s="262"/>
      <c r="N64" s="262"/>
    </row>
    <row r="65" spans="1:9">
      <c r="A65" s="35" t="s">
        <v>109</v>
      </c>
      <c r="I65" s="35" t="s">
        <v>110</v>
      </c>
    </row>
    <row r="69" spans="1:9">
      <c r="A69" s="35" t="s">
        <v>75</v>
      </c>
    </row>
    <row r="70" spans="1:9">
      <c r="A70" s="35" t="s">
        <v>76</v>
      </c>
    </row>
    <row r="71" spans="1:9">
      <c r="A71" s="35" t="s">
        <v>77</v>
      </c>
    </row>
  </sheetData>
  <mergeCells count="19">
    <mergeCell ref="M4:N4"/>
    <mergeCell ref="A63:H63"/>
    <mergeCell ref="I63:N63"/>
    <mergeCell ref="A64:H64"/>
    <mergeCell ref="I64:N64"/>
    <mergeCell ref="P4:Q4"/>
    <mergeCell ref="A5:A6"/>
    <mergeCell ref="C5:D5"/>
    <mergeCell ref="E5:F5"/>
    <mergeCell ref="G5:H5"/>
    <mergeCell ref="I5:J5"/>
    <mergeCell ref="K5:L5"/>
    <mergeCell ref="M5:N5"/>
    <mergeCell ref="P5:Q5"/>
    <mergeCell ref="C4:D4"/>
    <mergeCell ref="E4:F4"/>
    <mergeCell ref="G4:H4"/>
    <mergeCell ref="I4:J4"/>
    <mergeCell ref="K4:L4"/>
  </mergeCells>
  <conditionalFormatting sqref="B62:F62">
    <cfRule type="expression" dxfId="50" priority="5">
      <formula>R62&lt;&gt;0</formula>
    </cfRule>
  </conditionalFormatting>
  <conditionalFormatting sqref="B7:R52 B53:Q60 R53:R61">
    <cfRule type="expression" dxfId="49" priority="2">
      <formula>V7&lt;&gt;0</formula>
    </cfRule>
  </conditionalFormatting>
  <conditionalFormatting sqref="E7:F61">
    <cfRule type="expression" dxfId="48" priority="3">
      <formula>AA7&lt;&gt;0</formula>
    </cfRule>
  </conditionalFormatting>
  <conditionalFormatting sqref="G62:N62">
    <cfRule type="expression" dxfId="47" priority="4">
      <formula>U62&lt;&gt;0</formula>
    </cfRule>
  </conditionalFormatting>
  <conditionalFormatting sqref="N59:N60">
    <cfRule type="expression" dxfId="46" priority="1">
      <formula>AH59&lt;&gt;0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FAF83-E746-47E1-9786-840C48337DCE}">
  <sheetPr codeName="Tabelle10">
    <tabColor rgb="FFFF0000"/>
  </sheetPr>
  <dimension ref="A1:I70"/>
  <sheetViews>
    <sheetView topLeftCell="A13" workbookViewId="0">
      <selection activeCell="G37" sqref="G37"/>
    </sheetView>
  </sheetViews>
  <sheetFormatPr defaultColWidth="11.54296875" defaultRowHeight="12.5"/>
  <cols>
    <col min="1" max="1" width="11.54296875" style="4"/>
    <col min="2" max="2" width="12.7265625" style="4" customWidth="1"/>
    <col min="3" max="8" width="10.7265625" style="4" customWidth="1"/>
    <col min="9" max="9" width="14.7265625" style="4" customWidth="1"/>
    <col min="10" max="16384" width="11.54296875" style="4"/>
  </cols>
  <sheetData>
    <row r="1" spans="1:9" ht="13">
      <c r="A1" s="3" t="s">
        <v>111</v>
      </c>
      <c r="I1" s="5" t="s">
        <v>112</v>
      </c>
    </row>
    <row r="2" spans="1:9" ht="13">
      <c r="A2" s="3" t="s">
        <v>113</v>
      </c>
      <c r="I2" s="5" t="s">
        <v>114</v>
      </c>
    </row>
    <row r="4" spans="1:9" ht="22">
      <c r="A4" s="6" t="s">
        <v>55</v>
      </c>
      <c r="B4" s="7" t="s">
        <v>115</v>
      </c>
      <c r="C4" s="275" t="s">
        <v>83</v>
      </c>
      <c r="D4" s="276"/>
      <c r="E4" s="275" t="s">
        <v>116</v>
      </c>
      <c r="F4" s="276"/>
      <c r="G4" s="275" t="s">
        <v>117</v>
      </c>
      <c r="H4" s="276"/>
      <c r="I4" s="39" t="s">
        <v>61</v>
      </c>
    </row>
    <row r="5" spans="1:9" ht="22.5" customHeight="1">
      <c r="A5" s="253" t="s">
        <v>62</v>
      </c>
      <c r="B5" s="40" t="s">
        <v>118</v>
      </c>
      <c r="C5" s="277" t="s">
        <v>92</v>
      </c>
      <c r="D5" s="278"/>
      <c r="E5" s="277" t="s">
        <v>119</v>
      </c>
      <c r="F5" s="278"/>
      <c r="G5" s="277" t="s">
        <v>120</v>
      </c>
      <c r="H5" s="278"/>
      <c r="I5" s="42" t="s">
        <v>61</v>
      </c>
    </row>
    <row r="6" spans="1:9">
      <c r="A6" s="254"/>
      <c r="B6" s="43" t="s">
        <v>100</v>
      </c>
      <c r="C6" s="44" t="s">
        <v>101</v>
      </c>
      <c r="D6" s="44" t="s">
        <v>100</v>
      </c>
      <c r="E6" s="44" t="s">
        <v>101</v>
      </c>
      <c r="F6" s="44" t="s">
        <v>100</v>
      </c>
      <c r="G6" s="44" t="s">
        <v>104</v>
      </c>
      <c r="H6" s="44" t="s">
        <v>100</v>
      </c>
      <c r="I6" s="45" t="s">
        <v>100</v>
      </c>
    </row>
    <row r="7" spans="1:9">
      <c r="A7" s="14">
        <v>1970</v>
      </c>
      <c r="B7" s="15" t="s">
        <v>68</v>
      </c>
      <c r="C7" s="16">
        <v>64</v>
      </c>
      <c r="D7" s="16">
        <v>1880</v>
      </c>
      <c r="E7" s="16">
        <v>256</v>
      </c>
      <c r="F7" s="16">
        <v>10720</v>
      </c>
      <c r="G7" s="16">
        <v>9619</v>
      </c>
      <c r="H7" s="16">
        <v>34630</v>
      </c>
      <c r="I7" s="47">
        <v>47230</v>
      </c>
    </row>
    <row r="8" spans="1:9">
      <c r="A8" s="19">
        <v>1971</v>
      </c>
      <c r="B8" s="20" t="s">
        <v>68</v>
      </c>
      <c r="C8" s="21">
        <v>18</v>
      </c>
      <c r="D8" s="21">
        <v>530</v>
      </c>
      <c r="E8" s="21">
        <v>142</v>
      </c>
      <c r="F8" s="21">
        <v>5940</v>
      </c>
      <c r="G8" s="21">
        <v>7953</v>
      </c>
      <c r="H8" s="21">
        <v>28630</v>
      </c>
      <c r="I8" s="47">
        <v>35100</v>
      </c>
    </row>
    <row r="9" spans="1:9">
      <c r="A9" s="19">
        <v>1972</v>
      </c>
      <c r="B9" s="20" t="s">
        <v>68</v>
      </c>
      <c r="C9" s="21">
        <v>30</v>
      </c>
      <c r="D9" s="21">
        <v>880</v>
      </c>
      <c r="E9" s="21">
        <v>133</v>
      </c>
      <c r="F9" s="21">
        <v>5570</v>
      </c>
      <c r="G9" s="21">
        <v>8329</v>
      </c>
      <c r="H9" s="21">
        <v>29980</v>
      </c>
      <c r="I9" s="47">
        <v>36430</v>
      </c>
    </row>
    <row r="10" spans="1:9">
      <c r="A10" s="19">
        <v>1973</v>
      </c>
      <c r="B10" s="20" t="s">
        <v>68</v>
      </c>
      <c r="C10" s="21">
        <v>31</v>
      </c>
      <c r="D10" s="21">
        <v>920</v>
      </c>
      <c r="E10" s="21">
        <v>236</v>
      </c>
      <c r="F10" s="21">
        <v>9880</v>
      </c>
      <c r="G10" s="21">
        <v>10516</v>
      </c>
      <c r="H10" s="21">
        <v>37860</v>
      </c>
      <c r="I10" s="47">
        <v>48660</v>
      </c>
    </row>
    <row r="11" spans="1:9">
      <c r="A11" s="19">
        <v>1974</v>
      </c>
      <c r="B11" s="20" t="s">
        <v>68</v>
      </c>
      <c r="C11" s="21">
        <v>81</v>
      </c>
      <c r="D11" s="21">
        <v>2370</v>
      </c>
      <c r="E11" s="21">
        <v>195</v>
      </c>
      <c r="F11" s="21">
        <v>8160</v>
      </c>
      <c r="G11" s="21">
        <v>9505</v>
      </c>
      <c r="H11" s="21">
        <v>34220</v>
      </c>
      <c r="I11" s="47">
        <v>44750</v>
      </c>
    </row>
    <row r="12" spans="1:9">
      <c r="A12" s="19">
        <v>1975</v>
      </c>
      <c r="B12" s="20" t="s">
        <v>68</v>
      </c>
      <c r="C12" s="21">
        <v>25</v>
      </c>
      <c r="D12" s="21">
        <v>730</v>
      </c>
      <c r="E12" s="21">
        <v>140</v>
      </c>
      <c r="F12" s="21">
        <v>5860</v>
      </c>
      <c r="G12" s="21">
        <v>14360</v>
      </c>
      <c r="H12" s="21">
        <v>51700</v>
      </c>
      <c r="I12" s="47">
        <v>58290</v>
      </c>
    </row>
    <row r="13" spans="1:9">
      <c r="A13" s="19">
        <v>1976</v>
      </c>
      <c r="B13" s="20" t="s">
        <v>68</v>
      </c>
      <c r="C13" s="21">
        <v>1</v>
      </c>
      <c r="D13" s="21">
        <v>20</v>
      </c>
      <c r="E13" s="21">
        <v>93</v>
      </c>
      <c r="F13" s="21">
        <v>3910</v>
      </c>
      <c r="G13" s="21">
        <v>9094</v>
      </c>
      <c r="H13" s="21">
        <v>32740</v>
      </c>
      <c r="I13" s="47">
        <v>36670</v>
      </c>
    </row>
    <row r="14" spans="1:9">
      <c r="A14" s="19">
        <v>1977</v>
      </c>
      <c r="B14" s="20" t="s">
        <v>68</v>
      </c>
      <c r="C14" s="21" t="s">
        <v>68</v>
      </c>
      <c r="D14" s="21" t="s">
        <v>68</v>
      </c>
      <c r="E14" s="21">
        <v>109</v>
      </c>
      <c r="F14" s="21">
        <v>4560</v>
      </c>
      <c r="G14" s="21">
        <v>15231</v>
      </c>
      <c r="H14" s="21">
        <v>54830</v>
      </c>
      <c r="I14" s="47">
        <v>59390</v>
      </c>
    </row>
    <row r="15" spans="1:9">
      <c r="A15" s="19">
        <v>1978</v>
      </c>
      <c r="B15" s="20" t="s">
        <v>68</v>
      </c>
      <c r="C15" s="21" t="s">
        <v>68</v>
      </c>
      <c r="D15" s="21" t="s">
        <v>68</v>
      </c>
      <c r="E15" s="21">
        <v>53</v>
      </c>
      <c r="F15" s="21">
        <v>2200</v>
      </c>
      <c r="G15" s="21">
        <v>13047</v>
      </c>
      <c r="H15" s="21">
        <v>46970</v>
      </c>
      <c r="I15" s="47">
        <v>49170</v>
      </c>
    </row>
    <row r="16" spans="1:9">
      <c r="A16" s="19">
        <v>1979</v>
      </c>
      <c r="B16" s="20" t="s">
        <v>68</v>
      </c>
      <c r="C16" s="21">
        <v>6</v>
      </c>
      <c r="D16" s="21">
        <v>180</v>
      </c>
      <c r="E16" s="21">
        <v>30</v>
      </c>
      <c r="F16" s="21">
        <v>1260</v>
      </c>
      <c r="G16" s="21">
        <v>15915</v>
      </c>
      <c r="H16" s="21">
        <v>57290</v>
      </c>
      <c r="I16" s="47">
        <v>58730</v>
      </c>
    </row>
    <row r="17" spans="1:9">
      <c r="A17" s="19">
        <v>1980</v>
      </c>
      <c r="B17" s="20" t="s">
        <v>68</v>
      </c>
      <c r="C17" s="21">
        <v>0</v>
      </c>
      <c r="D17" s="21">
        <v>0</v>
      </c>
      <c r="E17" s="21">
        <v>47</v>
      </c>
      <c r="F17" s="21">
        <v>1970</v>
      </c>
      <c r="G17" s="21">
        <v>18128</v>
      </c>
      <c r="H17" s="21">
        <v>65260</v>
      </c>
      <c r="I17" s="47">
        <v>67230</v>
      </c>
    </row>
    <row r="18" spans="1:9">
      <c r="A18" s="19">
        <v>1981</v>
      </c>
      <c r="B18" s="20" t="s">
        <v>68</v>
      </c>
      <c r="C18" s="21">
        <v>1</v>
      </c>
      <c r="D18" s="21">
        <v>30</v>
      </c>
      <c r="E18" s="21">
        <v>51</v>
      </c>
      <c r="F18" s="21">
        <v>2220</v>
      </c>
      <c r="G18" s="21">
        <v>20551</v>
      </c>
      <c r="H18" s="21">
        <v>73980</v>
      </c>
      <c r="I18" s="47">
        <v>76230</v>
      </c>
    </row>
    <row r="19" spans="1:9">
      <c r="A19" s="19">
        <v>1982</v>
      </c>
      <c r="B19" s="20" t="s">
        <v>68</v>
      </c>
      <c r="C19" s="21">
        <v>0</v>
      </c>
      <c r="D19" s="21">
        <v>0</v>
      </c>
      <c r="E19" s="21">
        <v>75</v>
      </c>
      <c r="F19" s="21">
        <v>3140</v>
      </c>
      <c r="G19" s="21">
        <v>19868</v>
      </c>
      <c r="H19" s="21">
        <v>71520</v>
      </c>
      <c r="I19" s="47">
        <v>74660</v>
      </c>
    </row>
    <row r="20" spans="1:9">
      <c r="A20" s="19">
        <v>1983</v>
      </c>
      <c r="B20" s="20" t="s">
        <v>68</v>
      </c>
      <c r="C20" s="21">
        <v>0</v>
      </c>
      <c r="D20" s="21">
        <v>0</v>
      </c>
      <c r="E20" s="21">
        <v>271</v>
      </c>
      <c r="F20" s="21">
        <v>11350</v>
      </c>
      <c r="G20" s="21">
        <v>20395</v>
      </c>
      <c r="H20" s="21">
        <v>73420</v>
      </c>
      <c r="I20" s="47">
        <v>84770</v>
      </c>
    </row>
    <row r="21" spans="1:9">
      <c r="A21" s="19">
        <v>1984</v>
      </c>
      <c r="B21" s="20" t="s">
        <v>68</v>
      </c>
      <c r="C21" s="21">
        <v>6</v>
      </c>
      <c r="D21" s="21">
        <v>160</v>
      </c>
      <c r="E21" s="21">
        <v>402</v>
      </c>
      <c r="F21" s="21">
        <v>16830</v>
      </c>
      <c r="G21" s="21">
        <v>21001</v>
      </c>
      <c r="H21" s="21">
        <v>75600</v>
      </c>
      <c r="I21" s="47">
        <v>92590</v>
      </c>
    </row>
    <row r="22" spans="1:9">
      <c r="A22" s="19">
        <v>1985</v>
      </c>
      <c r="B22" s="20" t="s">
        <v>68</v>
      </c>
      <c r="C22" s="21">
        <v>2</v>
      </c>
      <c r="D22" s="21">
        <v>70</v>
      </c>
      <c r="E22" s="21">
        <v>366</v>
      </c>
      <c r="F22" s="21">
        <v>15320</v>
      </c>
      <c r="G22" s="21">
        <v>24277</v>
      </c>
      <c r="H22" s="21">
        <v>87400</v>
      </c>
      <c r="I22" s="47">
        <v>102790</v>
      </c>
    </row>
    <row r="23" spans="1:9">
      <c r="A23" s="19">
        <v>1986</v>
      </c>
      <c r="B23" s="20" t="s">
        <v>68</v>
      </c>
      <c r="C23" s="21">
        <v>2</v>
      </c>
      <c r="D23" s="21">
        <v>50</v>
      </c>
      <c r="E23" s="21">
        <v>243</v>
      </c>
      <c r="F23" s="21">
        <v>10170</v>
      </c>
      <c r="G23" s="21">
        <v>23098</v>
      </c>
      <c r="H23" s="21">
        <v>83150</v>
      </c>
      <c r="I23" s="47">
        <v>93370</v>
      </c>
    </row>
    <row r="24" spans="1:9">
      <c r="A24" s="19">
        <v>1987</v>
      </c>
      <c r="B24" s="20" t="s">
        <v>68</v>
      </c>
      <c r="C24" s="21">
        <v>13</v>
      </c>
      <c r="D24" s="21">
        <v>370</v>
      </c>
      <c r="E24" s="21">
        <v>161</v>
      </c>
      <c r="F24" s="21">
        <v>6740</v>
      </c>
      <c r="G24" s="21">
        <v>22165</v>
      </c>
      <c r="H24" s="21">
        <v>79790</v>
      </c>
      <c r="I24" s="47">
        <v>86900</v>
      </c>
    </row>
    <row r="25" spans="1:9">
      <c r="A25" s="19">
        <v>1988</v>
      </c>
      <c r="B25" s="20" t="s">
        <v>68</v>
      </c>
      <c r="C25" s="21">
        <v>27</v>
      </c>
      <c r="D25" s="21">
        <v>750</v>
      </c>
      <c r="E25" s="21">
        <v>164</v>
      </c>
      <c r="F25" s="21">
        <v>6850</v>
      </c>
      <c r="G25" s="21">
        <v>24727</v>
      </c>
      <c r="H25" s="21">
        <v>89020</v>
      </c>
      <c r="I25" s="47">
        <v>96620</v>
      </c>
    </row>
    <row r="26" spans="1:9">
      <c r="A26" s="19">
        <v>1989</v>
      </c>
      <c r="B26" s="20" t="s">
        <v>68</v>
      </c>
      <c r="C26" s="21">
        <v>20</v>
      </c>
      <c r="D26" s="21">
        <v>550</v>
      </c>
      <c r="E26" s="21">
        <v>50</v>
      </c>
      <c r="F26" s="21">
        <v>2090</v>
      </c>
      <c r="G26" s="21">
        <v>24449</v>
      </c>
      <c r="H26" s="21">
        <v>88020</v>
      </c>
      <c r="I26" s="47">
        <v>90660</v>
      </c>
    </row>
    <row r="27" spans="1:9">
      <c r="A27" s="19">
        <v>1990</v>
      </c>
      <c r="B27" s="20">
        <v>100</v>
      </c>
      <c r="C27" s="21">
        <v>13</v>
      </c>
      <c r="D27" s="21">
        <v>360</v>
      </c>
      <c r="E27" s="21">
        <v>170</v>
      </c>
      <c r="F27" s="21">
        <v>7140</v>
      </c>
      <c r="G27" s="21">
        <v>24907</v>
      </c>
      <c r="H27" s="21">
        <v>89670</v>
      </c>
      <c r="I27" s="47">
        <v>97270</v>
      </c>
    </row>
    <row r="28" spans="1:9">
      <c r="A28" s="19">
        <v>1991</v>
      </c>
      <c r="B28" s="20">
        <v>320</v>
      </c>
      <c r="C28" s="21">
        <v>8</v>
      </c>
      <c r="D28" s="21">
        <v>230</v>
      </c>
      <c r="E28" s="21">
        <v>555</v>
      </c>
      <c r="F28" s="21">
        <v>23120</v>
      </c>
      <c r="G28" s="21">
        <v>26801</v>
      </c>
      <c r="H28" s="21">
        <v>96480</v>
      </c>
      <c r="I28" s="47">
        <v>120150</v>
      </c>
    </row>
    <row r="29" spans="1:9">
      <c r="A29" s="19">
        <v>1992</v>
      </c>
      <c r="B29" s="20">
        <v>300</v>
      </c>
      <c r="C29" s="21">
        <v>4</v>
      </c>
      <c r="D29" s="21">
        <v>110</v>
      </c>
      <c r="E29" s="21">
        <v>416</v>
      </c>
      <c r="F29" s="21">
        <v>17300</v>
      </c>
      <c r="G29" s="21">
        <v>26046</v>
      </c>
      <c r="H29" s="21">
        <v>93770</v>
      </c>
      <c r="I29" s="47">
        <v>111480</v>
      </c>
    </row>
    <row r="30" spans="1:9">
      <c r="A30" s="19">
        <v>1993</v>
      </c>
      <c r="B30" s="20">
        <v>200</v>
      </c>
      <c r="C30" s="21">
        <v>0</v>
      </c>
      <c r="D30" s="21">
        <v>0</v>
      </c>
      <c r="E30" s="21">
        <v>622</v>
      </c>
      <c r="F30" s="21">
        <v>25830</v>
      </c>
      <c r="G30" s="21">
        <v>31053</v>
      </c>
      <c r="H30" s="21">
        <v>111790</v>
      </c>
      <c r="I30" s="47">
        <v>137820</v>
      </c>
    </row>
    <row r="31" spans="1:9">
      <c r="A31" s="19">
        <v>1994</v>
      </c>
      <c r="B31" s="20">
        <v>240</v>
      </c>
      <c r="C31" s="21">
        <v>0</v>
      </c>
      <c r="D31" s="21">
        <v>0</v>
      </c>
      <c r="E31" s="21">
        <v>614</v>
      </c>
      <c r="F31" s="21">
        <v>25540</v>
      </c>
      <c r="G31" s="21">
        <v>34566</v>
      </c>
      <c r="H31" s="21">
        <v>124440</v>
      </c>
      <c r="I31" s="47">
        <v>150220</v>
      </c>
    </row>
    <row r="32" spans="1:9">
      <c r="A32" s="19">
        <v>1995</v>
      </c>
      <c r="B32" s="20">
        <v>170</v>
      </c>
      <c r="C32" s="21">
        <v>8</v>
      </c>
      <c r="D32" s="21">
        <v>220</v>
      </c>
      <c r="E32" s="21">
        <v>455</v>
      </c>
      <c r="F32" s="21">
        <v>19000</v>
      </c>
      <c r="G32" s="21">
        <v>36219</v>
      </c>
      <c r="H32" s="21">
        <v>130390</v>
      </c>
      <c r="I32" s="47">
        <v>149780</v>
      </c>
    </row>
    <row r="33" spans="1:9">
      <c r="A33" s="19">
        <v>1996</v>
      </c>
      <c r="B33" s="20">
        <v>220</v>
      </c>
      <c r="C33" s="21">
        <v>3</v>
      </c>
      <c r="D33" s="21">
        <v>100</v>
      </c>
      <c r="E33" s="21">
        <v>670</v>
      </c>
      <c r="F33" s="21">
        <v>27880</v>
      </c>
      <c r="G33" s="21">
        <v>34431</v>
      </c>
      <c r="H33" s="21">
        <v>123950</v>
      </c>
      <c r="I33" s="47">
        <v>152150</v>
      </c>
    </row>
    <row r="34" spans="1:9">
      <c r="A34" s="19">
        <v>1997</v>
      </c>
      <c r="B34" s="20">
        <v>180</v>
      </c>
      <c r="C34" s="21">
        <v>0</v>
      </c>
      <c r="D34" s="21">
        <v>10</v>
      </c>
      <c r="E34" s="21">
        <v>541</v>
      </c>
      <c r="F34" s="21">
        <v>22560</v>
      </c>
      <c r="G34" s="21">
        <v>37409</v>
      </c>
      <c r="H34" s="21">
        <v>134670</v>
      </c>
      <c r="I34" s="47">
        <v>157420</v>
      </c>
    </row>
    <row r="35" spans="1:9">
      <c r="A35" s="19">
        <v>1998</v>
      </c>
      <c r="B35" s="20">
        <v>170</v>
      </c>
      <c r="C35" s="21">
        <v>0</v>
      </c>
      <c r="D35" s="21">
        <v>0</v>
      </c>
      <c r="E35" s="21">
        <v>489</v>
      </c>
      <c r="F35" s="21">
        <v>20500</v>
      </c>
      <c r="G35" s="21">
        <v>43373</v>
      </c>
      <c r="H35" s="21">
        <v>156140</v>
      </c>
      <c r="I35" s="47">
        <v>176810</v>
      </c>
    </row>
    <row r="36" spans="1:9">
      <c r="A36" s="19">
        <v>1999</v>
      </c>
      <c r="B36" s="20">
        <v>250</v>
      </c>
      <c r="C36" s="21">
        <v>0</v>
      </c>
      <c r="D36" s="21">
        <v>10</v>
      </c>
      <c r="E36" s="21">
        <v>576</v>
      </c>
      <c r="F36" s="21">
        <v>24010</v>
      </c>
      <c r="G36" s="21">
        <v>47293</v>
      </c>
      <c r="H36" s="21">
        <v>170250</v>
      </c>
      <c r="I36" s="47">
        <v>194520</v>
      </c>
    </row>
    <row r="37" spans="1:9">
      <c r="A37" s="19">
        <v>2000</v>
      </c>
      <c r="B37" s="20">
        <v>340</v>
      </c>
      <c r="C37" s="21">
        <v>0</v>
      </c>
      <c r="D37" s="21">
        <v>10</v>
      </c>
      <c r="E37" s="21">
        <v>668</v>
      </c>
      <c r="F37" s="21">
        <v>27640</v>
      </c>
      <c r="G37" s="21">
        <v>31400</v>
      </c>
      <c r="H37" s="21">
        <v>113040</v>
      </c>
      <c r="I37" s="47">
        <v>141030</v>
      </c>
    </row>
    <row r="38" spans="1:9">
      <c r="A38" s="19">
        <v>2001</v>
      </c>
      <c r="B38" s="20">
        <v>380</v>
      </c>
      <c r="C38" s="21">
        <v>1</v>
      </c>
      <c r="D38" s="21">
        <v>20</v>
      </c>
      <c r="E38" s="21">
        <v>590</v>
      </c>
      <c r="F38" s="21">
        <v>24430</v>
      </c>
      <c r="G38" s="21">
        <v>34540</v>
      </c>
      <c r="H38" s="21">
        <v>124340</v>
      </c>
      <c r="I38" s="47">
        <v>149170</v>
      </c>
    </row>
    <row r="39" spans="1:9">
      <c r="A39" s="19">
        <v>2002</v>
      </c>
      <c r="B39" s="20">
        <v>300</v>
      </c>
      <c r="C39" s="21">
        <v>0</v>
      </c>
      <c r="D39" s="21">
        <v>0</v>
      </c>
      <c r="E39" s="21">
        <v>645</v>
      </c>
      <c r="F39" s="21">
        <v>26720</v>
      </c>
      <c r="G39" s="21">
        <v>32308</v>
      </c>
      <c r="H39" s="21">
        <v>116310</v>
      </c>
      <c r="I39" s="47">
        <v>143330</v>
      </c>
    </row>
    <row r="40" spans="1:9">
      <c r="A40" s="19">
        <v>2003</v>
      </c>
      <c r="B40" s="20">
        <v>380</v>
      </c>
      <c r="C40" s="21">
        <v>0</v>
      </c>
      <c r="D40" s="21">
        <v>0</v>
      </c>
      <c r="E40" s="21">
        <v>702</v>
      </c>
      <c r="F40" s="21">
        <v>28990</v>
      </c>
      <c r="G40" s="21">
        <v>33196</v>
      </c>
      <c r="H40" s="21">
        <v>119510</v>
      </c>
      <c r="I40" s="47">
        <v>148880</v>
      </c>
    </row>
    <row r="41" spans="1:9">
      <c r="A41" s="19">
        <v>2004</v>
      </c>
      <c r="B41" s="20">
        <v>450</v>
      </c>
      <c r="C41" s="21">
        <v>0</v>
      </c>
      <c r="D41" s="21">
        <v>10</v>
      </c>
      <c r="E41" s="21">
        <v>650</v>
      </c>
      <c r="F41" s="21">
        <v>26870</v>
      </c>
      <c r="G41" s="21">
        <v>27759</v>
      </c>
      <c r="H41" s="21">
        <v>99930</v>
      </c>
      <c r="I41" s="47">
        <v>127260</v>
      </c>
    </row>
    <row r="42" spans="1:9">
      <c r="A42" s="19">
        <v>2005</v>
      </c>
      <c r="B42" s="20">
        <v>410</v>
      </c>
      <c r="C42" s="21">
        <v>0</v>
      </c>
      <c r="D42" s="21">
        <v>0</v>
      </c>
      <c r="E42" s="21">
        <v>539</v>
      </c>
      <c r="F42" s="21">
        <v>22440</v>
      </c>
      <c r="G42" s="21">
        <v>31996</v>
      </c>
      <c r="H42" s="21">
        <v>115190</v>
      </c>
      <c r="I42" s="47">
        <v>138040</v>
      </c>
    </row>
    <row r="43" spans="1:9">
      <c r="A43" s="19">
        <v>2006</v>
      </c>
      <c r="B43" s="20">
        <v>380</v>
      </c>
      <c r="C43" s="21">
        <v>9</v>
      </c>
      <c r="D43" s="21">
        <v>230</v>
      </c>
      <c r="E43" s="21">
        <v>585</v>
      </c>
      <c r="F43" s="21">
        <v>24360</v>
      </c>
      <c r="G43" s="21">
        <v>31100</v>
      </c>
      <c r="H43" s="21">
        <v>111960</v>
      </c>
      <c r="I43" s="47">
        <v>136930</v>
      </c>
    </row>
    <row r="44" spans="1:9">
      <c r="A44" s="19">
        <v>2007</v>
      </c>
      <c r="B44" s="20">
        <v>310</v>
      </c>
      <c r="C44" s="21">
        <v>0</v>
      </c>
      <c r="D44" s="21">
        <v>0</v>
      </c>
      <c r="E44" s="21">
        <v>580</v>
      </c>
      <c r="F44" s="21">
        <v>24200</v>
      </c>
      <c r="G44" s="21">
        <v>36880</v>
      </c>
      <c r="H44" s="21">
        <v>132770</v>
      </c>
      <c r="I44" s="47">
        <v>157280</v>
      </c>
    </row>
    <row r="45" spans="1:9">
      <c r="A45" s="19">
        <v>2008</v>
      </c>
      <c r="B45" s="20">
        <v>360</v>
      </c>
      <c r="C45" s="21">
        <v>0</v>
      </c>
      <c r="D45" s="21">
        <v>0</v>
      </c>
      <c r="E45" s="21">
        <v>650</v>
      </c>
      <c r="F45" s="21">
        <v>27190</v>
      </c>
      <c r="G45" s="21">
        <v>32736</v>
      </c>
      <c r="H45" s="21">
        <v>117850</v>
      </c>
      <c r="I45" s="47">
        <v>145400</v>
      </c>
    </row>
    <row r="46" spans="1:9">
      <c r="A46" s="19">
        <v>2009</v>
      </c>
      <c r="B46" s="20">
        <v>600</v>
      </c>
      <c r="C46" s="21">
        <v>0</v>
      </c>
      <c r="D46" s="21">
        <v>0</v>
      </c>
      <c r="E46" s="21">
        <v>532</v>
      </c>
      <c r="F46" s="21">
        <v>22220</v>
      </c>
      <c r="G46" s="21">
        <v>33525</v>
      </c>
      <c r="H46" s="21">
        <v>120690</v>
      </c>
      <c r="I46" s="47">
        <v>143510</v>
      </c>
    </row>
    <row r="47" spans="1:9">
      <c r="A47" s="19">
        <v>2010</v>
      </c>
      <c r="B47" s="20">
        <v>600</v>
      </c>
      <c r="C47" s="21">
        <v>0</v>
      </c>
      <c r="D47" s="21">
        <v>0</v>
      </c>
      <c r="E47" s="21">
        <v>421</v>
      </c>
      <c r="F47" s="21">
        <v>17490</v>
      </c>
      <c r="G47" s="21">
        <v>32881</v>
      </c>
      <c r="H47" s="21">
        <v>118370</v>
      </c>
      <c r="I47" s="47">
        <v>136460</v>
      </c>
    </row>
    <row r="48" spans="1:9">
      <c r="A48" s="19">
        <v>2011</v>
      </c>
      <c r="B48" s="20">
        <v>300</v>
      </c>
      <c r="C48" s="21">
        <v>0</v>
      </c>
      <c r="D48" s="21">
        <v>0</v>
      </c>
      <c r="E48" s="21">
        <v>450</v>
      </c>
      <c r="F48" s="21">
        <v>18790</v>
      </c>
      <c r="G48" s="21">
        <v>32237</v>
      </c>
      <c r="H48" s="21">
        <v>116050</v>
      </c>
      <c r="I48" s="47">
        <v>135140</v>
      </c>
    </row>
    <row r="49" spans="1:9">
      <c r="A49" s="19">
        <v>2012</v>
      </c>
      <c r="B49" s="20">
        <v>300</v>
      </c>
      <c r="C49" s="21">
        <v>0</v>
      </c>
      <c r="D49" s="21">
        <v>0</v>
      </c>
      <c r="E49" s="21">
        <v>316</v>
      </c>
      <c r="F49" s="21">
        <v>13210</v>
      </c>
      <c r="G49" s="21">
        <v>33749</v>
      </c>
      <c r="H49" s="21">
        <v>121500</v>
      </c>
      <c r="I49" s="47">
        <v>135010</v>
      </c>
    </row>
    <row r="50" spans="1:9">
      <c r="A50" s="19">
        <v>2013</v>
      </c>
      <c r="B50" s="20">
        <v>170</v>
      </c>
      <c r="C50" s="21">
        <v>0</v>
      </c>
      <c r="D50" s="21">
        <v>0</v>
      </c>
      <c r="E50" s="21">
        <v>575</v>
      </c>
      <c r="F50" s="21">
        <v>24040</v>
      </c>
      <c r="G50" s="21">
        <v>32270</v>
      </c>
      <c r="H50" s="21">
        <v>116170</v>
      </c>
      <c r="I50" s="47">
        <v>140380</v>
      </c>
    </row>
    <row r="51" spans="1:9">
      <c r="A51" s="19">
        <v>2014</v>
      </c>
      <c r="B51" s="20">
        <v>150</v>
      </c>
      <c r="C51" s="21">
        <v>0</v>
      </c>
      <c r="D51" s="21">
        <v>0</v>
      </c>
      <c r="E51" s="21">
        <v>523</v>
      </c>
      <c r="F51" s="21">
        <v>21810</v>
      </c>
      <c r="G51" s="21">
        <v>34021</v>
      </c>
      <c r="H51" s="21">
        <v>122480</v>
      </c>
      <c r="I51" s="47">
        <v>144440</v>
      </c>
    </row>
    <row r="52" spans="1:9">
      <c r="A52" s="19">
        <v>2015</v>
      </c>
      <c r="B52" s="20">
        <v>110</v>
      </c>
      <c r="C52" s="21">
        <v>0</v>
      </c>
      <c r="D52" s="21">
        <v>0</v>
      </c>
      <c r="E52" s="21">
        <v>435</v>
      </c>
      <c r="F52" s="21">
        <v>17930</v>
      </c>
      <c r="G52" s="21">
        <v>35068</v>
      </c>
      <c r="H52" s="21">
        <v>126240</v>
      </c>
      <c r="I52" s="47">
        <v>144280</v>
      </c>
    </row>
    <row r="53" spans="1:9">
      <c r="A53" s="19">
        <v>2016</v>
      </c>
      <c r="B53" s="20">
        <v>100</v>
      </c>
      <c r="C53" s="21">
        <v>0</v>
      </c>
      <c r="D53" s="21">
        <v>10</v>
      </c>
      <c r="E53" s="21">
        <v>478</v>
      </c>
      <c r="F53" s="21">
        <v>19730</v>
      </c>
      <c r="G53" s="21">
        <v>30173</v>
      </c>
      <c r="H53" s="21">
        <v>108620</v>
      </c>
      <c r="I53" s="47">
        <v>128460</v>
      </c>
    </row>
    <row r="54" spans="1:9">
      <c r="A54" s="19">
        <v>2017</v>
      </c>
      <c r="B54" s="20">
        <v>90</v>
      </c>
      <c r="C54" s="21">
        <v>0</v>
      </c>
      <c r="D54" s="21">
        <v>0</v>
      </c>
      <c r="E54" s="21">
        <v>384</v>
      </c>
      <c r="F54" s="21">
        <v>15890</v>
      </c>
      <c r="G54" s="21">
        <v>30946</v>
      </c>
      <c r="H54" s="21">
        <v>111410</v>
      </c>
      <c r="I54" s="47">
        <v>127390</v>
      </c>
    </row>
    <row r="55" spans="1:9">
      <c r="A55" s="19">
        <v>2018</v>
      </c>
      <c r="B55" s="20">
        <v>100</v>
      </c>
      <c r="C55" s="21">
        <v>0</v>
      </c>
      <c r="D55" s="21">
        <v>0</v>
      </c>
      <c r="E55" s="21">
        <v>432</v>
      </c>
      <c r="F55" s="21">
        <v>17900</v>
      </c>
      <c r="G55" s="21">
        <v>32607</v>
      </c>
      <c r="H55" s="21">
        <v>117390</v>
      </c>
      <c r="I55" s="47">
        <v>135390</v>
      </c>
    </row>
    <row r="56" spans="1:9">
      <c r="A56" s="19">
        <v>2019</v>
      </c>
      <c r="B56" s="20">
        <v>110</v>
      </c>
      <c r="C56" s="21">
        <v>0</v>
      </c>
      <c r="D56" s="21">
        <v>10</v>
      </c>
      <c r="E56" s="21">
        <v>484</v>
      </c>
      <c r="F56" s="21">
        <v>20010</v>
      </c>
      <c r="G56" s="21">
        <v>35765</v>
      </c>
      <c r="H56" s="21">
        <v>128750</v>
      </c>
      <c r="I56" s="47">
        <v>148880</v>
      </c>
    </row>
    <row r="57" spans="1:9">
      <c r="A57" s="19">
        <v>2020</v>
      </c>
      <c r="B57" s="20">
        <v>90</v>
      </c>
      <c r="C57" s="21">
        <v>0</v>
      </c>
      <c r="D57" s="21">
        <v>0</v>
      </c>
      <c r="E57" s="21">
        <v>458</v>
      </c>
      <c r="F57" s="21">
        <v>18890</v>
      </c>
      <c r="G57" s="21">
        <v>32548</v>
      </c>
      <c r="H57" s="21">
        <v>117170</v>
      </c>
      <c r="I57" s="47">
        <v>136150</v>
      </c>
    </row>
    <row r="58" spans="1:9">
      <c r="A58" s="19">
        <v>2021</v>
      </c>
      <c r="B58" s="20">
        <v>90</v>
      </c>
      <c r="C58" s="21">
        <v>0</v>
      </c>
      <c r="D58" s="21">
        <v>0</v>
      </c>
      <c r="E58" s="21">
        <v>379</v>
      </c>
      <c r="F58" s="21">
        <v>15550</v>
      </c>
      <c r="G58" s="21">
        <v>29119</v>
      </c>
      <c r="H58" s="21">
        <v>104830</v>
      </c>
      <c r="I58" s="47">
        <v>120470</v>
      </c>
    </row>
    <row r="59" spans="1:9">
      <c r="A59" s="19">
        <v>2022</v>
      </c>
      <c r="B59" s="20">
        <v>110</v>
      </c>
      <c r="C59" s="21">
        <v>0</v>
      </c>
      <c r="D59" s="21">
        <v>0</v>
      </c>
      <c r="E59" s="21">
        <v>610</v>
      </c>
      <c r="F59" s="21">
        <v>25170</v>
      </c>
      <c r="G59" s="21">
        <v>29734</v>
      </c>
      <c r="H59" s="21">
        <v>107040</v>
      </c>
      <c r="I59" s="47">
        <v>132320</v>
      </c>
    </row>
    <row r="60" spans="1:9">
      <c r="A60" s="19">
        <v>2023</v>
      </c>
      <c r="B60" s="20">
        <v>140</v>
      </c>
      <c r="C60" s="21">
        <v>0</v>
      </c>
      <c r="D60" s="21">
        <v>10</v>
      </c>
      <c r="E60" s="21">
        <v>427</v>
      </c>
      <c r="F60" s="21">
        <v>17560</v>
      </c>
      <c r="G60" s="21">
        <v>33856</v>
      </c>
      <c r="H60" s="21">
        <v>121880</v>
      </c>
      <c r="I60" s="47">
        <v>139590</v>
      </c>
    </row>
    <row r="61" spans="1:9" ht="13">
      <c r="A61" s="48">
        <v>2024</v>
      </c>
      <c r="B61" s="49">
        <v>80</v>
      </c>
      <c r="C61" s="50">
        <v>1</v>
      </c>
      <c r="D61" s="50">
        <v>10</v>
      </c>
      <c r="E61" s="50">
        <v>396</v>
      </c>
      <c r="F61" s="50">
        <v>16290</v>
      </c>
      <c r="G61" s="50">
        <v>40354</v>
      </c>
      <c r="H61" s="50">
        <v>145270</v>
      </c>
      <c r="I61" s="51">
        <v>161650</v>
      </c>
    </row>
    <row r="62" spans="1:9" ht="13">
      <c r="A62" s="31"/>
      <c r="B62" s="32"/>
      <c r="C62" s="32"/>
      <c r="D62" s="32"/>
      <c r="E62" s="32"/>
      <c r="F62" s="32"/>
      <c r="G62" s="32"/>
      <c r="H62" s="32"/>
      <c r="I62" s="32"/>
    </row>
    <row r="63" spans="1:9" ht="12.75" customHeight="1">
      <c r="A63" s="274" t="s">
        <v>121</v>
      </c>
      <c r="B63" s="262"/>
      <c r="C63" s="262"/>
      <c r="D63" s="262"/>
      <c r="E63" s="33"/>
      <c r="F63" s="274" t="s">
        <v>122</v>
      </c>
      <c r="G63" s="262"/>
      <c r="H63" s="262"/>
      <c r="I63" s="262"/>
    </row>
    <row r="64" spans="1:9">
      <c r="A64" s="35" t="s">
        <v>123</v>
      </c>
      <c r="F64" s="35" t="s">
        <v>124</v>
      </c>
    </row>
    <row r="68" spans="1:1">
      <c r="A68" s="35" t="s">
        <v>75</v>
      </c>
    </row>
    <row r="69" spans="1:1">
      <c r="A69" s="35" t="s">
        <v>76</v>
      </c>
    </row>
    <row r="70" spans="1:1">
      <c r="A70" s="35" t="s">
        <v>77</v>
      </c>
    </row>
  </sheetData>
  <mergeCells count="9">
    <mergeCell ref="A63:D63"/>
    <mergeCell ref="F63:I63"/>
    <mergeCell ref="C4:D4"/>
    <mergeCell ref="E4:F4"/>
    <mergeCell ref="G4:H4"/>
    <mergeCell ref="A5:A6"/>
    <mergeCell ref="C5:D5"/>
    <mergeCell ref="E5:F5"/>
    <mergeCell ref="G5:H5"/>
  </mergeCells>
  <conditionalFormatting sqref="B7:I62">
    <cfRule type="expression" dxfId="45" priority="1">
      <formula>M7&lt;&gt;0</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A76FC-A2F1-4B89-A6B3-2C13FC119615}">
  <sheetPr codeName="Tabelle36">
    <tabColor rgb="FFFF0000"/>
  </sheetPr>
  <dimension ref="A1:K50"/>
  <sheetViews>
    <sheetView workbookViewId="0">
      <selection activeCell="I12" sqref="I12"/>
    </sheetView>
  </sheetViews>
  <sheetFormatPr defaultColWidth="11.54296875" defaultRowHeight="12.5"/>
  <cols>
    <col min="1" max="1" width="8.7265625" style="4" customWidth="1"/>
    <col min="2" max="2" width="21.7265625" style="4" customWidth="1"/>
    <col min="3" max="3" width="15.7265625" style="4" customWidth="1"/>
    <col min="4" max="4" width="10.7265625" style="4" customWidth="1"/>
    <col min="5" max="5" width="12.7265625" style="4" customWidth="1"/>
    <col min="6" max="11" width="10.7265625" style="4" customWidth="1"/>
    <col min="12" max="16384" width="11.54296875" style="4"/>
  </cols>
  <sheetData>
    <row r="1" spans="1:11" ht="13">
      <c r="A1" s="3" t="s">
        <v>450</v>
      </c>
      <c r="K1" s="5" t="s">
        <v>451</v>
      </c>
    </row>
    <row r="2" spans="1:11" ht="13">
      <c r="A2" s="3" t="s">
        <v>452</v>
      </c>
      <c r="K2" s="5" t="s">
        <v>453</v>
      </c>
    </row>
    <row r="4" spans="1:11" ht="13.15" customHeight="1">
      <c r="A4" s="258" t="s">
        <v>55</v>
      </c>
      <c r="B4" s="258" t="s">
        <v>454</v>
      </c>
      <c r="C4" s="289" t="s">
        <v>455</v>
      </c>
      <c r="D4" s="283" t="s">
        <v>456</v>
      </c>
      <c r="E4" s="284"/>
      <c r="F4" s="283" t="s">
        <v>457</v>
      </c>
      <c r="G4" s="284"/>
      <c r="H4" s="283" t="s">
        <v>458</v>
      </c>
      <c r="I4" s="284"/>
      <c r="J4" s="283" t="s">
        <v>459</v>
      </c>
      <c r="K4" s="284"/>
    </row>
    <row r="5" spans="1:11">
      <c r="A5" s="253"/>
      <c r="B5" s="253"/>
      <c r="C5" s="285"/>
      <c r="D5" s="96" t="s">
        <v>460</v>
      </c>
      <c r="E5" s="42" t="s">
        <v>461</v>
      </c>
      <c r="F5" s="96" t="s">
        <v>430</v>
      </c>
      <c r="G5" s="42" t="s">
        <v>161</v>
      </c>
      <c r="H5" s="96" t="s">
        <v>430</v>
      </c>
      <c r="I5" s="42" t="s">
        <v>161</v>
      </c>
      <c r="J5" s="96" t="s">
        <v>430</v>
      </c>
      <c r="K5" s="42" t="s">
        <v>161</v>
      </c>
    </row>
    <row r="6" spans="1:11" ht="22.5" customHeight="1">
      <c r="A6" s="253" t="s">
        <v>62</v>
      </c>
      <c r="B6" s="253" t="s">
        <v>462</v>
      </c>
      <c r="C6" s="285" t="s">
        <v>463</v>
      </c>
      <c r="D6" s="287" t="s">
        <v>464</v>
      </c>
      <c r="E6" s="288"/>
      <c r="F6" s="287" t="s">
        <v>465</v>
      </c>
      <c r="G6" s="288"/>
      <c r="H6" s="287" t="s">
        <v>466</v>
      </c>
      <c r="I6" s="288"/>
      <c r="J6" s="287" t="s">
        <v>467</v>
      </c>
      <c r="K6" s="288"/>
    </row>
    <row r="7" spans="1:11" ht="12.75" customHeight="1">
      <c r="A7" s="254"/>
      <c r="B7" s="254"/>
      <c r="C7" s="286"/>
      <c r="D7" s="89" t="s">
        <v>93</v>
      </c>
      <c r="E7" s="100" t="s">
        <v>468</v>
      </c>
      <c r="F7" s="89" t="s">
        <v>439</v>
      </c>
      <c r="G7" s="100" t="s">
        <v>164</v>
      </c>
      <c r="H7" s="89" t="s">
        <v>439</v>
      </c>
      <c r="I7" s="100" t="s">
        <v>164</v>
      </c>
      <c r="J7" s="89" t="s">
        <v>439</v>
      </c>
      <c r="K7" s="100" t="s">
        <v>164</v>
      </c>
    </row>
    <row r="8" spans="1:11">
      <c r="A8" s="14">
        <v>1990</v>
      </c>
      <c r="B8" s="15">
        <v>26</v>
      </c>
      <c r="C8" s="147">
        <v>148</v>
      </c>
      <c r="D8" s="144">
        <v>7495</v>
      </c>
      <c r="E8" s="46">
        <v>100</v>
      </c>
      <c r="F8" s="144">
        <v>1765</v>
      </c>
      <c r="G8" s="46">
        <v>644</v>
      </c>
      <c r="H8" s="144">
        <v>219</v>
      </c>
      <c r="I8" s="46">
        <v>149</v>
      </c>
      <c r="J8" s="144">
        <v>1546</v>
      </c>
      <c r="K8" s="46">
        <v>495</v>
      </c>
    </row>
    <row r="9" spans="1:11">
      <c r="A9" s="19">
        <v>1991</v>
      </c>
      <c r="B9" s="23">
        <v>26</v>
      </c>
      <c r="C9" s="148">
        <v>154</v>
      </c>
      <c r="D9" s="125">
        <v>7550</v>
      </c>
      <c r="E9" s="47">
        <v>100</v>
      </c>
      <c r="F9" s="125">
        <v>1970</v>
      </c>
      <c r="G9" s="47">
        <v>623</v>
      </c>
      <c r="H9" s="125">
        <v>321</v>
      </c>
      <c r="I9" s="47">
        <v>160</v>
      </c>
      <c r="J9" s="125">
        <v>1649</v>
      </c>
      <c r="K9" s="47">
        <v>463</v>
      </c>
    </row>
    <row r="10" spans="1:11">
      <c r="A10" s="19">
        <v>1992</v>
      </c>
      <c r="B10" s="23">
        <v>26</v>
      </c>
      <c r="C10" s="148">
        <v>161</v>
      </c>
      <c r="D10" s="125">
        <v>7438</v>
      </c>
      <c r="E10" s="47">
        <v>100</v>
      </c>
      <c r="F10" s="125">
        <v>2010</v>
      </c>
      <c r="G10" s="47">
        <v>692</v>
      </c>
      <c r="H10" s="125">
        <v>261</v>
      </c>
      <c r="I10" s="47">
        <v>181</v>
      </c>
      <c r="J10" s="125">
        <v>1749</v>
      </c>
      <c r="K10" s="47">
        <v>511</v>
      </c>
    </row>
    <row r="11" spans="1:11">
      <c r="A11" s="19">
        <v>1993</v>
      </c>
      <c r="B11" s="23">
        <v>26</v>
      </c>
      <c r="C11" s="148">
        <v>196</v>
      </c>
      <c r="D11" s="125">
        <v>7450</v>
      </c>
      <c r="E11" s="47">
        <v>125</v>
      </c>
      <c r="F11" s="125">
        <v>2037</v>
      </c>
      <c r="G11" s="47">
        <v>711</v>
      </c>
      <c r="H11" s="125">
        <v>249</v>
      </c>
      <c r="I11" s="47">
        <v>190</v>
      </c>
      <c r="J11" s="125">
        <v>1788</v>
      </c>
      <c r="K11" s="47">
        <v>521</v>
      </c>
    </row>
    <row r="12" spans="1:11">
      <c r="A12" s="19">
        <v>1994</v>
      </c>
      <c r="B12" s="23">
        <v>27</v>
      </c>
      <c r="C12" s="148">
        <v>209</v>
      </c>
      <c r="D12" s="125">
        <v>7556</v>
      </c>
      <c r="E12" s="47">
        <v>126</v>
      </c>
      <c r="F12" s="125">
        <v>2064</v>
      </c>
      <c r="G12" s="47">
        <v>806</v>
      </c>
      <c r="H12" s="125">
        <v>173</v>
      </c>
      <c r="I12" s="47">
        <v>247</v>
      </c>
      <c r="J12" s="125">
        <v>1891</v>
      </c>
      <c r="K12" s="47">
        <v>559</v>
      </c>
    </row>
    <row r="13" spans="1:11">
      <c r="A13" s="19">
        <v>1995</v>
      </c>
      <c r="B13" s="23">
        <v>27</v>
      </c>
      <c r="C13" s="148">
        <v>227</v>
      </c>
      <c r="D13" s="125">
        <v>7431</v>
      </c>
      <c r="E13" s="47">
        <v>168</v>
      </c>
      <c r="F13" s="125">
        <v>2151</v>
      </c>
      <c r="G13" s="47">
        <v>833</v>
      </c>
      <c r="H13" s="125">
        <v>217</v>
      </c>
      <c r="I13" s="47">
        <v>252</v>
      </c>
      <c r="J13" s="125">
        <v>1934</v>
      </c>
      <c r="K13" s="47">
        <v>581</v>
      </c>
    </row>
    <row r="14" spans="1:11">
      <c r="A14" s="19">
        <v>1996</v>
      </c>
      <c r="B14" s="23">
        <v>28</v>
      </c>
      <c r="C14" s="148">
        <v>242</v>
      </c>
      <c r="D14" s="125">
        <v>7346</v>
      </c>
      <c r="E14" s="47">
        <v>191</v>
      </c>
      <c r="F14" s="125">
        <v>2140</v>
      </c>
      <c r="G14" s="47">
        <v>906</v>
      </c>
      <c r="H14" s="125">
        <v>234</v>
      </c>
      <c r="I14" s="47">
        <v>267</v>
      </c>
      <c r="J14" s="125">
        <v>1906</v>
      </c>
      <c r="K14" s="47">
        <v>639</v>
      </c>
    </row>
    <row r="15" spans="1:11">
      <c r="A15" s="19">
        <v>1997</v>
      </c>
      <c r="B15" s="23">
        <v>27</v>
      </c>
      <c r="C15" s="148">
        <v>242</v>
      </c>
      <c r="D15" s="125">
        <v>7649</v>
      </c>
      <c r="E15" s="47">
        <v>197</v>
      </c>
      <c r="F15" s="125">
        <v>2136</v>
      </c>
      <c r="G15" s="47">
        <v>987</v>
      </c>
      <c r="H15" s="125">
        <v>285</v>
      </c>
      <c r="I15" s="47">
        <v>305</v>
      </c>
      <c r="J15" s="125">
        <v>1851</v>
      </c>
      <c r="K15" s="47">
        <v>682</v>
      </c>
    </row>
    <row r="16" spans="1:11">
      <c r="A16" s="19">
        <v>1998</v>
      </c>
      <c r="B16" s="23">
        <v>28</v>
      </c>
      <c r="C16" s="148">
        <v>261</v>
      </c>
      <c r="D16" s="125">
        <v>8081</v>
      </c>
      <c r="E16" s="47">
        <v>204</v>
      </c>
      <c r="F16" s="125">
        <v>2142</v>
      </c>
      <c r="G16" s="47">
        <v>1025</v>
      </c>
      <c r="H16" s="125">
        <v>288</v>
      </c>
      <c r="I16" s="47">
        <v>319</v>
      </c>
      <c r="J16" s="125">
        <v>1854</v>
      </c>
      <c r="K16" s="47">
        <v>706</v>
      </c>
    </row>
    <row r="17" spans="1:11">
      <c r="A17" s="19">
        <v>1999</v>
      </c>
      <c r="B17" s="23">
        <v>28</v>
      </c>
      <c r="C17" s="148">
        <v>269</v>
      </c>
      <c r="D17" s="125">
        <v>8735</v>
      </c>
      <c r="E17" s="47">
        <v>204</v>
      </c>
      <c r="F17" s="125">
        <v>2297</v>
      </c>
      <c r="G17" s="47">
        <v>1134</v>
      </c>
      <c r="H17" s="125">
        <v>287</v>
      </c>
      <c r="I17" s="47">
        <v>361</v>
      </c>
      <c r="J17" s="125">
        <v>2010</v>
      </c>
      <c r="K17" s="47">
        <v>773</v>
      </c>
    </row>
    <row r="18" spans="1:11">
      <c r="A18" s="19">
        <v>2000</v>
      </c>
      <c r="B18" s="23">
        <v>28</v>
      </c>
      <c r="C18" s="148">
        <v>274</v>
      </c>
      <c r="D18" s="125">
        <v>9444</v>
      </c>
      <c r="E18" s="47">
        <v>178</v>
      </c>
      <c r="F18" s="125">
        <v>2440</v>
      </c>
      <c r="G18" s="47">
        <v>1284</v>
      </c>
      <c r="H18" s="125">
        <v>326</v>
      </c>
      <c r="I18" s="47">
        <v>395</v>
      </c>
      <c r="J18" s="125">
        <v>2114</v>
      </c>
      <c r="K18" s="47">
        <v>889</v>
      </c>
    </row>
    <row r="19" spans="1:11">
      <c r="A19" s="19">
        <v>2001</v>
      </c>
      <c r="B19" s="23">
        <v>29</v>
      </c>
      <c r="C19" s="148">
        <v>284</v>
      </c>
      <c r="D19" s="125">
        <v>9987</v>
      </c>
      <c r="E19" s="47">
        <v>176</v>
      </c>
      <c r="F19" s="125">
        <v>2508</v>
      </c>
      <c r="G19" s="47">
        <v>1371</v>
      </c>
      <c r="H19" s="125">
        <v>278</v>
      </c>
      <c r="I19" s="47">
        <v>402</v>
      </c>
      <c r="J19" s="125">
        <v>2230</v>
      </c>
      <c r="K19" s="47">
        <v>969</v>
      </c>
    </row>
    <row r="20" spans="1:11">
      <c r="A20" s="19">
        <v>2002</v>
      </c>
      <c r="B20" s="23">
        <v>29</v>
      </c>
      <c r="C20" s="148">
        <v>284</v>
      </c>
      <c r="D20" s="125">
        <v>10266</v>
      </c>
      <c r="E20" s="47">
        <v>157</v>
      </c>
      <c r="F20" s="125">
        <v>2541</v>
      </c>
      <c r="G20" s="47">
        <v>1426</v>
      </c>
      <c r="H20" s="125">
        <v>270</v>
      </c>
      <c r="I20" s="47">
        <v>416</v>
      </c>
      <c r="J20" s="125">
        <v>2271</v>
      </c>
      <c r="K20" s="47">
        <v>1010</v>
      </c>
    </row>
    <row r="21" spans="1:11">
      <c r="A21" s="19">
        <v>2003</v>
      </c>
      <c r="B21" s="23">
        <v>28</v>
      </c>
      <c r="C21" s="148">
        <v>293</v>
      </c>
      <c r="D21" s="125">
        <v>10140</v>
      </c>
      <c r="E21" s="47">
        <v>163</v>
      </c>
      <c r="F21" s="125">
        <v>2675</v>
      </c>
      <c r="G21" s="47">
        <v>1456</v>
      </c>
      <c r="H21" s="125">
        <v>288</v>
      </c>
      <c r="I21" s="47">
        <v>411</v>
      </c>
      <c r="J21" s="125">
        <v>2387</v>
      </c>
      <c r="K21" s="47">
        <v>1045</v>
      </c>
    </row>
    <row r="22" spans="1:11">
      <c r="A22" s="19">
        <v>2004</v>
      </c>
      <c r="B22" s="23">
        <v>29</v>
      </c>
      <c r="C22" s="148">
        <v>305</v>
      </c>
      <c r="D22" s="125">
        <v>10304</v>
      </c>
      <c r="E22" s="47">
        <v>154</v>
      </c>
      <c r="F22" s="125">
        <v>2763</v>
      </c>
      <c r="G22" s="47">
        <v>1536</v>
      </c>
      <c r="H22" s="125">
        <v>304</v>
      </c>
      <c r="I22" s="47">
        <v>424</v>
      </c>
      <c r="J22" s="125">
        <v>2459</v>
      </c>
      <c r="K22" s="47">
        <v>1112</v>
      </c>
    </row>
    <row r="23" spans="1:11">
      <c r="A23" s="19">
        <v>2005</v>
      </c>
      <c r="B23" s="23">
        <v>29</v>
      </c>
      <c r="C23" s="148">
        <v>308</v>
      </c>
      <c r="D23" s="125">
        <v>10800</v>
      </c>
      <c r="E23" s="47">
        <v>152</v>
      </c>
      <c r="F23" s="125">
        <v>2903</v>
      </c>
      <c r="G23" s="47">
        <v>1620</v>
      </c>
      <c r="H23" s="125">
        <v>303</v>
      </c>
      <c r="I23" s="47">
        <v>430</v>
      </c>
      <c r="J23" s="125">
        <v>2600</v>
      </c>
      <c r="K23" s="47">
        <v>1190</v>
      </c>
    </row>
    <row r="24" spans="1:11">
      <c r="A24" s="19">
        <v>2006</v>
      </c>
      <c r="B24" s="23">
        <v>29</v>
      </c>
      <c r="C24" s="148">
        <v>335</v>
      </c>
      <c r="D24" s="125">
        <v>11910</v>
      </c>
      <c r="E24" s="47">
        <v>143</v>
      </c>
      <c r="F24" s="125">
        <v>3072</v>
      </c>
      <c r="G24" s="47">
        <v>1824</v>
      </c>
      <c r="H24" s="125">
        <v>302</v>
      </c>
      <c r="I24" s="47">
        <v>470</v>
      </c>
      <c r="J24" s="125">
        <v>2770</v>
      </c>
      <c r="K24" s="47">
        <v>1354</v>
      </c>
    </row>
    <row r="25" spans="1:11">
      <c r="A25" s="19">
        <v>2007</v>
      </c>
      <c r="B25" s="23">
        <v>29</v>
      </c>
      <c r="C25" s="148">
        <v>336</v>
      </c>
      <c r="D25" s="125">
        <v>11910</v>
      </c>
      <c r="E25" s="47">
        <v>131</v>
      </c>
      <c r="F25" s="125">
        <v>3118</v>
      </c>
      <c r="G25" s="47">
        <v>1787</v>
      </c>
      <c r="H25" s="125">
        <v>288</v>
      </c>
      <c r="I25" s="47">
        <v>462</v>
      </c>
      <c r="J25" s="125">
        <v>2830</v>
      </c>
      <c r="K25" s="47">
        <v>1325</v>
      </c>
    </row>
    <row r="26" spans="1:11">
      <c r="A26" s="19">
        <v>2008</v>
      </c>
      <c r="B26" s="23">
        <v>29</v>
      </c>
      <c r="C26" s="148">
        <v>332</v>
      </c>
      <c r="D26" s="125">
        <v>11792</v>
      </c>
      <c r="E26" s="47">
        <v>136</v>
      </c>
      <c r="F26" s="125">
        <v>3179</v>
      </c>
      <c r="G26" s="47">
        <v>1833</v>
      </c>
      <c r="H26" s="125">
        <v>285</v>
      </c>
      <c r="I26" s="47">
        <v>464</v>
      </c>
      <c r="J26" s="125">
        <v>2894</v>
      </c>
      <c r="K26" s="47">
        <v>1369</v>
      </c>
    </row>
    <row r="27" spans="1:11">
      <c r="A27" s="19">
        <v>2009</v>
      </c>
      <c r="B27" s="23">
        <v>29</v>
      </c>
      <c r="C27" s="148">
        <v>339</v>
      </c>
      <c r="D27" s="125">
        <v>11699</v>
      </c>
      <c r="E27" s="47">
        <v>137</v>
      </c>
      <c r="F27" s="125">
        <v>3424</v>
      </c>
      <c r="G27" s="47">
        <v>1762</v>
      </c>
      <c r="H27" s="125">
        <v>612</v>
      </c>
      <c r="I27" s="47">
        <v>454</v>
      </c>
      <c r="J27" s="125">
        <v>2812</v>
      </c>
      <c r="K27" s="47">
        <v>1308</v>
      </c>
    </row>
    <row r="28" spans="1:11">
      <c r="A28" s="19">
        <v>2010</v>
      </c>
      <c r="B28" s="23">
        <v>30</v>
      </c>
      <c r="C28" s="148">
        <v>358</v>
      </c>
      <c r="D28" s="125">
        <v>12111</v>
      </c>
      <c r="E28" s="47">
        <v>160</v>
      </c>
      <c r="F28" s="125">
        <v>3788</v>
      </c>
      <c r="G28" s="47">
        <v>1849</v>
      </c>
      <c r="H28" s="125">
        <v>619</v>
      </c>
      <c r="I28" s="47">
        <v>463</v>
      </c>
      <c r="J28" s="125">
        <v>3169</v>
      </c>
      <c r="K28" s="47">
        <v>1386</v>
      </c>
    </row>
    <row r="29" spans="1:11">
      <c r="A29" s="19">
        <v>2011</v>
      </c>
      <c r="B29" s="23">
        <v>30</v>
      </c>
      <c r="C29" s="148">
        <v>349</v>
      </c>
      <c r="D29" s="125">
        <v>12285</v>
      </c>
      <c r="E29" s="47">
        <v>120</v>
      </c>
      <c r="F29" s="125">
        <v>3557</v>
      </c>
      <c r="G29" s="47">
        <v>1918</v>
      </c>
      <c r="H29" s="125">
        <v>489</v>
      </c>
      <c r="I29" s="47">
        <v>468</v>
      </c>
      <c r="J29" s="125">
        <v>3068</v>
      </c>
      <c r="K29" s="47">
        <v>1450</v>
      </c>
    </row>
    <row r="30" spans="1:11">
      <c r="A30" s="19">
        <v>2012</v>
      </c>
      <c r="B30" s="23">
        <v>31</v>
      </c>
      <c r="C30" s="148">
        <v>398</v>
      </c>
      <c r="D30" s="125">
        <v>12595</v>
      </c>
      <c r="E30" s="47">
        <v>134</v>
      </c>
      <c r="F30" s="125">
        <v>3551</v>
      </c>
      <c r="G30" s="47">
        <v>2021</v>
      </c>
      <c r="H30" s="125">
        <v>508</v>
      </c>
      <c r="I30" s="47">
        <v>479</v>
      </c>
      <c r="J30" s="125">
        <v>3043</v>
      </c>
      <c r="K30" s="47">
        <v>1542</v>
      </c>
    </row>
    <row r="31" spans="1:11">
      <c r="A31" s="19">
        <v>2013</v>
      </c>
      <c r="B31" s="23">
        <v>30</v>
      </c>
      <c r="C31" s="148">
        <v>401</v>
      </c>
      <c r="D31" s="125">
        <v>12164</v>
      </c>
      <c r="E31" s="47">
        <v>40</v>
      </c>
      <c r="F31" s="125">
        <v>3505</v>
      </c>
      <c r="G31" s="47">
        <v>2083</v>
      </c>
      <c r="H31" s="125">
        <v>375</v>
      </c>
      <c r="I31" s="47">
        <v>474</v>
      </c>
      <c r="J31" s="125">
        <v>3130</v>
      </c>
      <c r="K31" s="47">
        <v>1609</v>
      </c>
    </row>
    <row r="32" spans="1:11">
      <c r="A32" s="19">
        <v>2014</v>
      </c>
      <c r="B32" s="23">
        <v>30</v>
      </c>
      <c r="C32" s="148">
        <v>394</v>
      </c>
      <c r="D32" s="125">
        <v>12389</v>
      </c>
      <c r="E32" s="47">
        <v>22</v>
      </c>
      <c r="F32" s="125">
        <v>3436</v>
      </c>
      <c r="G32" s="47">
        <v>2200</v>
      </c>
      <c r="H32" s="125">
        <v>381</v>
      </c>
      <c r="I32" s="47">
        <v>483</v>
      </c>
      <c r="J32" s="125">
        <v>3055</v>
      </c>
      <c r="K32" s="47">
        <v>1717</v>
      </c>
    </row>
    <row r="33" spans="1:11">
      <c r="A33" s="19">
        <v>2015</v>
      </c>
      <c r="B33" s="23">
        <v>30</v>
      </c>
      <c r="C33" s="148">
        <v>422</v>
      </c>
      <c r="D33" s="125">
        <v>12796</v>
      </c>
      <c r="E33" s="47">
        <v>32</v>
      </c>
      <c r="F33" s="125">
        <v>3786</v>
      </c>
      <c r="G33" s="47">
        <v>2210</v>
      </c>
      <c r="H33" s="125">
        <v>383</v>
      </c>
      <c r="I33" s="47">
        <v>480</v>
      </c>
      <c r="J33" s="125">
        <v>3403</v>
      </c>
      <c r="K33" s="47">
        <v>1730</v>
      </c>
    </row>
    <row r="34" spans="1:11">
      <c r="A34" s="19">
        <v>2016</v>
      </c>
      <c r="B34" s="23">
        <v>30</v>
      </c>
      <c r="C34" s="148">
        <v>423</v>
      </c>
      <c r="D34" s="125">
        <v>13263</v>
      </c>
      <c r="E34" s="47">
        <v>50</v>
      </c>
      <c r="F34" s="125">
        <v>4001</v>
      </c>
      <c r="G34" s="47">
        <v>2349</v>
      </c>
      <c r="H34" s="125">
        <v>383</v>
      </c>
      <c r="I34" s="47">
        <v>488</v>
      </c>
      <c r="J34" s="125">
        <v>3618</v>
      </c>
      <c r="K34" s="47">
        <v>1861</v>
      </c>
    </row>
    <row r="35" spans="1:11">
      <c r="A35" s="19">
        <v>2017</v>
      </c>
      <c r="B35" s="23">
        <v>30</v>
      </c>
      <c r="C35" s="148">
        <v>423</v>
      </c>
      <c r="D35" s="125">
        <v>13333</v>
      </c>
      <c r="E35" s="47">
        <v>59</v>
      </c>
      <c r="F35" s="125">
        <v>4056</v>
      </c>
      <c r="G35" s="47">
        <v>2349</v>
      </c>
      <c r="H35" s="125">
        <v>342</v>
      </c>
      <c r="I35" s="47">
        <v>482</v>
      </c>
      <c r="J35" s="125">
        <v>3714</v>
      </c>
      <c r="K35" s="47">
        <v>1867</v>
      </c>
    </row>
    <row r="36" spans="1:11">
      <c r="A36" s="19">
        <v>2018</v>
      </c>
      <c r="B36" s="23">
        <v>30</v>
      </c>
      <c r="C36" s="148">
        <v>423</v>
      </c>
      <c r="D36" s="125">
        <v>13445</v>
      </c>
      <c r="E36" s="47">
        <v>42</v>
      </c>
      <c r="F36" s="125">
        <v>4080</v>
      </c>
      <c r="G36" s="47">
        <v>2327</v>
      </c>
      <c r="H36" s="125">
        <v>347</v>
      </c>
      <c r="I36" s="47">
        <v>483</v>
      </c>
      <c r="J36" s="125">
        <v>3733</v>
      </c>
      <c r="K36" s="47">
        <v>1844</v>
      </c>
    </row>
    <row r="37" spans="1:11">
      <c r="A37" s="19">
        <v>2019</v>
      </c>
      <c r="B37" s="23">
        <v>30</v>
      </c>
      <c r="C37" s="148">
        <v>422</v>
      </c>
      <c r="D37" s="125">
        <v>13535</v>
      </c>
      <c r="E37" s="47">
        <v>55</v>
      </c>
      <c r="F37" s="125">
        <v>4349</v>
      </c>
      <c r="G37" s="47">
        <v>2346</v>
      </c>
      <c r="H37" s="125">
        <v>350</v>
      </c>
      <c r="I37" s="47">
        <v>478</v>
      </c>
      <c r="J37" s="125">
        <v>3999</v>
      </c>
      <c r="K37" s="47">
        <v>1868</v>
      </c>
    </row>
    <row r="38" spans="1:11">
      <c r="A38" s="19">
        <v>2020</v>
      </c>
      <c r="B38" s="23">
        <v>30</v>
      </c>
      <c r="C38" s="148">
        <v>422</v>
      </c>
      <c r="D38" s="125">
        <v>13574</v>
      </c>
      <c r="E38" s="47">
        <v>55</v>
      </c>
      <c r="F38" s="125">
        <v>4278</v>
      </c>
      <c r="G38" s="47">
        <v>2357</v>
      </c>
      <c r="H38" s="125">
        <v>344</v>
      </c>
      <c r="I38" s="47">
        <v>488</v>
      </c>
      <c r="J38" s="125">
        <v>3934</v>
      </c>
      <c r="K38" s="47">
        <v>1869</v>
      </c>
    </row>
    <row r="39" spans="1:11">
      <c r="A39" s="19">
        <v>2021</v>
      </c>
      <c r="B39" s="23">
        <v>29</v>
      </c>
      <c r="C39" s="148">
        <v>395</v>
      </c>
      <c r="D39" s="125">
        <v>13305</v>
      </c>
      <c r="E39" s="47">
        <v>110</v>
      </c>
      <c r="F39" s="125">
        <v>4587</v>
      </c>
      <c r="G39" s="47">
        <v>2225</v>
      </c>
      <c r="H39" s="125">
        <v>342</v>
      </c>
      <c r="I39" s="47">
        <v>461</v>
      </c>
      <c r="J39" s="125">
        <v>4245</v>
      </c>
      <c r="K39" s="47">
        <v>1764</v>
      </c>
    </row>
    <row r="40" spans="1:11">
      <c r="A40" s="19">
        <v>2022</v>
      </c>
      <c r="B40" s="23">
        <v>29</v>
      </c>
      <c r="C40" s="148">
        <v>395</v>
      </c>
      <c r="D40" s="125">
        <v>12774</v>
      </c>
      <c r="E40" s="47">
        <v>90</v>
      </c>
      <c r="F40" s="125">
        <v>4266</v>
      </c>
      <c r="G40" s="47">
        <v>2182</v>
      </c>
      <c r="H40" s="125">
        <v>334</v>
      </c>
      <c r="I40" s="47">
        <v>447</v>
      </c>
      <c r="J40" s="125">
        <v>3932</v>
      </c>
      <c r="K40" s="47">
        <v>1735</v>
      </c>
    </row>
    <row r="41" spans="1:11">
      <c r="A41" s="19">
        <v>2023</v>
      </c>
      <c r="B41" s="23">
        <v>29</v>
      </c>
      <c r="C41" s="148">
        <v>375</v>
      </c>
      <c r="D41" s="125">
        <v>12859</v>
      </c>
      <c r="E41" s="47">
        <v>94</v>
      </c>
      <c r="F41" s="125">
        <v>4387</v>
      </c>
      <c r="G41" s="47">
        <v>2094</v>
      </c>
      <c r="H41" s="125">
        <v>319</v>
      </c>
      <c r="I41" s="47">
        <v>425</v>
      </c>
      <c r="J41" s="125">
        <v>4068</v>
      </c>
      <c r="K41" s="47">
        <v>1669</v>
      </c>
    </row>
    <row r="42" spans="1:11" ht="13">
      <c r="A42" s="48">
        <v>2024</v>
      </c>
      <c r="B42" s="71">
        <v>29</v>
      </c>
      <c r="C42" s="149">
        <v>395</v>
      </c>
      <c r="D42" s="69">
        <v>13204</v>
      </c>
      <c r="E42" s="51">
        <v>108</v>
      </c>
      <c r="F42" s="69">
        <v>4815</v>
      </c>
      <c r="G42" s="51">
        <v>2194</v>
      </c>
      <c r="H42" s="69">
        <v>341</v>
      </c>
      <c r="I42" s="51">
        <v>461</v>
      </c>
      <c r="J42" s="69">
        <v>4474</v>
      </c>
      <c r="K42" s="51">
        <v>1733</v>
      </c>
    </row>
    <row r="43" spans="1:11" ht="13">
      <c r="A43" s="31"/>
      <c r="B43" s="32"/>
      <c r="C43" s="32"/>
      <c r="D43" s="32"/>
      <c r="E43" s="32"/>
      <c r="F43" s="32"/>
      <c r="G43" s="32"/>
      <c r="H43" s="32"/>
      <c r="I43" s="32"/>
      <c r="J43" s="32"/>
      <c r="K43" s="32"/>
    </row>
    <row r="44" spans="1:11" ht="12.75" customHeight="1">
      <c r="A44" s="262" t="s">
        <v>469</v>
      </c>
      <c r="B44" s="262"/>
      <c r="C44" s="262"/>
      <c r="D44" s="262"/>
      <c r="E44" s="262"/>
      <c r="F44" s="262" t="s">
        <v>470</v>
      </c>
      <c r="G44" s="262"/>
      <c r="H44" s="262"/>
      <c r="I44" s="262"/>
      <c r="J44" s="262"/>
      <c r="K44" s="262"/>
    </row>
    <row r="47" spans="1:11" s="34" customFormat="1">
      <c r="B47" s="150"/>
      <c r="C47" s="150"/>
    </row>
    <row r="48" spans="1:11">
      <c r="A48" s="35" t="s">
        <v>75</v>
      </c>
    </row>
    <row r="49" spans="1:1">
      <c r="A49" s="35" t="s">
        <v>76</v>
      </c>
    </row>
    <row r="50" spans="1:1">
      <c r="A50" s="35" t="s">
        <v>77</v>
      </c>
    </row>
  </sheetData>
  <mergeCells count="16">
    <mergeCell ref="A44:E44"/>
    <mergeCell ref="F44:K44"/>
    <mergeCell ref="J4:K4"/>
    <mergeCell ref="A6:A7"/>
    <mergeCell ref="B6:B7"/>
    <mergeCell ref="C6:C7"/>
    <mergeCell ref="D6:E6"/>
    <mergeCell ref="F6:G6"/>
    <mergeCell ref="H6:I6"/>
    <mergeCell ref="J6:K6"/>
    <mergeCell ref="A4:A5"/>
    <mergeCell ref="B4:B5"/>
    <mergeCell ref="C4:C5"/>
    <mergeCell ref="D4:E4"/>
    <mergeCell ref="F4:G4"/>
    <mergeCell ref="H4:I4"/>
  </mergeCells>
  <conditionalFormatting sqref="B8:K43">
    <cfRule type="expression" dxfId="44" priority="1">
      <formula>AC8&lt;&gt;0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86E53-1DFB-4B80-9A45-7988B18FAF15}">
  <sheetPr codeName="Tabelle45">
    <tabColor rgb="FFFF0000"/>
  </sheetPr>
  <dimension ref="A1:J50"/>
  <sheetViews>
    <sheetView workbookViewId="0">
      <selection activeCell="I1" sqref="I1"/>
    </sheetView>
  </sheetViews>
  <sheetFormatPr defaultColWidth="11.54296875" defaultRowHeight="12.5"/>
  <cols>
    <col min="1" max="1" width="8.7265625" style="4" customWidth="1"/>
    <col min="2" max="10" width="14.7265625" style="4" customWidth="1"/>
    <col min="11" max="16384" width="11.54296875" style="4"/>
  </cols>
  <sheetData>
    <row r="1" spans="1:10" ht="13">
      <c r="A1" s="3" t="s">
        <v>582</v>
      </c>
      <c r="J1" s="5" t="s">
        <v>583</v>
      </c>
    </row>
    <row r="2" spans="1:10" ht="13">
      <c r="A2" s="3" t="s">
        <v>584</v>
      </c>
      <c r="J2" s="5" t="s">
        <v>585</v>
      </c>
    </row>
    <row r="4" spans="1:10" ht="13.15" customHeight="1">
      <c r="A4" s="290" t="s">
        <v>55</v>
      </c>
      <c r="B4" s="259" t="s">
        <v>586</v>
      </c>
      <c r="C4" s="261"/>
      <c r="D4" s="259" t="s">
        <v>587</v>
      </c>
      <c r="E4" s="261"/>
      <c r="F4" s="259" t="s">
        <v>456</v>
      </c>
      <c r="G4" s="260"/>
      <c r="H4" s="261"/>
      <c r="I4" s="259" t="s">
        <v>588</v>
      </c>
      <c r="J4" s="261"/>
    </row>
    <row r="5" spans="1:10" ht="12.75" customHeight="1">
      <c r="A5" s="291"/>
      <c r="B5" s="96" t="s">
        <v>589</v>
      </c>
      <c r="C5" s="42" t="s">
        <v>590</v>
      </c>
      <c r="D5" s="96" t="s">
        <v>591</v>
      </c>
      <c r="E5" s="42" t="s">
        <v>590</v>
      </c>
      <c r="F5" s="96" t="s">
        <v>161</v>
      </c>
      <c r="G5" s="97" t="s">
        <v>592</v>
      </c>
      <c r="H5" s="42" t="s">
        <v>593</v>
      </c>
      <c r="I5" s="96" t="s">
        <v>589</v>
      </c>
      <c r="J5" s="42" t="s">
        <v>590</v>
      </c>
    </row>
    <row r="6" spans="1:10" ht="13.15" customHeight="1">
      <c r="A6" s="292" t="s">
        <v>62</v>
      </c>
      <c r="B6" s="265" t="s">
        <v>539</v>
      </c>
      <c r="C6" s="266"/>
      <c r="D6" s="265" t="s">
        <v>594</v>
      </c>
      <c r="E6" s="266"/>
      <c r="F6" s="265" t="s">
        <v>464</v>
      </c>
      <c r="G6" s="267"/>
      <c r="H6" s="266"/>
      <c r="I6" s="265" t="s">
        <v>558</v>
      </c>
      <c r="J6" s="266"/>
    </row>
    <row r="7" spans="1:10" ht="20">
      <c r="A7" s="293"/>
      <c r="B7" s="174" t="s">
        <v>595</v>
      </c>
      <c r="C7" s="175" t="s">
        <v>596</v>
      </c>
      <c r="D7" s="174" t="s">
        <v>597</v>
      </c>
      <c r="E7" s="175" t="s">
        <v>596</v>
      </c>
      <c r="F7" s="174" t="s">
        <v>164</v>
      </c>
      <c r="G7" s="172" t="s">
        <v>598</v>
      </c>
      <c r="H7" s="175" t="s">
        <v>212</v>
      </c>
      <c r="I7" s="174" t="s">
        <v>595</v>
      </c>
      <c r="J7" s="175" t="s">
        <v>596</v>
      </c>
    </row>
    <row r="8" spans="1:10">
      <c r="A8" s="14">
        <v>1990</v>
      </c>
      <c r="B8" s="15">
        <v>34863</v>
      </c>
      <c r="C8" s="46">
        <v>55</v>
      </c>
      <c r="D8" s="144">
        <v>818</v>
      </c>
      <c r="E8" s="46">
        <v>27</v>
      </c>
      <c r="F8" s="144">
        <v>504</v>
      </c>
      <c r="G8" s="16">
        <v>33</v>
      </c>
      <c r="H8" s="46">
        <v>798</v>
      </c>
      <c r="I8" s="144">
        <v>1289</v>
      </c>
      <c r="J8" s="46">
        <v>47</v>
      </c>
    </row>
    <row r="9" spans="1:10">
      <c r="A9" s="19">
        <v>1991</v>
      </c>
      <c r="B9" s="125">
        <v>36844</v>
      </c>
      <c r="C9" s="47">
        <v>59</v>
      </c>
      <c r="D9" s="125">
        <v>848</v>
      </c>
      <c r="E9" s="47">
        <v>28</v>
      </c>
      <c r="F9" s="125">
        <v>593</v>
      </c>
      <c r="G9" s="21">
        <v>31</v>
      </c>
      <c r="H9" s="47">
        <v>924</v>
      </c>
      <c r="I9" s="125">
        <v>1505</v>
      </c>
      <c r="J9" s="47">
        <v>45</v>
      </c>
    </row>
    <row r="10" spans="1:10">
      <c r="A10" s="19">
        <v>1992</v>
      </c>
      <c r="B10" s="125">
        <v>38486</v>
      </c>
      <c r="C10" s="47">
        <v>57</v>
      </c>
      <c r="D10" s="125">
        <v>870</v>
      </c>
      <c r="E10" s="47">
        <v>28</v>
      </c>
      <c r="F10" s="125">
        <v>568</v>
      </c>
      <c r="G10" s="21">
        <v>29</v>
      </c>
      <c r="H10" s="47">
        <v>909</v>
      </c>
      <c r="I10" s="125">
        <v>1465</v>
      </c>
      <c r="J10" s="47">
        <v>42</v>
      </c>
    </row>
    <row r="11" spans="1:10">
      <c r="A11" s="19">
        <v>1993</v>
      </c>
      <c r="B11" s="125">
        <v>40120</v>
      </c>
      <c r="C11" s="47">
        <v>58</v>
      </c>
      <c r="D11" s="125">
        <v>890</v>
      </c>
      <c r="E11" s="47">
        <v>27</v>
      </c>
      <c r="F11" s="125">
        <v>579</v>
      </c>
      <c r="G11" s="21">
        <v>32</v>
      </c>
      <c r="H11" s="47">
        <v>941</v>
      </c>
      <c r="I11" s="125">
        <v>1507</v>
      </c>
      <c r="J11" s="47">
        <v>46</v>
      </c>
    </row>
    <row r="12" spans="1:10">
      <c r="A12" s="19">
        <v>1994</v>
      </c>
      <c r="B12" s="125">
        <v>43074</v>
      </c>
      <c r="C12" s="47">
        <v>58</v>
      </c>
      <c r="D12" s="125">
        <v>928</v>
      </c>
      <c r="E12" s="47">
        <v>27</v>
      </c>
      <c r="F12" s="125">
        <v>545</v>
      </c>
      <c r="G12" s="21">
        <v>32</v>
      </c>
      <c r="H12" s="47">
        <v>915</v>
      </c>
      <c r="I12" s="125">
        <v>1448</v>
      </c>
      <c r="J12" s="47">
        <v>45</v>
      </c>
    </row>
    <row r="13" spans="1:10">
      <c r="A13" s="19">
        <v>1995</v>
      </c>
      <c r="B13" s="125">
        <v>45942</v>
      </c>
      <c r="C13" s="47">
        <v>56</v>
      </c>
      <c r="D13" s="125">
        <v>954</v>
      </c>
      <c r="E13" s="47">
        <v>26</v>
      </c>
      <c r="F13" s="125">
        <v>607</v>
      </c>
      <c r="G13" s="21">
        <v>31</v>
      </c>
      <c r="H13" s="47">
        <v>1018</v>
      </c>
      <c r="I13" s="125">
        <v>1612</v>
      </c>
      <c r="J13" s="47">
        <v>44</v>
      </c>
    </row>
    <row r="14" spans="1:10">
      <c r="A14" s="19">
        <v>1996</v>
      </c>
      <c r="B14" s="125">
        <v>48856</v>
      </c>
      <c r="C14" s="47">
        <v>53</v>
      </c>
      <c r="D14" s="125">
        <v>985</v>
      </c>
      <c r="E14" s="47">
        <v>23</v>
      </c>
      <c r="F14" s="125">
        <v>674</v>
      </c>
      <c r="G14" s="21">
        <v>30</v>
      </c>
      <c r="H14" s="47">
        <v>1129</v>
      </c>
      <c r="I14" s="125">
        <v>1791</v>
      </c>
      <c r="J14" s="47">
        <v>42</v>
      </c>
    </row>
    <row r="15" spans="1:10">
      <c r="A15" s="19">
        <v>1997</v>
      </c>
      <c r="B15" s="125">
        <v>52486</v>
      </c>
      <c r="C15" s="47">
        <v>53</v>
      </c>
      <c r="D15" s="125">
        <v>1017</v>
      </c>
      <c r="E15" s="47">
        <v>23</v>
      </c>
      <c r="F15" s="125">
        <v>614</v>
      </c>
      <c r="G15" s="21">
        <v>27</v>
      </c>
      <c r="H15" s="47">
        <v>1075</v>
      </c>
      <c r="I15" s="125">
        <v>1678</v>
      </c>
      <c r="J15" s="47">
        <v>39</v>
      </c>
    </row>
    <row r="16" spans="1:10">
      <c r="A16" s="19">
        <v>1998</v>
      </c>
      <c r="B16" s="125">
        <v>57053</v>
      </c>
      <c r="C16" s="47">
        <v>53</v>
      </c>
      <c r="D16" s="125">
        <v>1062</v>
      </c>
      <c r="E16" s="47">
        <v>23</v>
      </c>
      <c r="F16" s="125">
        <v>649</v>
      </c>
      <c r="G16" s="21">
        <v>27</v>
      </c>
      <c r="H16" s="47">
        <v>1159</v>
      </c>
      <c r="I16" s="125">
        <v>1797</v>
      </c>
      <c r="J16" s="47">
        <v>39</v>
      </c>
    </row>
    <row r="17" spans="1:10">
      <c r="A17" s="19">
        <v>1999</v>
      </c>
      <c r="B17" s="125">
        <v>61493</v>
      </c>
      <c r="C17" s="47">
        <v>52</v>
      </c>
      <c r="D17" s="125">
        <v>1100</v>
      </c>
      <c r="E17" s="47">
        <v>22</v>
      </c>
      <c r="F17" s="125">
        <v>654</v>
      </c>
      <c r="G17" s="21">
        <v>27</v>
      </c>
      <c r="H17" s="47">
        <v>1200</v>
      </c>
      <c r="I17" s="125">
        <v>1844</v>
      </c>
      <c r="J17" s="47">
        <v>38</v>
      </c>
    </row>
    <row r="18" spans="1:10">
      <c r="A18" s="19">
        <v>2000</v>
      </c>
      <c r="B18" s="125">
        <v>66622</v>
      </c>
      <c r="C18" s="47">
        <v>47</v>
      </c>
      <c r="D18" s="125">
        <v>1140</v>
      </c>
      <c r="E18" s="47">
        <v>21</v>
      </c>
      <c r="F18" s="125">
        <v>632</v>
      </c>
      <c r="G18" s="21">
        <v>26</v>
      </c>
      <c r="H18" s="47">
        <v>1194</v>
      </c>
      <c r="I18" s="125">
        <v>1816</v>
      </c>
      <c r="J18" s="47">
        <v>36</v>
      </c>
    </row>
    <row r="19" spans="1:10">
      <c r="A19" s="19">
        <v>2001</v>
      </c>
      <c r="B19" s="125">
        <v>71936</v>
      </c>
      <c r="C19" s="47">
        <v>46</v>
      </c>
      <c r="D19" s="125">
        <v>1188</v>
      </c>
      <c r="E19" s="47">
        <v>20</v>
      </c>
      <c r="F19" s="125">
        <v>679</v>
      </c>
      <c r="G19" s="21">
        <v>25</v>
      </c>
      <c r="H19" s="47">
        <v>1296</v>
      </c>
      <c r="I19" s="125">
        <v>1966</v>
      </c>
      <c r="J19" s="47">
        <v>35</v>
      </c>
    </row>
    <row r="20" spans="1:10">
      <c r="A20" s="19">
        <v>2002</v>
      </c>
      <c r="B20" s="125">
        <v>77306</v>
      </c>
      <c r="C20" s="47">
        <v>44</v>
      </c>
      <c r="D20" s="125">
        <v>1236</v>
      </c>
      <c r="E20" s="47">
        <v>19</v>
      </c>
      <c r="F20" s="125">
        <v>679</v>
      </c>
      <c r="G20" s="21">
        <v>24</v>
      </c>
      <c r="H20" s="47">
        <v>1325</v>
      </c>
      <c r="I20" s="125">
        <v>1995</v>
      </c>
      <c r="J20" s="47">
        <v>33</v>
      </c>
    </row>
    <row r="21" spans="1:10">
      <c r="A21" s="19">
        <v>2003</v>
      </c>
      <c r="B21" s="125">
        <v>83662</v>
      </c>
      <c r="C21" s="47">
        <v>43</v>
      </c>
      <c r="D21" s="125">
        <v>1297</v>
      </c>
      <c r="E21" s="47">
        <v>19</v>
      </c>
      <c r="F21" s="125">
        <v>741</v>
      </c>
      <c r="G21" s="21">
        <v>23</v>
      </c>
      <c r="H21" s="47">
        <v>1454</v>
      </c>
      <c r="I21" s="125">
        <v>2187</v>
      </c>
      <c r="J21" s="47">
        <v>32</v>
      </c>
    </row>
    <row r="22" spans="1:10">
      <c r="A22" s="19">
        <v>2004</v>
      </c>
      <c r="B22" s="125">
        <v>90940</v>
      </c>
      <c r="C22" s="47">
        <v>39</v>
      </c>
      <c r="D22" s="125">
        <v>1372</v>
      </c>
      <c r="E22" s="47">
        <v>18</v>
      </c>
      <c r="F22" s="125">
        <v>769</v>
      </c>
      <c r="G22" s="21">
        <v>22</v>
      </c>
      <c r="H22" s="47">
        <v>1526</v>
      </c>
      <c r="I22" s="125">
        <v>2287</v>
      </c>
      <c r="J22" s="47">
        <v>31</v>
      </c>
    </row>
    <row r="23" spans="1:10">
      <c r="A23" s="19">
        <v>2005</v>
      </c>
      <c r="B23" s="125">
        <v>100003</v>
      </c>
      <c r="C23" s="47">
        <v>36</v>
      </c>
      <c r="D23" s="125">
        <v>1478</v>
      </c>
      <c r="E23" s="47">
        <v>16</v>
      </c>
      <c r="F23" s="125">
        <v>848</v>
      </c>
      <c r="G23" s="21">
        <v>21</v>
      </c>
      <c r="H23" s="47">
        <v>1689</v>
      </c>
      <c r="I23" s="125">
        <v>2529</v>
      </c>
      <c r="J23" s="47">
        <v>29</v>
      </c>
    </row>
    <row r="24" spans="1:10">
      <c r="A24" s="19">
        <v>2006</v>
      </c>
      <c r="B24" s="125">
        <v>112824</v>
      </c>
      <c r="C24" s="47">
        <v>35</v>
      </c>
      <c r="D24" s="125">
        <v>1648</v>
      </c>
      <c r="E24" s="47">
        <v>16</v>
      </c>
      <c r="F24" s="125">
        <v>859</v>
      </c>
      <c r="G24" s="21">
        <v>19</v>
      </c>
      <c r="H24" s="47">
        <v>1754</v>
      </c>
      <c r="I24" s="125">
        <v>2606</v>
      </c>
      <c r="J24" s="47">
        <v>26</v>
      </c>
    </row>
    <row r="25" spans="1:10">
      <c r="A25" s="19">
        <v>2007</v>
      </c>
      <c r="B25" s="125">
        <v>126263</v>
      </c>
      <c r="C25" s="47">
        <v>30</v>
      </c>
      <c r="D25" s="125">
        <v>1836</v>
      </c>
      <c r="E25" s="47">
        <v>12</v>
      </c>
      <c r="F25" s="125">
        <v>911</v>
      </c>
      <c r="G25" s="21">
        <v>17</v>
      </c>
      <c r="H25" s="47">
        <v>1897</v>
      </c>
      <c r="I25" s="125">
        <v>2801</v>
      </c>
      <c r="J25" s="47">
        <v>24</v>
      </c>
    </row>
    <row r="26" spans="1:10">
      <c r="A26" s="19">
        <v>2008</v>
      </c>
      <c r="B26" s="125">
        <v>143543</v>
      </c>
      <c r="C26" s="47">
        <v>24</v>
      </c>
      <c r="D26" s="125">
        <v>2111</v>
      </c>
      <c r="E26" s="47">
        <v>10</v>
      </c>
      <c r="F26" s="125">
        <v>1085</v>
      </c>
      <c r="G26" s="21">
        <v>13</v>
      </c>
      <c r="H26" s="47">
        <v>2261</v>
      </c>
      <c r="I26" s="125">
        <v>3341</v>
      </c>
      <c r="J26" s="47">
        <v>19</v>
      </c>
    </row>
    <row r="27" spans="1:10">
      <c r="A27" s="19">
        <v>2009</v>
      </c>
      <c r="B27" s="125">
        <v>160350</v>
      </c>
      <c r="C27" s="47">
        <v>22</v>
      </c>
      <c r="D27" s="125">
        <v>2378</v>
      </c>
      <c r="E27" s="47">
        <v>9</v>
      </c>
      <c r="F27" s="125">
        <v>1169</v>
      </c>
      <c r="G27" s="21">
        <v>11</v>
      </c>
      <c r="H27" s="47">
        <v>2486</v>
      </c>
      <c r="I27" s="125">
        <v>3650</v>
      </c>
      <c r="J27" s="47">
        <v>16</v>
      </c>
    </row>
    <row r="28" spans="1:10">
      <c r="A28" s="19">
        <v>2010</v>
      </c>
      <c r="B28" s="125">
        <v>176506</v>
      </c>
      <c r="C28" s="47">
        <v>14</v>
      </c>
      <c r="D28" s="125">
        <v>2630</v>
      </c>
      <c r="E28" s="47">
        <v>5</v>
      </c>
      <c r="F28" s="125">
        <v>1427</v>
      </c>
      <c r="G28" s="21">
        <v>9</v>
      </c>
      <c r="H28" s="47">
        <v>3012</v>
      </c>
      <c r="I28" s="125">
        <v>4436</v>
      </c>
      <c r="J28" s="47">
        <v>13</v>
      </c>
    </row>
    <row r="29" spans="1:10">
      <c r="A29" s="19">
        <v>2011</v>
      </c>
      <c r="B29" s="125">
        <v>191818</v>
      </c>
      <c r="C29" s="47">
        <v>11</v>
      </c>
      <c r="D29" s="125">
        <v>2874</v>
      </c>
      <c r="E29" s="47">
        <v>4</v>
      </c>
      <c r="F29" s="125">
        <v>1317</v>
      </c>
      <c r="G29" s="21">
        <v>5</v>
      </c>
      <c r="H29" s="47">
        <v>2894</v>
      </c>
      <c r="I29" s="125">
        <v>4208</v>
      </c>
      <c r="J29" s="47">
        <v>8</v>
      </c>
    </row>
    <row r="30" spans="1:10">
      <c r="A30" s="19">
        <v>2012</v>
      </c>
      <c r="B30" s="125">
        <v>207975</v>
      </c>
      <c r="C30" s="47">
        <v>9</v>
      </c>
      <c r="D30" s="125">
        <v>3100</v>
      </c>
      <c r="E30" s="47">
        <v>3</v>
      </c>
      <c r="F30" s="125">
        <v>1552</v>
      </c>
      <c r="G30" s="21">
        <v>4</v>
      </c>
      <c r="H30" s="47">
        <v>3384</v>
      </c>
      <c r="I30" s="125">
        <v>4934</v>
      </c>
      <c r="J30" s="47">
        <v>6</v>
      </c>
    </row>
    <row r="31" spans="1:10">
      <c r="A31" s="19">
        <v>2013</v>
      </c>
      <c r="B31" s="125">
        <v>224657</v>
      </c>
      <c r="C31" s="47">
        <v>7</v>
      </c>
      <c r="D31" s="125">
        <v>3325</v>
      </c>
      <c r="E31" s="47">
        <v>3</v>
      </c>
      <c r="F31" s="125">
        <v>1738</v>
      </c>
      <c r="G31" s="21">
        <v>4</v>
      </c>
      <c r="H31" s="47">
        <v>3783</v>
      </c>
      <c r="I31" s="125">
        <v>5519</v>
      </c>
      <c r="J31" s="47">
        <v>5</v>
      </c>
    </row>
    <row r="32" spans="1:10">
      <c r="A32" s="19">
        <v>2014</v>
      </c>
      <c r="B32" s="125">
        <v>240887</v>
      </c>
      <c r="C32" s="47">
        <v>5</v>
      </c>
      <c r="D32" s="125">
        <v>3565</v>
      </c>
      <c r="E32" s="47">
        <v>2</v>
      </c>
      <c r="F32" s="125">
        <v>1547</v>
      </c>
      <c r="G32" s="21">
        <v>3</v>
      </c>
      <c r="H32" s="47">
        <v>3501</v>
      </c>
      <c r="I32" s="125">
        <v>5047</v>
      </c>
      <c r="J32" s="47">
        <v>4</v>
      </c>
    </row>
    <row r="33" spans="1:10">
      <c r="A33" s="19">
        <v>2015</v>
      </c>
      <c r="B33" s="125">
        <v>256847</v>
      </c>
      <c r="C33" s="47">
        <v>0</v>
      </c>
      <c r="D33" s="125">
        <v>3789</v>
      </c>
      <c r="E33" s="47">
        <v>0</v>
      </c>
      <c r="F33" s="125">
        <v>1777</v>
      </c>
      <c r="G33" s="21">
        <v>0</v>
      </c>
      <c r="H33" s="47">
        <v>3995</v>
      </c>
      <c r="I33" s="125">
        <v>5772</v>
      </c>
      <c r="J33" s="47">
        <v>0</v>
      </c>
    </row>
    <row r="34" spans="1:10">
      <c r="A34" s="19">
        <v>2016</v>
      </c>
      <c r="B34" s="125">
        <v>272441</v>
      </c>
      <c r="C34" s="47">
        <v>0</v>
      </c>
      <c r="D34" s="125">
        <v>3997</v>
      </c>
      <c r="E34" s="47">
        <v>0</v>
      </c>
      <c r="F34" s="125">
        <v>1972</v>
      </c>
      <c r="G34" s="21">
        <v>0</v>
      </c>
      <c r="H34" s="47">
        <v>4420</v>
      </c>
      <c r="I34" s="125">
        <v>6391</v>
      </c>
      <c r="J34" s="47">
        <v>0</v>
      </c>
    </row>
    <row r="35" spans="1:10">
      <c r="A35" s="19">
        <v>2017</v>
      </c>
      <c r="B35" s="125">
        <v>289195</v>
      </c>
      <c r="C35" s="47">
        <v>0</v>
      </c>
      <c r="D35" s="125">
        <v>4223</v>
      </c>
      <c r="E35" s="47">
        <v>0</v>
      </c>
      <c r="F35" s="125">
        <v>2045</v>
      </c>
      <c r="G35" s="21">
        <v>0</v>
      </c>
      <c r="H35" s="47">
        <v>4620</v>
      </c>
      <c r="I35" s="125">
        <v>6665</v>
      </c>
      <c r="J35" s="47">
        <v>0</v>
      </c>
    </row>
    <row r="36" spans="1:10">
      <c r="A36" s="19">
        <v>2018</v>
      </c>
      <c r="B36" s="125">
        <v>307255</v>
      </c>
      <c r="C36" s="47">
        <v>0</v>
      </c>
      <c r="D36" s="125">
        <v>4466</v>
      </c>
      <c r="E36" s="47">
        <v>0</v>
      </c>
      <c r="F36" s="125">
        <v>1967</v>
      </c>
      <c r="G36" s="21">
        <v>0</v>
      </c>
      <c r="H36" s="47">
        <v>4537</v>
      </c>
      <c r="I36" s="125">
        <v>6504</v>
      </c>
      <c r="J36" s="47">
        <v>0</v>
      </c>
    </row>
    <row r="37" spans="1:10">
      <c r="A37" s="19">
        <v>2019</v>
      </c>
      <c r="B37" s="125">
        <v>327114</v>
      </c>
      <c r="C37" s="47">
        <v>0</v>
      </c>
      <c r="D37" s="125">
        <v>4742</v>
      </c>
      <c r="E37" s="47">
        <v>0</v>
      </c>
      <c r="F37" s="125">
        <v>2170</v>
      </c>
      <c r="G37" s="21">
        <v>0</v>
      </c>
      <c r="H37" s="47">
        <v>5000</v>
      </c>
      <c r="I37" s="125">
        <v>7170</v>
      </c>
      <c r="J37" s="47">
        <v>0</v>
      </c>
    </row>
    <row r="38" spans="1:10">
      <c r="A38" s="19">
        <v>2020</v>
      </c>
      <c r="B38" s="125">
        <v>350380</v>
      </c>
      <c r="C38" s="47">
        <v>0</v>
      </c>
      <c r="D38" s="125">
        <v>5082</v>
      </c>
      <c r="E38" s="47">
        <v>0</v>
      </c>
      <c r="F38" s="125">
        <v>2220</v>
      </c>
      <c r="G38" s="21">
        <v>0</v>
      </c>
      <c r="H38" s="47">
        <v>5182</v>
      </c>
      <c r="I38" s="125">
        <v>7402</v>
      </c>
      <c r="J38" s="47">
        <v>0</v>
      </c>
    </row>
    <row r="39" spans="1:10">
      <c r="A39" s="19">
        <v>2021</v>
      </c>
      <c r="B39" s="125">
        <v>378020</v>
      </c>
      <c r="C39" s="47">
        <v>0</v>
      </c>
      <c r="D39" s="125">
        <v>5446</v>
      </c>
      <c r="E39" s="47">
        <v>0</v>
      </c>
      <c r="F39" s="125">
        <v>2643</v>
      </c>
      <c r="G39" s="21">
        <v>0</v>
      </c>
      <c r="H39" s="47">
        <v>6101</v>
      </c>
      <c r="I39" s="125">
        <v>8744</v>
      </c>
      <c r="J39" s="47">
        <v>0</v>
      </c>
    </row>
    <row r="40" spans="1:10">
      <c r="A40" s="19">
        <v>2022</v>
      </c>
      <c r="B40" s="125">
        <v>411789</v>
      </c>
      <c r="C40" s="47">
        <v>0</v>
      </c>
      <c r="D40" s="125">
        <v>5915</v>
      </c>
      <c r="E40" s="47">
        <v>0</v>
      </c>
      <c r="F40" s="125">
        <v>2437</v>
      </c>
      <c r="G40" s="21">
        <v>0</v>
      </c>
      <c r="H40" s="47">
        <v>5816</v>
      </c>
      <c r="I40" s="125">
        <v>8253</v>
      </c>
      <c r="J40" s="47">
        <v>0</v>
      </c>
    </row>
    <row r="41" spans="1:10">
      <c r="A41" s="19">
        <v>2023</v>
      </c>
      <c r="B41" s="125">
        <v>447749</v>
      </c>
      <c r="C41" s="47">
        <v>0</v>
      </c>
      <c r="D41" s="125">
        <v>6393</v>
      </c>
      <c r="E41" s="47">
        <v>0</v>
      </c>
      <c r="F41" s="125">
        <v>2651</v>
      </c>
      <c r="G41" s="21">
        <v>0</v>
      </c>
      <c r="H41" s="47">
        <v>6374</v>
      </c>
      <c r="I41" s="125">
        <v>9025</v>
      </c>
      <c r="J41" s="47">
        <v>0</v>
      </c>
    </row>
    <row r="42" spans="1:10" ht="13">
      <c r="A42" s="48">
        <v>2024</v>
      </c>
      <c r="B42" s="69">
        <v>469815</v>
      </c>
      <c r="C42" s="51">
        <v>0</v>
      </c>
      <c r="D42" s="69">
        <v>6679</v>
      </c>
      <c r="E42" s="51">
        <v>0</v>
      </c>
      <c r="F42" s="69">
        <v>2803</v>
      </c>
      <c r="G42" s="50">
        <v>0</v>
      </c>
      <c r="H42" s="51">
        <v>6795</v>
      </c>
      <c r="I42" s="69">
        <v>9598</v>
      </c>
      <c r="J42" s="51">
        <v>0</v>
      </c>
    </row>
    <row r="43" spans="1:10" ht="13">
      <c r="A43" s="31"/>
      <c r="B43" s="32"/>
      <c r="C43" s="32"/>
      <c r="D43" s="32"/>
      <c r="E43" s="32"/>
      <c r="F43" s="32"/>
      <c r="G43" s="32"/>
      <c r="H43" s="32"/>
      <c r="I43" s="32"/>
      <c r="J43" s="32"/>
    </row>
    <row r="44" spans="1:10" ht="12.75" customHeight="1">
      <c r="A44" s="262" t="s">
        <v>469</v>
      </c>
      <c r="B44" s="262"/>
      <c r="C44" s="262"/>
      <c r="D44" s="262"/>
      <c r="E44" s="33"/>
      <c r="F44" s="262" t="s">
        <v>470</v>
      </c>
      <c r="G44" s="262"/>
      <c r="H44" s="262"/>
      <c r="I44" s="262"/>
    </row>
    <row r="48" spans="1:10">
      <c r="A48" s="35" t="s">
        <v>75</v>
      </c>
    </row>
    <row r="49" spans="1:1">
      <c r="A49" s="35" t="s">
        <v>76</v>
      </c>
    </row>
    <row r="50" spans="1:1">
      <c r="A50" s="35" t="s">
        <v>77</v>
      </c>
    </row>
  </sheetData>
  <mergeCells count="12">
    <mergeCell ref="A44:D44"/>
    <mergeCell ref="F44:I44"/>
    <mergeCell ref="A4:A5"/>
    <mergeCell ref="B4:C4"/>
    <mergeCell ref="D4:E4"/>
    <mergeCell ref="F4:H4"/>
    <mergeCell ref="I4:J4"/>
    <mergeCell ref="A6:A7"/>
    <mergeCell ref="B6:C6"/>
    <mergeCell ref="D6:E6"/>
    <mergeCell ref="F6:H6"/>
    <mergeCell ref="I6:J6"/>
  </mergeCells>
  <conditionalFormatting sqref="B8:J43">
    <cfRule type="expression" dxfId="43" priority="1">
      <formula>X8&lt;&gt;0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32901-8C19-428E-BFD8-0E778DC3D92C}">
  <sheetPr codeName="Tabelle42">
    <tabColor rgb="FFFF0000"/>
  </sheetPr>
  <dimension ref="A1:Q50"/>
  <sheetViews>
    <sheetView workbookViewId="0">
      <selection activeCell="G18" sqref="G18"/>
    </sheetView>
  </sheetViews>
  <sheetFormatPr defaultColWidth="11.54296875" defaultRowHeight="12.5"/>
  <cols>
    <col min="1" max="1" width="8.7265625" style="4" customWidth="1"/>
    <col min="2" max="8" width="11.7265625" style="4" customWidth="1"/>
    <col min="9" max="17" width="11.7265625" style="34" customWidth="1"/>
    <col min="18" max="16384" width="11.54296875" style="4"/>
  </cols>
  <sheetData>
    <row r="1" spans="1:17" ht="13">
      <c r="A1" s="3" t="s">
        <v>549</v>
      </c>
      <c r="G1" s="5" t="s">
        <v>550</v>
      </c>
    </row>
    <row r="2" spans="1:17" ht="13">
      <c r="A2" s="3" t="s">
        <v>551</v>
      </c>
      <c r="G2" s="5" t="s">
        <v>552</v>
      </c>
    </row>
    <row r="4" spans="1:17" ht="12.75" customHeight="1">
      <c r="A4" s="270" t="s">
        <v>55</v>
      </c>
      <c r="B4" s="289" t="s">
        <v>553</v>
      </c>
      <c r="C4" s="295"/>
      <c r="D4" s="296"/>
      <c r="E4" s="289" t="s">
        <v>554</v>
      </c>
      <c r="F4" s="295"/>
      <c r="G4" s="296"/>
      <c r="I4" s="4"/>
      <c r="J4" s="4"/>
      <c r="K4" s="4"/>
      <c r="L4" s="4"/>
      <c r="M4" s="4"/>
      <c r="N4" s="4"/>
      <c r="O4" s="4"/>
      <c r="P4" s="4"/>
      <c r="Q4" s="4"/>
    </row>
    <row r="5" spans="1:17" ht="20">
      <c r="A5" s="271"/>
      <c r="B5" s="96" t="s">
        <v>555</v>
      </c>
      <c r="C5" s="97" t="s">
        <v>556</v>
      </c>
      <c r="D5" s="42" t="s">
        <v>61</v>
      </c>
      <c r="E5" s="97" t="s">
        <v>555</v>
      </c>
      <c r="F5" s="97" t="s">
        <v>556</v>
      </c>
      <c r="G5" s="42" t="s">
        <v>61</v>
      </c>
      <c r="I5" s="4"/>
      <c r="J5" s="4"/>
      <c r="K5" s="4"/>
      <c r="L5" s="4"/>
      <c r="M5" s="4"/>
      <c r="N5" s="4"/>
      <c r="O5" s="4"/>
      <c r="P5" s="4"/>
      <c r="Q5" s="4"/>
    </row>
    <row r="6" spans="1:17" ht="12.75" customHeight="1">
      <c r="A6" s="263" t="s">
        <v>62</v>
      </c>
      <c r="B6" s="285" t="s">
        <v>557</v>
      </c>
      <c r="C6" s="298"/>
      <c r="D6" s="299"/>
      <c r="E6" s="285" t="s">
        <v>558</v>
      </c>
      <c r="F6" s="298"/>
      <c r="G6" s="299"/>
      <c r="I6" s="4"/>
      <c r="J6" s="4"/>
      <c r="K6" s="4"/>
      <c r="L6" s="4"/>
      <c r="M6" s="4"/>
      <c r="N6" s="4"/>
      <c r="O6" s="4"/>
      <c r="P6" s="4"/>
      <c r="Q6" s="4"/>
    </row>
    <row r="7" spans="1:17" ht="20">
      <c r="A7" s="297"/>
      <c r="B7" s="174" t="s">
        <v>559</v>
      </c>
      <c r="C7" s="172" t="s">
        <v>560</v>
      </c>
      <c r="D7" s="175" t="s">
        <v>61</v>
      </c>
      <c r="E7" s="172" t="s">
        <v>559</v>
      </c>
      <c r="F7" s="172" t="s">
        <v>560</v>
      </c>
      <c r="G7" s="175" t="s">
        <v>61</v>
      </c>
      <c r="I7" s="4"/>
      <c r="J7" s="4"/>
      <c r="K7" s="4"/>
      <c r="L7" s="4"/>
      <c r="M7" s="4"/>
      <c r="N7" s="4"/>
      <c r="O7" s="4"/>
      <c r="P7" s="4"/>
      <c r="Q7" s="4"/>
    </row>
    <row r="8" spans="1:17">
      <c r="A8" s="192">
        <v>1990</v>
      </c>
      <c r="B8" s="15">
        <v>43</v>
      </c>
      <c r="C8" s="16">
        <v>54</v>
      </c>
      <c r="D8" s="46">
        <v>97</v>
      </c>
      <c r="E8" s="16">
        <v>15</v>
      </c>
      <c r="F8" s="16">
        <v>14</v>
      </c>
      <c r="G8" s="46">
        <v>29</v>
      </c>
      <c r="I8" s="4"/>
      <c r="J8" s="4"/>
      <c r="K8" s="4"/>
      <c r="L8" s="4"/>
      <c r="M8" s="4"/>
      <c r="N8" s="4"/>
      <c r="O8" s="4"/>
      <c r="P8" s="4"/>
      <c r="Q8" s="4"/>
    </row>
    <row r="9" spans="1:17">
      <c r="A9" s="157">
        <v>1991</v>
      </c>
      <c r="B9" s="125">
        <v>57</v>
      </c>
      <c r="C9" s="21">
        <v>66</v>
      </c>
      <c r="D9" s="47">
        <v>123</v>
      </c>
      <c r="E9" s="21">
        <v>20</v>
      </c>
      <c r="F9" s="21">
        <v>18</v>
      </c>
      <c r="G9" s="47">
        <v>38</v>
      </c>
      <c r="I9" s="4"/>
      <c r="J9" s="4"/>
      <c r="K9" s="4"/>
      <c r="L9" s="4"/>
      <c r="M9" s="4"/>
      <c r="N9" s="4"/>
      <c r="O9" s="4"/>
      <c r="P9" s="4"/>
      <c r="Q9" s="4"/>
    </row>
    <row r="10" spans="1:17">
      <c r="A10" s="157">
        <v>1992</v>
      </c>
      <c r="B10" s="125">
        <v>74</v>
      </c>
      <c r="C10" s="21">
        <v>76</v>
      </c>
      <c r="D10" s="47">
        <v>150</v>
      </c>
      <c r="E10" s="21">
        <v>26</v>
      </c>
      <c r="F10" s="21">
        <v>21</v>
      </c>
      <c r="G10" s="47">
        <v>47</v>
      </c>
      <c r="I10" s="4"/>
      <c r="J10" s="4"/>
      <c r="K10" s="4"/>
      <c r="L10" s="4"/>
      <c r="M10" s="4"/>
      <c r="N10" s="4"/>
      <c r="O10" s="4"/>
      <c r="P10" s="4"/>
      <c r="Q10" s="4"/>
    </row>
    <row r="11" spans="1:17">
      <c r="A11" s="157">
        <v>1993</v>
      </c>
      <c r="B11" s="125">
        <v>90</v>
      </c>
      <c r="C11" s="21">
        <v>89</v>
      </c>
      <c r="D11" s="47">
        <v>179</v>
      </c>
      <c r="E11" s="21">
        <v>32</v>
      </c>
      <c r="F11" s="21">
        <v>25</v>
      </c>
      <c r="G11" s="47">
        <v>57</v>
      </c>
      <c r="I11" s="4"/>
      <c r="J11" s="4"/>
      <c r="K11" s="4"/>
      <c r="L11" s="4"/>
      <c r="M11" s="4"/>
      <c r="N11" s="4"/>
      <c r="O11" s="4"/>
      <c r="P11" s="4"/>
      <c r="Q11" s="4"/>
    </row>
    <row r="12" spans="1:17">
      <c r="A12" s="157">
        <v>1994</v>
      </c>
      <c r="B12" s="125">
        <v>108</v>
      </c>
      <c r="C12" s="21">
        <v>105</v>
      </c>
      <c r="D12" s="47">
        <v>213</v>
      </c>
      <c r="E12" s="21">
        <v>39</v>
      </c>
      <c r="F12" s="21">
        <v>30</v>
      </c>
      <c r="G12" s="47">
        <v>69</v>
      </c>
      <c r="I12" s="4"/>
      <c r="J12" s="4"/>
      <c r="K12" s="4"/>
      <c r="L12" s="4"/>
      <c r="M12" s="4"/>
      <c r="N12" s="4"/>
      <c r="O12" s="4"/>
      <c r="P12" s="4"/>
      <c r="Q12" s="4"/>
    </row>
    <row r="13" spans="1:17">
      <c r="A13" s="157">
        <v>1995</v>
      </c>
      <c r="B13" s="125">
        <v>128</v>
      </c>
      <c r="C13" s="21">
        <v>123</v>
      </c>
      <c r="D13" s="47">
        <v>251</v>
      </c>
      <c r="E13" s="21">
        <v>48</v>
      </c>
      <c r="F13" s="21">
        <v>35</v>
      </c>
      <c r="G13" s="47">
        <v>83</v>
      </c>
      <c r="I13" s="4"/>
      <c r="J13" s="4"/>
      <c r="K13" s="4"/>
      <c r="L13" s="4"/>
      <c r="M13" s="4"/>
      <c r="N13" s="4"/>
      <c r="O13" s="4"/>
      <c r="P13" s="4"/>
      <c r="Q13" s="4"/>
    </row>
    <row r="14" spans="1:17">
      <c r="A14" s="157">
        <v>1996</v>
      </c>
      <c r="B14" s="125">
        <v>149</v>
      </c>
      <c r="C14" s="21">
        <v>143</v>
      </c>
      <c r="D14" s="47">
        <v>292</v>
      </c>
      <c r="E14" s="21">
        <v>56</v>
      </c>
      <c r="F14" s="21">
        <v>41</v>
      </c>
      <c r="G14" s="47">
        <v>97</v>
      </c>
      <c r="I14" s="4"/>
      <c r="J14" s="4"/>
      <c r="K14" s="4"/>
      <c r="L14" s="4"/>
      <c r="M14" s="4"/>
      <c r="N14" s="4"/>
      <c r="O14" s="4"/>
      <c r="P14" s="4"/>
      <c r="Q14" s="4"/>
    </row>
    <row r="15" spans="1:17">
      <c r="A15" s="157">
        <v>1997</v>
      </c>
      <c r="B15" s="125">
        <v>172</v>
      </c>
      <c r="C15" s="21">
        <v>159</v>
      </c>
      <c r="D15" s="47">
        <v>331</v>
      </c>
      <c r="E15" s="21">
        <v>65</v>
      </c>
      <c r="F15" s="21">
        <v>46</v>
      </c>
      <c r="G15" s="47">
        <v>111</v>
      </c>
      <c r="I15" s="4"/>
      <c r="J15" s="4"/>
      <c r="K15" s="4"/>
      <c r="L15" s="4"/>
      <c r="M15" s="4"/>
      <c r="N15" s="4"/>
      <c r="O15" s="4"/>
      <c r="P15" s="4"/>
      <c r="Q15" s="4"/>
    </row>
    <row r="16" spans="1:17">
      <c r="A16" s="157">
        <v>1998</v>
      </c>
      <c r="B16" s="125">
        <v>200</v>
      </c>
      <c r="C16" s="21">
        <v>173</v>
      </c>
      <c r="D16" s="47">
        <v>373</v>
      </c>
      <c r="E16" s="21">
        <v>76</v>
      </c>
      <c r="F16" s="21">
        <v>51</v>
      </c>
      <c r="G16" s="47">
        <v>127</v>
      </c>
      <c r="I16" s="4"/>
      <c r="J16" s="4"/>
      <c r="K16" s="4"/>
      <c r="L16" s="4"/>
      <c r="M16" s="4"/>
      <c r="N16" s="4"/>
      <c r="O16" s="4"/>
      <c r="P16" s="4"/>
      <c r="Q16" s="4"/>
    </row>
    <row r="17" spans="1:17">
      <c r="A17" s="157">
        <v>1999</v>
      </c>
      <c r="B17" s="125">
        <v>227</v>
      </c>
      <c r="C17" s="21">
        <v>186</v>
      </c>
      <c r="D17" s="47">
        <v>413</v>
      </c>
      <c r="E17" s="21">
        <v>87</v>
      </c>
      <c r="F17" s="21">
        <v>55</v>
      </c>
      <c r="G17" s="47">
        <v>142</v>
      </c>
      <c r="I17" s="4"/>
      <c r="J17" s="4"/>
      <c r="K17" s="4"/>
      <c r="L17" s="4"/>
      <c r="M17" s="4"/>
      <c r="N17" s="4"/>
      <c r="O17" s="4"/>
      <c r="P17" s="4"/>
      <c r="Q17" s="4"/>
    </row>
    <row r="18" spans="1:17">
      <c r="A18" s="157">
        <v>2000</v>
      </c>
      <c r="B18" s="125">
        <v>250</v>
      </c>
      <c r="C18" s="21">
        <v>195</v>
      </c>
      <c r="D18" s="47">
        <v>445</v>
      </c>
      <c r="E18" s="21">
        <v>97</v>
      </c>
      <c r="F18" s="21">
        <v>57</v>
      </c>
      <c r="G18" s="47">
        <v>154</v>
      </c>
      <c r="I18" s="4"/>
      <c r="J18" s="4"/>
      <c r="K18" s="4"/>
      <c r="L18" s="4"/>
      <c r="M18" s="4"/>
      <c r="N18" s="4"/>
      <c r="O18" s="4"/>
      <c r="P18" s="4"/>
      <c r="Q18" s="4"/>
    </row>
    <row r="19" spans="1:17">
      <c r="A19" s="157">
        <v>2001</v>
      </c>
      <c r="B19" s="125">
        <v>272</v>
      </c>
      <c r="C19" s="21">
        <v>203</v>
      </c>
      <c r="D19" s="47">
        <v>475</v>
      </c>
      <c r="E19" s="21">
        <v>107</v>
      </c>
      <c r="F19" s="21">
        <v>60</v>
      </c>
      <c r="G19" s="47">
        <v>167</v>
      </c>
      <c r="I19" s="4"/>
      <c r="J19" s="4"/>
      <c r="K19" s="4"/>
      <c r="L19" s="4"/>
      <c r="M19" s="4"/>
      <c r="N19" s="4"/>
      <c r="O19" s="4"/>
      <c r="P19" s="4"/>
      <c r="Q19" s="4"/>
    </row>
    <row r="20" spans="1:17">
      <c r="A20" s="157">
        <v>2002</v>
      </c>
      <c r="B20" s="125">
        <v>294</v>
      </c>
      <c r="C20" s="21">
        <v>208</v>
      </c>
      <c r="D20" s="47">
        <v>502</v>
      </c>
      <c r="E20" s="21">
        <v>117</v>
      </c>
      <c r="F20" s="21">
        <v>62</v>
      </c>
      <c r="G20" s="47">
        <v>179</v>
      </c>
      <c r="I20" s="4"/>
      <c r="J20" s="4"/>
      <c r="K20" s="4"/>
      <c r="L20" s="4"/>
      <c r="M20" s="4"/>
      <c r="N20" s="4"/>
      <c r="O20" s="4"/>
      <c r="P20" s="4"/>
      <c r="Q20" s="4"/>
    </row>
    <row r="21" spans="1:17">
      <c r="A21" s="157">
        <v>2003</v>
      </c>
      <c r="B21" s="125">
        <v>316</v>
      </c>
      <c r="C21" s="21">
        <v>209</v>
      </c>
      <c r="D21" s="47">
        <v>525</v>
      </c>
      <c r="E21" s="21">
        <v>127</v>
      </c>
      <c r="F21" s="21">
        <v>62</v>
      </c>
      <c r="G21" s="47">
        <v>189</v>
      </c>
      <c r="I21" s="4"/>
      <c r="J21" s="4"/>
      <c r="K21" s="4"/>
      <c r="L21" s="4"/>
      <c r="M21" s="4"/>
      <c r="N21" s="4"/>
      <c r="O21" s="4"/>
      <c r="P21" s="4"/>
      <c r="Q21" s="4"/>
    </row>
    <row r="22" spans="1:17">
      <c r="A22" s="157">
        <v>2004</v>
      </c>
      <c r="B22" s="125">
        <v>340</v>
      </c>
      <c r="C22" s="21">
        <v>211</v>
      </c>
      <c r="D22" s="47">
        <v>551</v>
      </c>
      <c r="E22" s="21">
        <v>138</v>
      </c>
      <c r="F22" s="21">
        <v>63</v>
      </c>
      <c r="G22" s="47">
        <v>201</v>
      </c>
      <c r="I22" s="4"/>
      <c r="J22" s="4"/>
      <c r="K22" s="4"/>
      <c r="L22" s="4"/>
      <c r="M22" s="4"/>
      <c r="N22" s="4"/>
      <c r="O22" s="4"/>
      <c r="P22" s="4"/>
      <c r="Q22" s="4"/>
    </row>
    <row r="23" spans="1:17">
      <c r="A23" s="157">
        <v>2005</v>
      </c>
      <c r="B23" s="125">
        <v>369</v>
      </c>
      <c r="C23" s="21">
        <v>213</v>
      </c>
      <c r="D23" s="47">
        <v>582</v>
      </c>
      <c r="E23" s="21">
        <v>151</v>
      </c>
      <c r="F23" s="21">
        <v>64</v>
      </c>
      <c r="G23" s="47">
        <v>215</v>
      </c>
      <c r="I23" s="4"/>
      <c r="J23" s="4"/>
      <c r="K23" s="4"/>
      <c r="L23" s="4"/>
      <c r="M23" s="4"/>
      <c r="N23" s="4"/>
      <c r="O23" s="4"/>
      <c r="P23" s="4"/>
      <c r="Q23" s="4"/>
    </row>
    <row r="24" spans="1:17">
      <c r="A24" s="157">
        <v>2006</v>
      </c>
      <c r="B24" s="125">
        <v>408</v>
      </c>
      <c r="C24" s="21">
        <v>213</v>
      </c>
      <c r="D24" s="47">
        <v>621</v>
      </c>
      <c r="E24" s="21">
        <v>169</v>
      </c>
      <c r="F24" s="21">
        <v>64</v>
      </c>
      <c r="G24" s="47">
        <v>233</v>
      </c>
      <c r="I24" s="4"/>
      <c r="J24" s="4"/>
      <c r="K24" s="4"/>
      <c r="L24" s="4"/>
      <c r="M24" s="4"/>
      <c r="N24" s="4"/>
      <c r="O24" s="4"/>
      <c r="P24" s="4"/>
      <c r="Q24" s="4"/>
    </row>
    <row r="25" spans="1:17">
      <c r="A25" s="157">
        <v>2007</v>
      </c>
      <c r="B25" s="125">
        <v>459</v>
      </c>
      <c r="C25" s="21">
        <v>212</v>
      </c>
      <c r="D25" s="47">
        <v>671</v>
      </c>
      <c r="E25" s="21">
        <v>192</v>
      </c>
      <c r="F25" s="21">
        <v>64</v>
      </c>
      <c r="G25" s="47">
        <v>256</v>
      </c>
      <c r="I25" s="4"/>
      <c r="J25" s="4"/>
      <c r="K25" s="4"/>
      <c r="L25" s="4"/>
      <c r="M25" s="4"/>
      <c r="N25" s="4"/>
      <c r="O25" s="4"/>
      <c r="P25" s="4"/>
      <c r="Q25" s="4"/>
    </row>
    <row r="26" spans="1:17">
      <c r="A26" s="157">
        <v>2008</v>
      </c>
      <c r="B26" s="125">
        <v>540</v>
      </c>
      <c r="C26" s="21">
        <v>212</v>
      </c>
      <c r="D26" s="47">
        <v>752</v>
      </c>
      <c r="E26" s="21">
        <v>226</v>
      </c>
      <c r="F26" s="21">
        <v>64</v>
      </c>
      <c r="G26" s="47">
        <v>290</v>
      </c>
      <c r="I26" s="4"/>
      <c r="J26" s="4"/>
      <c r="K26" s="4"/>
      <c r="L26" s="4"/>
      <c r="M26" s="4"/>
      <c r="N26" s="4"/>
      <c r="O26" s="4"/>
      <c r="P26" s="4"/>
      <c r="Q26" s="4"/>
    </row>
    <row r="27" spans="1:17">
      <c r="A27" s="157">
        <v>2009</v>
      </c>
      <c r="B27" s="125">
        <v>660</v>
      </c>
      <c r="C27" s="21">
        <v>212</v>
      </c>
      <c r="D27" s="47">
        <v>872</v>
      </c>
      <c r="E27" s="21">
        <v>279</v>
      </c>
      <c r="F27" s="21">
        <v>65</v>
      </c>
      <c r="G27" s="47">
        <v>344</v>
      </c>
      <c r="I27" s="4"/>
      <c r="J27" s="4"/>
      <c r="K27" s="4"/>
      <c r="L27" s="4"/>
      <c r="M27" s="4"/>
      <c r="N27" s="4"/>
      <c r="O27" s="4"/>
      <c r="P27" s="4"/>
      <c r="Q27" s="4"/>
    </row>
    <row r="28" spans="1:17">
      <c r="A28" s="157">
        <v>2010</v>
      </c>
      <c r="B28" s="125">
        <v>795</v>
      </c>
      <c r="C28" s="21">
        <v>213</v>
      </c>
      <c r="D28" s="47">
        <v>1008</v>
      </c>
      <c r="E28" s="21">
        <v>338</v>
      </c>
      <c r="F28" s="21">
        <v>65</v>
      </c>
      <c r="G28" s="47">
        <v>403</v>
      </c>
      <c r="I28" s="4"/>
      <c r="J28" s="4"/>
      <c r="K28" s="4"/>
      <c r="L28" s="4"/>
      <c r="M28" s="4"/>
      <c r="N28" s="4"/>
      <c r="O28" s="4"/>
      <c r="P28" s="4"/>
      <c r="Q28" s="4"/>
    </row>
    <row r="29" spans="1:17">
      <c r="A29" s="157">
        <v>2011</v>
      </c>
      <c r="B29" s="125">
        <v>926</v>
      </c>
      <c r="C29" s="21">
        <v>212</v>
      </c>
      <c r="D29" s="47">
        <v>1138</v>
      </c>
      <c r="E29" s="21">
        <v>395</v>
      </c>
      <c r="F29" s="21">
        <v>65</v>
      </c>
      <c r="G29" s="47">
        <v>460</v>
      </c>
      <c r="I29" s="4"/>
      <c r="J29" s="4"/>
      <c r="K29" s="4"/>
      <c r="L29" s="4"/>
      <c r="M29" s="4"/>
      <c r="N29" s="4"/>
      <c r="O29" s="4"/>
      <c r="P29" s="4"/>
      <c r="Q29" s="4"/>
    </row>
    <row r="30" spans="1:17">
      <c r="A30" s="157">
        <v>2012</v>
      </c>
      <c r="B30" s="125">
        <v>1054</v>
      </c>
      <c r="C30" s="21">
        <v>212</v>
      </c>
      <c r="D30" s="47">
        <v>1266</v>
      </c>
      <c r="E30" s="21">
        <v>449</v>
      </c>
      <c r="F30" s="21">
        <v>65</v>
      </c>
      <c r="G30" s="47">
        <v>514</v>
      </c>
      <c r="I30" s="4"/>
      <c r="J30" s="4"/>
      <c r="K30" s="4"/>
      <c r="L30" s="4"/>
      <c r="M30" s="4"/>
      <c r="N30" s="4"/>
      <c r="O30" s="4"/>
      <c r="P30" s="4"/>
      <c r="Q30" s="4"/>
    </row>
    <row r="31" spans="1:17">
      <c r="A31" s="157">
        <v>2013</v>
      </c>
      <c r="B31" s="125">
        <v>1173</v>
      </c>
      <c r="C31" s="21">
        <v>212</v>
      </c>
      <c r="D31" s="47">
        <v>1385</v>
      </c>
      <c r="E31" s="21">
        <v>501</v>
      </c>
      <c r="F31" s="21">
        <v>66</v>
      </c>
      <c r="G31" s="47">
        <v>567</v>
      </c>
      <c r="I31" s="4"/>
      <c r="J31" s="4"/>
      <c r="K31" s="4"/>
      <c r="L31" s="4"/>
      <c r="M31" s="4"/>
      <c r="N31" s="4"/>
      <c r="O31" s="4"/>
      <c r="P31" s="4"/>
      <c r="Q31" s="4"/>
    </row>
    <row r="32" spans="1:17">
      <c r="A32" s="157">
        <v>2014</v>
      </c>
      <c r="B32" s="125">
        <v>1276</v>
      </c>
      <c r="C32" s="21">
        <v>208</v>
      </c>
      <c r="D32" s="47">
        <v>1484</v>
      </c>
      <c r="E32" s="21">
        <v>549</v>
      </c>
      <c r="F32" s="21">
        <v>65</v>
      </c>
      <c r="G32" s="47">
        <v>614</v>
      </c>
      <c r="I32" s="4"/>
      <c r="J32" s="4"/>
      <c r="K32" s="4"/>
      <c r="L32" s="4"/>
      <c r="M32" s="4"/>
      <c r="N32" s="4"/>
      <c r="O32" s="4"/>
      <c r="P32" s="4"/>
      <c r="Q32" s="4"/>
    </row>
    <row r="33" spans="1:17">
      <c r="A33" s="157">
        <v>2015</v>
      </c>
      <c r="B33" s="125">
        <v>1363</v>
      </c>
      <c r="C33" s="21">
        <v>203</v>
      </c>
      <c r="D33" s="47">
        <v>1566</v>
      </c>
      <c r="E33" s="21">
        <v>592</v>
      </c>
      <c r="F33" s="21">
        <v>64</v>
      </c>
      <c r="G33" s="47">
        <v>656</v>
      </c>
      <c r="I33" s="4"/>
      <c r="J33" s="4"/>
      <c r="K33" s="4"/>
      <c r="L33" s="4"/>
      <c r="M33" s="4"/>
      <c r="N33" s="4"/>
      <c r="O33" s="4"/>
      <c r="P33" s="4"/>
      <c r="Q33" s="4"/>
    </row>
    <row r="34" spans="1:17">
      <c r="A34" s="157">
        <v>2016</v>
      </c>
      <c r="B34" s="125">
        <v>1422</v>
      </c>
      <c r="C34" s="21">
        <v>198</v>
      </c>
      <c r="D34" s="47">
        <v>1620</v>
      </c>
      <c r="E34" s="21">
        <v>621</v>
      </c>
      <c r="F34" s="21">
        <v>62</v>
      </c>
      <c r="G34" s="47">
        <v>683</v>
      </c>
      <c r="I34" s="4"/>
      <c r="J34" s="4"/>
      <c r="K34" s="4"/>
      <c r="L34" s="4"/>
      <c r="M34" s="4"/>
      <c r="N34" s="4"/>
      <c r="O34" s="4"/>
      <c r="P34" s="4"/>
      <c r="Q34" s="4"/>
    </row>
    <row r="35" spans="1:17">
      <c r="A35" s="157">
        <v>2017</v>
      </c>
      <c r="B35" s="125">
        <v>1466</v>
      </c>
      <c r="C35" s="21">
        <v>193</v>
      </c>
      <c r="D35" s="47">
        <v>1659</v>
      </c>
      <c r="E35" s="21">
        <v>643</v>
      </c>
      <c r="F35" s="21">
        <v>61</v>
      </c>
      <c r="G35" s="47">
        <v>704</v>
      </c>
      <c r="I35" s="4"/>
      <c r="J35" s="4"/>
      <c r="K35" s="4"/>
      <c r="L35" s="4"/>
      <c r="M35" s="4"/>
      <c r="N35" s="4"/>
      <c r="O35" s="4"/>
      <c r="P35" s="4"/>
      <c r="Q35" s="4"/>
    </row>
    <row r="36" spans="1:17">
      <c r="A36" s="157">
        <v>2018</v>
      </c>
      <c r="B36" s="125">
        <v>1507</v>
      </c>
      <c r="C36" s="21">
        <v>187</v>
      </c>
      <c r="D36" s="47">
        <v>1694</v>
      </c>
      <c r="E36" s="21">
        <v>663</v>
      </c>
      <c r="F36" s="21">
        <v>60</v>
      </c>
      <c r="G36" s="47">
        <v>723</v>
      </c>
      <c r="I36" s="4"/>
      <c r="J36" s="4"/>
      <c r="K36" s="4"/>
      <c r="L36" s="4"/>
      <c r="M36" s="4"/>
      <c r="N36" s="4"/>
      <c r="O36" s="4"/>
      <c r="P36" s="4"/>
      <c r="Q36" s="4"/>
    </row>
    <row r="37" spans="1:17">
      <c r="A37" s="157">
        <v>2019</v>
      </c>
      <c r="B37" s="125">
        <v>1532</v>
      </c>
      <c r="C37" s="21">
        <v>182</v>
      </c>
      <c r="D37" s="47">
        <v>1714</v>
      </c>
      <c r="E37" s="21">
        <v>676</v>
      </c>
      <c r="F37" s="21">
        <v>58</v>
      </c>
      <c r="G37" s="47">
        <v>734</v>
      </c>
    </row>
    <row r="38" spans="1:17">
      <c r="A38" s="157">
        <v>2020</v>
      </c>
      <c r="B38" s="125">
        <v>1545</v>
      </c>
      <c r="C38" s="21">
        <v>176</v>
      </c>
      <c r="D38" s="47">
        <v>1721</v>
      </c>
      <c r="E38" s="21">
        <v>682</v>
      </c>
      <c r="F38" s="21">
        <v>57</v>
      </c>
      <c r="G38" s="47">
        <v>739</v>
      </c>
    </row>
    <row r="39" spans="1:17">
      <c r="A39" s="157">
        <v>2021</v>
      </c>
      <c r="B39" s="125">
        <v>1549</v>
      </c>
      <c r="C39" s="21">
        <v>170</v>
      </c>
      <c r="D39" s="47">
        <v>1719</v>
      </c>
      <c r="E39" s="21">
        <v>684</v>
      </c>
      <c r="F39" s="21">
        <v>55</v>
      </c>
      <c r="G39" s="47">
        <v>739</v>
      </c>
    </row>
    <row r="40" spans="1:17">
      <c r="A40" s="157">
        <v>2022</v>
      </c>
      <c r="B40" s="125">
        <v>1544</v>
      </c>
      <c r="C40" s="21">
        <v>164</v>
      </c>
      <c r="D40" s="47">
        <v>1708</v>
      </c>
      <c r="E40" s="21">
        <v>682</v>
      </c>
      <c r="F40" s="21">
        <v>54</v>
      </c>
      <c r="G40" s="47">
        <v>736</v>
      </c>
    </row>
    <row r="41" spans="1:17">
      <c r="A41" s="157">
        <v>2023</v>
      </c>
      <c r="B41" s="125">
        <v>1536</v>
      </c>
      <c r="C41" s="21">
        <v>158</v>
      </c>
      <c r="D41" s="47">
        <v>1694</v>
      </c>
      <c r="E41" s="21">
        <v>678</v>
      </c>
      <c r="F41" s="21">
        <v>52</v>
      </c>
      <c r="G41" s="47">
        <v>730</v>
      </c>
    </row>
    <row r="42" spans="1:17" ht="13">
      <c r="A42" s="159">
        <v>2024</v>
      </c>
      <c r="B42" s="69">
        <v>1519</v>
      </c>
      <c r="C42" s="50">
        <v>152</v>
      </c>
      <c r="D42" s="51">
        <v>1671</v>
      </c>
      <c r="E42" s="50">
        <v>670</v>
      </c>
      <c r="F42" s="50">
        <v>51</v>
      </c>
      <c r="G42" s="51">
        <v>721</v>
      </c>
    </row>
    <row r="43" spans="1:17" ht="13">
      <c r="A43" s="31"/>
      <c r="B43" s="32"/>
      <c r="C43" s="32"/>
      <c r="D43" s="32"/>
      <c r="E43" s="32"/>
      <c r="F43" s="32"/>
      <c r="G43" s="32"/>
    </row>
    <row r="44" spans="1:17" ht="12.75" customHeight="1">
      <c r="A44" s="262" t="s">
        <v>469</v>
      </c>
      <c r="B44" s="262"/>
      <c r="C44" s="262"/>
      <c r="D44" s="262"/>
      <c r="E44" s="294" t="s">
        <v>470</v>
      </c>
      <c r="F44" s="294"/>
      <c r="G44" s="294"/>
      <c r="H44" s="294"/>
    </row>
    <row r="48" spans="1:17">
      <c r="A48" s="35" t="s">
        <v>75</v>
      </c>
      <c r="I48" s="4"/>
      <c r="J48" s="4"/>
      <c r="K48" s="4"/>
      <c r="L48" s="4"/>
      <c r="M48" s="4"/>
      <c r="N48" s="4"/>
      <c r="O48" s="4"/>
      <c r="P48" s="4"/>
      <c r="Q48" s="4"/>
    </row>
    <row r="49" spans="1:17">
      <c r="A49" s="35" t="s">
        <v>76</v>
      </c>
      <c r="I49" s="4"/>
      <c r="J49" s="4"/>
      <c r="K49" s="4"/>
      <c r="L49" s="4"/>
      <c r="M49" s="4"/>
      <c r="N49" s="4"/>
      <c r="O49" s="4"/>
      <c r="P49" s="4"/>
      <c r="Q49" s="4"/>
    </row>
    <row r="50" spans="1:17">
      <c r="A50" s="35" t="s">
        <v>77</v>
      </c>
      <c r="I50" s="4"/>
      <c r="J50" s="4"/>
      <c r="K50" s="4"/>
      <c r="L50" s="4"/>
      <c r="M50" s="4"/>
      <c r="N50" s="4"/>
      <c r="O50" s="4"/>
      <c r="P50" s="4"/>
      <c r="Q50" s="4"/>
    </row>
  </sheetData>
  <mergeCells count="8">
    <mergeCell ref="A44:D44"/>
    <mergeCell ref="E44:H44"/>
    <mergeCell ref="A4:A5"/>
    <mergeCell ref="B4:D4"/>
    <mergeCell ref="E4:G4"/>
    <mergeCell ref="A6:A7"/>
    <mergeCell ref="B6:D6"/>
    <mergeCell ref="E6:G6"/>
  </mergeCells>
  <conditionalFormatting sqref="B8:G43">
    <cfRule type="expression" dxfId="42" priority="1">
      <formula>AB8&lt;&gt;0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FECCF-1817-408A-9B09-229FC64FE687}">
  <sheetPr codeName="Tabelle35">
    <tabColor rgb="FFFF0000"/>
  </sheetPr>
  <dimension ref="A1:Q68"/>
  <sheetViews>
    <sheetView workbookViewId="0">
      <selection activeCell="M7" sqref="M7"/>
    </sheetView>
  </sheetViews>
  <sheetFormatPr defaultColWidth="11.54296875" defaultRowHeight="12.5"/>
  <cols>
    <col min="1" max="1" width="8.7265625" style="4" customWidth="1"/>
    <col min="2" max="14" width="10.7265625" style="4" customWidth="1"/>
    <col min="15" max="15" width="12.453125" style="4" customWidth="1"/>
    <col min="16" max="16384" width="11.54296875" style="4"/>
  </cols>
  <sheetData>
    <row r="1" spans="1:16" ht="13">
      <c r="A1" s="3" t="s">
        <v>418</v>
      </c>
      <c r="O1" s="5" t="s">
        <v>419</v>
      </c>
    </row>
    <row r="2" spans="1:16" ht="13">
      <c r="A2" s="3" t="s">
        <v>420</v>
      </c>
      <c r="O2" s="5" t="s">
        <v>421</v>
      </c>
    </row>
    <row r="4" spans="1:16" ht="15" customHeight="1">
      <c r="A4" s="290" t="s">
        <v>55</v>
      </c>
      <c r="B4" s="259" t="s">
        <v>422</v>
      </c>
      <c r="C4" s="260"/>
      <c r="D4" s="260"/>
      <c r="E4" s="260"/>
      <c r="F4" s="260"/>
      <c r="G4" s="260"/>
      <c r="H4" s="260"/>
      <c r="I4" s="260"/>
      <c r="J4" s="260"/>
      <c r="K4" s="259" t="s">
        <v>423</v>
      </c>
      <c r="L4" s="261"/>
      <c r="M4" s="259" t="s">
        <v>424</v>
      </c>
      <c r="N4" s="261"/>
      <c r="O4" s="272" t="s">
        <v>425</v>
      </c>
    </row>
    <row r="5" spans="1:16" ht="25.5" customHeight="1">
      <c r="A5" s="293"/>
      <c r="B5" s="89" t="s">
        <v>328</v>
      </c>
      <c r="C5" s="12" t="s">
        <v>329</v>
      </c>
      <c r="D5" s="12" t="s">
        <v>88</v>
      </c>
      <c r="E5" s="12" t="s">
        <v>83</v>
      </c>
      <c r="F5" s="12" t="s">
        <v>426</v>
      </c>
      <c r="G5" s="12" t="s">
        <v>427</v>
      </c>
      <c r="H5" s="12" t="s">
        <v>161</v>
      </c>
      <c r="I5" s="12" t="s">
        <v>428</v>
      </c>
      <c r="J5" s="13" t="s">
        <v>429</v>
      </c>
      <c r="K5" s="89" t="s">
        <v>430</v>
      </c>
      <c r="L5" s="100" t="s">
        <v>161</v>
      </c>
      <c r="M5" s="89" t="s">
        <v>177</v>
      </c>
      <c r="N5" s="100" t="s">
        <v>161</v>
      </c>
      <c r="O5" s="269"/>
    </row>
    <row r="6" spans="1:16" ht="15" customHeight="1">
      <c r="A6" s="300" t="s">
        <v>62</v>
      </c>
      <c r="B6" s="301" t="s">
        <v>431</v>
      </c>
      <c r="C6" s="302"/>
      <c r="D6" s="302"/>
      <c r="E6" s="302"/>
      <c r="F6" s="302"/>
      <c r="G6" s="302"/>
      <c r="H6" s="302"/>
      <c r="I6" s="302"/>
      <c r="J6" s="303"/>
      <c r="K6" s="259" t="s">
        <v>432</v>
      </c>
      <c r="L6" s="261"/>
      <c r="M6" s="259" t="s">
        <v>433</v>
      </c>
      <c r="N6" s="261"/>
      <c r="O6" s="272" t="s">
        <v>434</v>
      </c>
    </row>
    <row r="7" spans="1:16" ht="25.5" customHeight="1">
      <c r="A7" s="293"/>
      <c r="B7" s="89" t="s">
        <v>338</v>
      </c>
      <c r="C7" s="12" t="s">
        <v>339</v>
      </c>
      <c r="D7" s="12" t="s">
        <v>97</v>
      </c>
      <c r="E7" s="12" t="s">
        <v>92</v>
      </c>
      <c r="F7" s="12" t="s">
        <v>435</v>
      </c>
      <c r="G7" s="12" t="s">
        <v>436</v>
      </c>
      <c r="H7" s="12" t="s">
        <v>164</v>
      </c>
      <c r="I7" s="12" t="s">
        <v>437</v>
      </c>
      <c r="J7" s="13" t="s">
        <v>438</v>
      </c>
      <c r="K7" s="89" t="s">
        <v>439</v>
      </c>
      <c r="L7" s="100" t="s">
        <v>164</v>
      </c>
      <c r="M7" s="89" t="s">
        <v>182</v>
      </c>
      <c r="N7" s="100" t="s">
        <v>164</v>
      </c>
      <c r="O7" s="269"/>
    </row>
    <row r="8" spans="1:16" ht="12.75" customHeight="1">
      <c r="A8" s="143">
        <v>1978</v>
      </c>
      <c r="B8" s="15"/>
      <c r="C8" s="16"/>
      <c r="D8" s="16"/>
      <c r="E8" s="16"/>
      <c r="F8" s="16">
        <v>4800</v>
      </c>
      <c r="G8" s="16"/>
      <c r="H8" s="16"/>
      <c r="I8" s="16"/>
      <c r="J8" s="17"/>
      <c r="K8" s="144"/>
      <c r="L8" s="46"/>
      <c r="M8" s="144">
        <v>6630</v>
      </c>
      <c r="N8" s="46"/>
      <c r="O8" s="145">
        <v>5760</v>
      </c>
      <c r="P8" s="24"/>
    </row>
    <row r="9" spans="1:16">
      <c r="A9" s="141">
        <v>1979</v>
      </c>
      <c r="B9" s="20"/>
      <c r="C9" s="21"/>
      <c r="D9" s="21"/>
      <c r="E9" s="21"/>
      <c r="F9" s="21">
        <v>6360</v>
      </c>
      <c r="G9" s="21"/>
      <c r="H9" s="21"/>
      <c r="I9" s="21">
        <v>20</v>
      </c>
      <c r="J9" s="22"/>
      <c r="K9" s="125"/>
      <c r="L9" s="47"/>
      <c r="M9" s="125">
        <v>6980</v>
      </c>
      <c r="N9" s="47"/>
      <c r="O9" s="103">
        <v>6070</v>
      </c>
      <c r="P9" s="24"/>
    </row>
    <row r="10" spans="1:16">
      <c r="A10" s="141">
        <v>1980</v>
      </c>
      <c r="B10" s="20"/>
      <c r="C10" s="21"/>
      <c r="D10" s="21"/>
      <c r="E10" s="21"/>
      <c r="F10" s="21">
        <v>6400</v>
      </c>
      <c r="G10" s="21"/>
      <c r="H10" s="21"/>
      <c r="I10" s="21">
        <v>120</v>
      </c>
      <c r="J10" s="22"/>
      <c r="K10" s="125"/>
      <c r="L10" s="47"/>
      <c r="M10" s="125">
        <v>8920</v>
      </c>
      <c r="N10" s="47"/>
      <c r="O10" s="103">
        <v>7920</v>
      </c>
      <c r="P10" s="24"/>
    </row>
    <row r="11" spans="1:16">
      <c r="A11" s="141">
        <v>1981</v>
      </c>
      <c r="B11" s="20"/>
      <c r="C11" s="21"/>
      <c r="D11" s="21"/>
      <c r="E11" s="21"/>
      <c r="F11" s="21">
        <v>9440</v>
      </c>
      <c r="G11" s="21"/>
      <c r="H11" s="21"/>
      <c r="I11" s="21">
        <v>430</v>
      </c>
      <c r="J11" s="22"/>
      <c r="K11" s="125"/>
      <c r="L11" s="47"/>
      <c r="M11" s="125">
        <v>9320</v>
      </c>
      <c r="N11" s="47"/>
      <c r="O11" s="103">
        <v>8320</v>
      </c>
      <c r="P11" s="24"/>
    </row>
    <row r="12" spans="1:16">
      <c r="A12" s="141">
        <v>1982</v>
      </c>
      <c r="B12" s="20"/>
      <c r="C12" s="21"/>
      <c r="D12" s="21"/>
      <c r="E12" s="21"/>
      <c r="F12" s="21">
        <v>11320</v>
      </c>
      <c r="G12" s="21"/>
      <c r="H12" s="21"/>
      <c r="I12" s="21">
        <v>490</v>
      </c>
      <c r="J12" s="22"/>
      <c r="K12" s="125"/>
      <c r="L12" s="47"/>
      <c r="M12" s="125">
        <v>9410</v>
      </c>
      <c r="N12" s="47"/>
      <c r="O12" s="103">
        <v>8430</v>
      </c>
      <c r="P12" s="24"/>
    </row>
    <row r="13" spans="1:16">
      <c r="A13" s="141">
        <v>1983</v>
      </c>
      <c r="B13" s="20"/>
      <c r="C13" s="21"/>
      <c r="D13" s="21"/>
      <c r="E13" s="21"/>
      <c r="F13" s="21">
        <v>10880</v>
      </c>
      <c r="G13" s="21"/>
      <c r="H13" s="21"/>
      <c r="I13" s="21">
        <v>480</v>
      </c>
      <c r="J13" s="22"/>
      <c r="K13" s="125"/>
      <c r="L13" s="47"/>
      <c r="M13" s="125">
        <v>9610</v>
      </c>
      <c r="N13" s="47"/>
      <c r="O13" s="103">
        <v>8610</v>
      </c>
      <c r="P13" s="24"/>
    </row>
    <row r="14" spans="1:16">
      <c r="A14" s="141">
        <v>1984</v>
      </c>
      <c r="B14" s="20"/>
      <c r="C14" s="21"/>
      <c r="D14" s="21"/>
      <c r="E14" s="21"/>
      <c r="F14" s="21">
        <v>11640</v>
      </c>
      <c r="G14" s="21"/>
      <c r="H14" s="21"/>
      <c r="I14" s="21">
        <v>520</v>
      </c>
      <c r="J14" s="22"/>
      <c r="K14" s="125"/>
      <c r="L14" s="47"/>
      <c r="M14" s="125">
        <v>10210</v>
      </c>
      <c r="N14" s="47"/>
      <c r="O14" s="103">
        <v>9210</v>
      </c>
      <c r="P14" s="24"/>
    </row>
    <row r="15" spans="1:16">
      <c r="A15" s="141">
        <v>1985</v>
      </c>
      <c r="B15" s="20"/>
      <c r="C15" s="21"/>
      <c r="D15" s="21"/>
      <c r="E15" s="21"/>
      <c r="F15" s="21">
        <v>13990</v>
      </c>
      <c r="G15" s="21"/>
      <c r="H15" s="21"/>
      <c r="I15" s="21">
        <v>520</v>
      </c>
      <c r="J15" s="22"/>
      <c r="K15" s="125"/>
      <c r="L15" s="47"/>
      <c r="M15" s="125">
        <v>10430</v>
      </c>
      <c r="N15" s="47"/>
      <c r="O15" s="103">
        <v>9430</v>
      </c>
      <c r="P15" s="24"/>
    </row>
    <row r="16" spans="1:16">
      <c r="A16" s="141">
        <v>1986</v>
      </c>
      <c r="B16" s="20"/>
      <c r="C16" s="21"/>
      <c r="D16" s="21"/>
      <c r="E16" s="21"/>
      <c r="F16" s="21">
        <v>16040</v>
      </c>
      <c r="G16" s="21"/>
      <c r="H16" s="21"/>
      <c r="I16" s="21">
        <v>780</v>
      </c>
      <c r="J16" s="22"/>
      <c r="K16" s="125"/>
      <c r="L16" s="47"/>
      <c r="M16" s="125">
        <v>10920</v>
      </c>
      <c r="N16" s="47"/>
      <c r="O16" s="103">
        <v>9860</v>
      </c>
      <c r="P16" s="24"/>
    </row>
    <row r="17" spans="1:17">
      <c r="A17" s="141">
        <v>1987</v>
      </c>
      <c r="B17" s="20"/>
      <c r="C17" s="21"/>
      <c r="D17" s="21"/>
      <c r="E17" s="21"/>
      <c r="F17" s="21">
        <v>16120</v>
      </c>
      <c r="G17" s="21"/>
      <c r="H17" s="21"/>
      <c r="I17" s="21">
        <v>860</v>
      </c>
      <c r="J17" s="22"/>
      <c r="K17" s="125"/>
      <c r="L17" s="47"/>
      <c r="M17" s="125">
        <v>12350</v>
      </c>
      <c r="N17" s="47"/>
      <c r="O17" s="103">
        <v>11250</v>
      </c>
      <c r="P17" s="24"/>
    </row>
    <row r="18" spans="1:17">
      <c r="A18" s="141">
        <v>1988</v>
      </c>
      <c r="B18" s="20"/>
      <c r="C18" s="21"/>
      <c r="D18" s="21"/>
      <c r="E18" s="21"/>
      <c r="F18" s="21">
        <v>16200</v>
      </c>
      <c r="G18" s="21"/>
      <c r="H18" s="21"/>
      <c r="I18" s="21">
        <v>830</v>
      </c>
      <c r="J18" s="22"/>
      <c r="K18" s="125"/>
      <c r="L18" s="47"/>
      <c r="M18" s="125">
        <v>11790</v>
      </c>
      <c r="N18" s="47"/>
      <c r="O18" s="103">
        <v>10720</v>
      </c>
      <c r="P18" s="24"/>
    </row>
    <row r="19" spans="1:17">
      <c r="A19" s="141">
        <v>1989</v>
      </c>
      <c r="B19" s="20">
        <v>640</v>
      </c>
      <c r="C19" s="21">
        <v>460</v>
      </c>
      <c r="D19" s="21">
        <v>3710</v>
      </c>
      <c r="E19" s="21">
        <v>720</v>
      </c>
      <c r="F19" s="21">
        <v>16330</v>
      </c>
      <c r="G19" s="21"/>
      <c r="H19" s="21"/>
      <c r="I19" s="21">
        <v>890</v>
      </c>
      <c r="J19" s="22"/>
      <c r="K19" s="125"/>
      <c r="L19" s="47"/>
      <c r="M19" s="125">
        <v>11870</v>
      </c>
      <c r="N19" s="47"/>
      <c r="O19" s="103">
        <v>10780</v>
      </c>
      <c r="P19" s="24"/>
    </row>
    <row r="20" spans="1:17">
      <c r="A20" s="141">
        <v>1990</v>
      </c>
      <c r="B20" s="20">
        <v>710</v>
      </c>
      <c r="C20" s="21">
        <v>480</v>
      </c>
      <c r="D20" s="21">
        <v>4270</v>
      </c>
      <c r="E20" s="21">
        <v>380</v>
      </c>
      <c r="F20" s="21">
        <v>16490</v>
      </c>
      <c r="G20" s="21"/>
      <c r="H20" s="21"/>
      <c r="I20" s="21">
        <v>890</v>
      </c>
      <c r="J20" s="22"/>
      <c r="K20" s="125"/>
      <c r="L20" s="47"/>
      <c r="M20" s="125">
        <v>11470</v>
      </c>
      <c r="N20" s="47"/>
      <c r="O20" s="103">
        <v>10420</v>
      </c>
      <c r="P20" s="24"/>
      <c r="Q20" s="24"/>
    </row>
    <row r="21" spans="1:17">
      <c r="A21" s="141">
        <v>1991</v>
      </c>
      <c r="B21" s="20">
        <v>1340</v>
      </c>
      <c r="C21" s="21">
        <v>120</v>
      </c>
      <c r="D21" s="21">
        <v>4710</v>
      </c>
      <c r="E21" s="21">
        <v>110</v>
      </c>
      <c r="F21" s="21">
        <v>16580</v>
      </c>
      <c r="G21" s="21"/>
      <c r="H21" s="21"/>
      <c r="I21" s="21">
        <v>910</v>
      </c>
      <c r="J21" s="22"/>
      <c r="K21" s="125"/>
      <c r="L21" s="47"/>
      <c r="M21" s="125">
        <v>13260</v>
      </c>
      <c r="N21" s="47"/>
      <c r="O21" s="103">
        <v>12090</v>
      </c>
      <c r="P21" s="24"/>
      <c r="Q21" s="24"/>
    </row>
    <row r="22" spans="1:17">
      <c r="A22" s="141">
        <v>1992</v>
      </c>
      <c r="B22" s="20">
        <v>1500</v>
      </c>
      <c r="C22" s="21">
        <v>50</v>
      </c>
      <c r="D22" s="21">
        <v>4670</v>
      </c>
      <c r="E22" s="21">
        <v>100</v>
      </c>
      <c r="F22" s="21">
        <v>16270</v>
      </c>
      <c r="G22" s="21"/>
      <c r="H22" s="21"/>
      <c r="I22" s="21">
        <v>970</v>
      </c>
      <c r="J22" s="22"/>
      <c r="K22" s="125"/>
      <c r="L22" s="47"/>
      <c r="M22" s="125">
        <v>13070</v>
      </c>
      <c r="N22" s="47"/>
      <c r="O22" s="103">
        <v>11970</v>
      </c>
      <c r="P22" s="24"/>
      <c r="Q22" s="24"/>
    </row>
    <row r="23" spans="1:17">
      <c r="A23" s="141">
        <v>1993</v>
      </c>
      <c r="B23" s="20">
        <v>1040</v>
      </c>
      <c r="C23" s="21">
        <v>0</v>
      </c>
      <c r="D23" s="21">
        <v>4640</v>
      </c>
      <c r="E23" s="21">
        <v>60</v>
      </c>
      <c r="F23" s="21">
        <v>19610</v>
      </c>
      <c r="G23" s="21"/>
      <c r="H23" s="21">
        <v>190</v>
      </c>
      <c r="I23" s="21">
        <v>990</v>
      </c>
      <c r="J23" s="22"/>
      <c r="K23" s="125"/>
      <c r="L23" s="47"/>
      <c r="M23" s="125">
        <v>12380</v>
      </c>
      <c r="N23" s="47">
        <v>1690</v>
      </c>
      <c r="O23" s="103">
        <v>11310</v>
      </c>
      <c r="P23" s="24"/>
      <c r="Q23" s="24"/>
    </row>
    <row r="24" spans="1:17">
      <c r="A24" s="141">
        <v>1994</v>
      </c>
      <c r="B24" s="20">
        <v>290</v>
      </c>
      <c r="C24" s="21">
        <v>0</v>
      </c>
      <c r="D24" s="21">
        <v>4730</v>
      </c>
      <c r="E24" s="21">
        <v>80</v>
      </c>
      <c r="F24" s="21">
        <v>21080</v>
      </c>
      <c r="G24" s="21"/>
      <c r="H24" s="21">
        <v>0</v>
      </c>
      <c r="I24" s="21">
        <v>1010</v>
      </c>
      <c r="J24" s="22"/>
      <c r="K24" s="125"/>
      <c r="L24" s="47"/>
      <c r="M24" s="125">
        <v>12440</v>
      </c>
      <c r="N24" s="47">
        <v>2170</v>
      </c>
      <c r="O24" s="103">
        <v>11280</v>
      </c>
      <c r="P24" s="24"/>
      <c r="Q24" s="24"/>
    </row>
    <row r="25" spans="1:17" collapsed="1">
      <c r="A25" s="141">
        <v>1995</v>
      </c>
      <c r="B25" s="20">
        <v>460</v>
      </c>
      <c r="C25" s="21">
        <v>0</v>
      </c>
      <c r="D25" s="21">
        <v>5330</v>
      </c>
      <c r="E25" s="21">
        <v>50</v>
      </c>
      <c r="F25" s="21">
        <v>24370</v>
      </c>
      <c r="G25" s="21"/>
      <c r="H25" s="21">
        <v>1440</v>
      </c>
      <c r="I25" s="21">
        <v>1030</v>
      </c>
      <c r="J25" s="22"/>
      <c r="K25" s="125"/>
      <c r="L25" s="47"/>
      <c r="M25" s="125">
        <v>13160</v>
      </c>
      <c r="N25" s="47">
        <v>2270</v>
      </c>
      <c r="O25" s="103">
        <v>11970</v>
      </c>
      <c r="P25" s="24"/>
      <c r="Q25" s="24"/>
    </row>
    <row r="26" spans="1:17">
      <c r="A26" s="141">
        <v>1996</v>
      </c>
      <c r="B26" s="20">
        <v>720</v>
      </c>
      <c r="C26" s="21">
        <v>0</v>
      </c>
      <c r="D26" s="21">
        <v>6600</v>
      </c>
      <c r="E26" s="21">
        <v>0</v>
      </c>
      <c r="F26" s="21">
        <v>24570</v>
      </c>
      <c r="G26" s="21"/>
      <c r="H26" s="21">
        <v>250</v>
      </c>
      <c r="I26" s="21">
        <v>1020</v>
      </c>
      <c r="J26" s="22"/>
      <c r="K26" s="125">
        <v>15600</v>
      </c>
      <c r="L26" s="47">
        <v>3730</v>
      </c>
      <c r="M26" s="125">
        <v>14020</v>
      </c>
      <c r="N26" s="47">
        <v>2920</v>
      </c>
      <c r="O26" s="103">
        <v>12480</v>
      </c>
      <c r="P26" s="24"/>
      <c r="Q26" s="24"/>
    </row>
    <row r="27" spans="1:17" collapsed="1">
      <c r="A27" s="141">
        <v>1997</v>
      </c>
      <c r="B27" s="20">
        <v>990</v>
      </c>
      <c r="C27" s="21">
        <v>0</v>
      </c>
      <c r="D27" s="21">
        <v>6960</v>
      </c>
      <c r="E27" s="21">
        <v>0</v>
      </c>
      <c r="F27" s="21">
        <v>25540</v>
      </c>
      <c r="G27" s="21"/>
      <c r="H27" s="21">
        <v>280</v>
      </c>
      <c r="I27" s="21">
        <v>980</v>
      </c>
      <c r="J27" s="22">
        <v>670</v>
      </c>
      <c r="K27" s="125">
        <v>16340</v>
      </c>
      <c r="L27" s="47">
        <v>2710</v>
      </c>
      <c r="M27" s="125">
        <v>14180</v>
      </c>
      <c r="N27" s="47">
        <v>1940</v>
      </c>
      <c r="O27" s="103">
        <v>12980</v>
      </c>
      <c r="P27" s="24"/>
      <c r="Q27" s="24"/>
    </row>
    <row r="28" spans="1:17">
      <c r="A28" s="141">
        <v>1998</v>
      </c>
      <c r="B28" s="20">
        <v>780</v>
      </c>
      <c r="C28" s="21">
        <v>0</v>
      </c>
      <c r="D28" s="21">
        <v>6810</v>
      </c>
      <c r="E28" s="21">
        <v>0</v>
      </c>
      <c r="F28" s="21">
        <v>27340</v>
      </c>
      <c r="G28" s="21"/>
      <c r="H28" s="21">
        <v>290</v>
      </c>
      <c r="I28" s="21">
        <v>1100</v>
      </c>
      <c r="J28" s="22">
        <v>770</v>
      </c>
      <c r="K28" s="125">
        <v>19290</v>
      </c>
      <c r="L28" s="47">
        <v>4030</v>
      </c>
      <c r="M28" s="125">
        <v>14480</v>
      </c>
      <c r="N28" s="47">
        <v>2680</v>
      </c>
      <c r="O28" s="103">
        <v>13250</v>
      </c>
      <c r="P28" s="24"/>
      <c r="Q28" s="24"/>
    </row>
    <row r="29" spans="1:17">
      <c r="A29" s="141">
        <v>1999</v>
      </c>
      <c r="B29" s="20">
        <v>550</v>
      </c>
      <c r="C29" s="21">
        <v>0</v>
      </c>
      <c r="D29" s="21">
        <v>6510</v>
      </c>
      <c r="E29" s="21">
        <v>0</v>
      </c>
      <c r="F29" s="21">
        <v>31670</v>
      </c>
      <c r="G29" s="21">
        <v>190</v>
      </c>
      <c r="H29" s="21">
        <v>30</v>
      </c>
      <c r="I29" s="21">
        <v>1130</v>
      </c>
      <c r="J29" s="22">
        <v>120</v>
      </c>
      <c r="K29" s="125">
        <v>17200</v>
      </c>
      <c r="L29" s="47">
        <v>4510</v>
      </c>
      <c r="M29" s="125">
        <v>14580</v>
      </c>
      <c r="N29" s="47">
        <v>3050</v>
      </c>
      <c r="O29" s="103">
        <v>13210</v>
      </c>
      <c r="P29" s="24"/>
      <c r="Q29" s="24"/>
    </row>
    <row r="30" spans="1:17">
      <c r="A30" s="141">
        <v>2000</v>
      </c>
      <c r="B30" s="20">
        <v>320</v>
      </c>
      <c r="C30" s="21">
        <v>0</v>
      </c>
      <c r="D30" s="21">
        <v>5630</v>
      </c>
      <c r="E30" s="21">
        <v>0</v>
      </c>
      <c r="F30" s="21">
        <v>34210</v>
      </c>
      <c r="G30" s="21">
        <v>190</v>
      </c>
      <c r="H30" s="21">
        <v>20</v>
      </c>
      <c r="I30" s="21">
        <v>1100</v>
      </c>
      <c r="J30" s="22">
        <v>120</v>
      </c>
      <c r="K30" s="125">
        <v>15380</v>
      </c>
      <c r="L30" s="47">
        <v>4970</v>
      </c>
      <c r="M30" s="125">
        <v>14290</v>
      </c>
      <c r="N30" s="47">
        <v>3490</v>
      </c>
      <c r="O30" s="103">
        <v>13180</v>
      </c>
      <c r="P30" s="24"/>
      <c r="Q30" s="24"/>
    </row>
    <row r="31" spans="1:17">
      <c r="A31" s="141">
        <v>2001</v>
      </c>
      <c r="B31" s="20">
        <v>370</v>
      </c>
      <c r="C31" s="21">
        <v>0</v>
      </c>
      <c r="D31" s="21">
        <v>6080</v>
      </c>
      <c r="E31" s="21">
        <v>0</v>
      </c>
      <c r="F31" s="21">
        <v>35010</v>
      </c>
      <c r="G31" s="21">
        <v>180</v>
      </c>
      <c r="H31" s="21">
        <v>60</v>
      </c>
      <c r="I31" s="21">
        <v>1180</v>
      </c>
      <c r="J31" s="22">
        <v>110</v>
      </c>
      <c r="K31" s="125">
        <v>16060</v>
      </c>
      <c r="L31" s="47">
        <v>5260</v>
      </c>
      <c r="M31" s="125">
        <v>15350</v>
      </c>
      <c r="N31" s="47">
        <v>3780</v>
      </c>
      <c r="O31" s="103">
        <v>13900</v>
      </c>
      <c r="P31" s="24"/>
      <c r="Q31" s="24"/>
    </row>
    <row r="32" spans="1:17">
      <c r="A32" s="141">
        <v>2002</v>
      </c>
      <c r="B32" s="20">
        <v>310</v>
      </c>
      <c r="C32" s="21">
        <v>0</v>
      </c>
      <c r="D32" s="21">
        <v>5830</v>
      </c>
      <c r="E32" s="21">
        <v>0</v>
      </c>
      <c r="F32" s="21">
        <v>37000</v>
      </c>
      <c r="G32" s="21">
        <v>230</v>
      </c>
      <c r="H32" s="21">
        <v>40</v>
      </c>
      <c r="I32" s="21">
        <v>1070</v>
      </c>
      <c r="J32" s="84">
        <v>40</v>
      </c>
      <c r="K32" s="125">
        <v>15890</v>
      </c>
      <c r="L32" s="47">
        <v>5430</v>
      </c>
      <c r="M32" s="125">
        <v>14970</v>
      </c>
      <c r="N32" s="47">
        <v>3900</v>
      </c>
      <c r="O32" s="103">
        <v>14020</v>
      </c>
      <c r="P32" s="24"/>
      <c r="Q32" s="24"/>
    </row>
    <row r="33" spans="1:17">
      <c r="A33" s="141">
        <v>2003</v>
      </c>
      <c r="B33" s="20">
        <v>500</v>
      </c>
      <c r="C33" s="21">
        <v>0</v>
      </c>
      <c r="D33" s="21">
        <v>6580</v>
      </c>
      <c r="E33" s="21">
        <v>0</v>
      </c>
      <c r="F33" s="21">
        <v>36700</v>
      </c>
      <c r="G33" s="21">
        <v>280</v>
      </c>
      <c r="H33" s="21">
        <v>40</v>
      </c>
      <c r="I33" s="21">
        <v>1120</v>
      </c>
      <c r="J33" s="84">
        <v>90</v>
      </c>
      <c r="K33" s="125">
        <v>16880</v>
      </c>
      <c r="L33" s="47">
        <v>5610</v>
      </c>
      <c r="M33" s="125">
        <v>15980</v>
      </c>
      <c r="N33" s="47">
        <v>4100</v>
      </c>
      <c r="O33" s="103">
        <v>14590</v>
      </c>
      <c r="P33" s="24"/>
      <c r="Q33" s="24"/>
    </row>
    <row r="34" spans="1:17">
      <c r="A34" s="141">
        <v>2004</v>
      </c>
      <c r="B34" s="20">
        <v>310</v>
      </c>
      <c r="C34" s="21">
        <v>0</v>
      </c>
      <c r="D34" s="21">
        <v>6540</v>
      </c>
      <c r="E34" s="21">
        <v>0</v>
      </c>
      <c r="F34" s="83">
        <v>37190</v>
      </c>
      <c r="G34" s="83">
        <v>320</v>
      </c>
      <c r="H34" s="21">
        <v>30</v>
      </c>
      <c r="I34" s="21">
        <v>1150</v>
      </c>
      <c r="J34" s="84">
        <v>100</v>
      </c>
      <c r="K34" s="125">
        <v>17200</v>
      </c>
      <c r="L34" s="47">
        <v>5900</v>
      </c>
      <c r="M34" s="125">
        <v>16520</v>
      </c>
      <c r="N34" s="47">
        <v>4340</v>
      </c>
      <c r="O34" s="103">
        <v>14770</v>
      </c>
      <c r="P34" s="24"/>
      <c r="Q34" s="24"/>
    </row>
    <row r="35" spans="1:17">
      <c r="A35" s="141">
        <v>2005</v>
      </c>
      <c r="B35" s="20">
        <v>520</v>
      </c>
      <c r="C35" s="21">
        <v>0</v>
      </c>
      <c r="D35" s="21">
        <v>6590</v>
      </c>
      <c r="E35" s="21">
        <v>0</v>
      </c>
      <c r="F35" s="21">
        <v>39210</v>
      </c>
      <c r="G35" s="21">
        <v>350</v>
      </c>
      <c r="H35" s="21">
        <v>20</v>
      </c>
      <c r="I35" s="21">
        <v>1100</v>
      </c>
      <c r="J35" s="84">
        <v>90</v>
      </c>
      <c r="K35" s="125">
        <v>17480</v>
      </c>
      <c r="L35" s="47">
        <v>6200</v>
      </c>
      <c r="M35" s="125">
        <v>16670</v>
      </c>
      <c r="N35" s="47">
        <v>4610</v>
      </c>
      <c r="O35" s="103">
        <v>15240</v>
      </c>
      <c r="P35" s="24"/>
      <c r="Q35" s="24"/>
    </row>
    <row r="36" spans="1:17">
      <c r="A36" s="141">
        <v>2006</v>
      </c>
      <c r="B36" s="20">
        <v>540</v>
      </c>
      <c r="C36" s="21">
        <v>0</v>
      </c>
      <c r="D36" s="21">
        <v>5480</v>
      </c>
      <c r="E36" s="21">
        <v>0</v>
      </c>
      <c r="F36" s="21">
        <v>42840</v>
      </c>
      <c r="G36" s="21">
        <v>340</v>
      </c>
      <c r="H36" s="21">
        <v>40</v>
      </c>
      <c r="I36" s="21">
        <v>1290</v>
      </c>
      <c r="J36" s="84">
        <v>80</v>
      </c>
      <c r="K36" s="125">
        <v>17810</v>
      </c>
      <c r="L36" s="47">
        <v>6800</v>
      </c>
      <c r="M36" s="125">
        <v>16960</v>
      </c>
      <c r="N36" s="47">
        <v>5070</v>
      </c>
      <c r="O36" s="103">
        <v>15720</v>
      </c>
      <c r="P36" s="24"/>
      <c r="Q36" s="24"/>
    </row>
    <row r="37" spans="1:17">
      <c r="A37" s="141">
        <v>2007</v>
      </c>
      <c r="B37" s="20">
        <v>100</v>
      </c>
      <c r="C37" s="21">
        <v>0</v>
      </c>
      <c r="D37" s="83">
        <v>4920</v>
      </c>
      <c r="E37" s="21">
        <v>0</v>
      </c>
      <c r="F37" s="83">
        <v>43700</v>
      </c>
      <c r="G37" s="83">
        <v>310</v>
      </c>
      <c r="H37" s="21">
        <v>40</v>
      </c>
      <c r="I37" s="21">
        <v>1270</v>
      </c>
      <c r="J37" s="84">
        <v>90</v>
      </c>
      <c r="K37" s="59">
        <v>17080</v>
      </c>
      <c r="L37" s="47">
        <v>6580</v>
      </c>
      <c r="M37" s="125">
        <v>16340</v>
      </c>
      <c r="N37" s="47">
        <v>4890</v>
      </c>
      <c r="O37" s="103">
        <v>14670</v>
      </c>
      <c r="P37" s="24"/>
      <c r="Q37" s="24"/>
    </row>
    <row r="38" spans="1:17">
      <c r="A38" s="141">
        <v>2008</v>
      </c>
      <c r="B38" s="20">
        <v>90</v>
      </c>
      <c r="C38" s="21">
        <v>0</v>
      </c>
      <c r="D38" s="83">
        <v>5710</v>
      </c>
      <c r="E38" s="21">
        <v>0</v>
      </c>
      <c r="F38" s="83">
        <v>42540</v>
      </c>
      <c r="G38" s="83">
        <v>400</v>
      </c>
      <c r="H38" s="21">
        <v>40</v>
      </c>
      <c r="I38" s="21">
        <v>1290</v>
      </c>
      <c r="J38" s="84">
        <v>50</v>
      </c>
      <c r="K38" s="59">
        <v>17750</v>
      </c>
      <c r="L38" s="47">
        <v>6940</v>
      </c>
      <c r="M38" s="125">
        <v>16870</v>
      </c>
      <c r="N38" s="47">
        <v>5230</v>
      </c>
      <c r="O38" s="103">
        <v>15260</v>
      </c>
      <c r="P38" s="24"/>
      <c r="Q38" s="24"/>
    </row>
    <row r="39" spans="1:17">
      <c r="A39" s="141">
        <v>2009</v>
      </c>
      <c r="B39" s="20">
        <v>180</v>
      </c>
      <c r="C39" s="21">
        <v>0</v>
      </c>
      <c r="D39" s="83">
        <v>5410</v>
      </c>
      <c r="E39" s="21">
        <v>0</v>
      </c>
      <c r="F39" s="83">
        <v>42180</v>
      </c>
      <c r="G39" s="83">
        <v>750</v>
      </c>
      <c r="H39" s="21">
        <v>40</v>
      </c>
      <c r="I39" s="21">
        <v>1300</v>
      </c>
      <c r="J39" s="84">
        <v>80</v>
      </c>
      <c r="K39" s="59">
        <v>18790</v>
      </c>
      <c r="L39" s="47">
        <v>6690</v>
      </c>
      <c r="M39" s="125">
        <v>16790</v>
      </c>
      <c r="N39" s="47">
        <v>5040</v>
      </c>
      <c r="O39" s="103">
        <v>15120</v>
      </c>
      <c r="P39" s="24"/>
      <c r="Q39" s="24"/>
    </row>
    <row r="40" spans="1:17">
      <c r="A40" s="141">
        <v>2010</v>
      </c>
      <c r="B40" s="20">
        <v>220</v>
      </c>
      <c r="C40" s="21">
        <v>0</v>
      </c>
      <c r="D40" s="83">
        <v>6100</v>
      </c>
      <c r="E40" s="21">
        <v>0</v>
      </c>
      <c r="F40" s="83">
        <v>43570</v>
      </c>
      <c r="G40" s="83">
        <v>940</v>
      </c>
      <c r="H40" s="21">
        <v>50</v>
      </c>
      <c r="I40" s="21">
        <v>1300</v>
      </c>
      <c r="J40" s="84">
        <v>70</v>
      </c>
      <c r="K40" s="59">
        <v>21000</v>
      </c>
      <c r="L40" s="47">
        <v>7120</v>
      </c>
      <c r="M40" s="125">
        <v>18700</v>
      </c>
      <c r="N40" s="47">
        <v>5420</v>
      </c>
      <c r="O40" s="103">
        <v>17030</v>
      </c>
      <c r="P40" s="24"/>
      <c r="Q40" s="24"/>
    </row>
    <row r="41" spans="1:17">
      <c r="A41" s="141">
        <v>2011</v>
      </c>
      <c r="B41" s="20">
        <v>220</v>
      </c>
      <c r="C41" s="21">
        <v>0</v>
      </c>
      <c r="D41" s="83">
        <v>4470</v>
      </c>
      <c r="E41" s="21">
        <v>0</v>
      </c>
      <c r="F41" s="83">
        <v>44230</v>
      </c>
      <c r="G41" s="83">
        <v>1080</v>
      </c>
      <c r="H41" s="21">
        <v>50</v>
      </c>
      <c r="I41" s="21">
        <v>1290</v>
      </c>
      <c r="J41" s="84">
        <v>210</v>
      </c>
      <c r="K41" s="59">
        <v>19030</v>
      </c>
      <c r="L41" s="47">
        <v>7190</v>
      </c>
      <c r="M41" s="125">
        <v>17150</v>
      </c>
      <c r="N41" s="47">
        <v>5490</v>
      </c>
      <c r="O41" s="103">
        <v>15660</v>
      </c>
      <c r="P41" s="24"/>
      <c r="Q41" s="24"/>
    </row>
    <row r="42" spans="1:17">
      <c r="A42" s="141">
        <v>2012</v>
      </c>
      <c r="B42" s="20">
        <v>630</v>
      </c>
      <c r="C42" s="21">
        <v>0</v>
      </c>
      <c r="D42" s="83">
        <v>5670</v>
      </c>
      <c r="E42" s="21">
        <v>0</v>
      </c>
      <c r="F42" s="83">
        <v>45350</v>
      </c>
      <c r="G42" s="83">
        <v>1570</v>
      </c>
      <c r="H42" s="21">
        <v>40</v>
      </c>
      <c r="I42" s="21">
        <v>1370</v>
      </c>
      <c r="J42" s="84">
        <v>300</v>
      </c>
      <c r="K42" s="59">
        <v>20620</v>
      </c>
      <c r="L42" s="47">
        <v>7670</v>
      </c>
      <c r="M42" s="125">
        <v>18140</v>
      </c>
      <c r="N42" s="47">
        <v>5910</v>
      </c>
      <c r="O42" s="103">
        <v>16650</v>
      </c>
      <c r="P42" s="24"/>
      <c r="Q42" s="24"/>
    </row>
    <row r="43" spans="1:17">
      <c r="A43" s="141">
        <v>2013</v>
      </c>
      <c r="B43" s="20">
        <v>510</v>
      </c>
      <c r="C43" s="21">
        <v>0</v>
      </c>
      <c r="D43" s="83">
        <v>6890</v>
      </c>
      <c r="E43" s="21">
        <v>0</v>
      </c>
      <c r="F43" s="83">
        <v>43750</v>
      </c>
      <c r="G43" s="83">
        <v>1810</v>
      </c>
      <c r="H43" s="21">
        <v>40</v>
      </c>
      <c r="I43" s="21">
        <v>1270</v>
      </c>
      <c r="J43" s="84">
        <v>190</v>
      </c>
      <c r="K43" s="59">
        <v>21480</v>
      </c>
      <c r="L43" s="47">
        <v>8150</v>
      </c>
      <c r="M43" s="125">
        <v>19380</v>
      </c>
      <c r="N43" s="47">
        <v>6370</v>
      </c>
      <c r="O43" s="103">
        <v>17580</v>
      </c>
      <c r="P43" s="24"/>
      <c r="Q43" s="24"/>
    </row>
    <row r="44" spans="1:17">
      <c r="A44" s="141">
        <v>2014</v>
      </c>
      <c r="B44" s="20">
        <v>650</v>
      </c>
      <c r="C44" s="21">
        <v>0</v>
      </c>
      <c r="D44" s="83">
        <v>4560</v>
      </c>
      <c r="E44" s="21">
        <v>0</v>
      </c>
      <c r="F44" s="83">
        <v>44640</v>
      </c>
      <c r="G44" s="83">
        <v>1840</v>
      </c>
      <c r="H44" s="21">
        <v>40</v>
      </c>
      <c r="I44" s="21">
        <v>1190</v>
      </c>
      <c r="J44" s="84">
        <v>210</v>
      </c>
      <c r="K44" s="59">
        <v>19590</v>
      </c>
      <c r="L44" s="47">
        <v>8300</v>
      </c>
      <c r="M44" s="125">
        <v>17530</v>
      </c>
      <c r="N44" s="47">
        <v>6500</v>
      </c>
      <c r="O44" s="103">
        <v>15980</v>
      </c>
      <c r="P44" s="24"/>
      <c r="Q44" s="24"/>
    </row>
    <row r="45" spans="1:17">
      <c r="A45" s="141">
        <v>2015</v>
      </c>
      <c r="B45" s="20">
        <v>520</v>
      </c>
      <c r="C45" s="21">
        <v>0</v>
      </c>
      <c r="D45" s="83">
        <v>6190</v>
      </c>
      <c r="E45" s="21">
        <v>0</v>
      </c>
      <c r="F45" s="83">
        <v>46060</v>
      </c>
      <c r="G45" s="83">
        <v>2070</v>
      </c>
      <c r="H45" s="21">
        <v>40</v>
      </c>
      <c r="I45" s="21">
        <v>1100</v>
      </c>
      <c r="J45" s="84">
        <v>250</v>
      </c>
      <c r="K45" s="59">
        <v>22060</v>
      </c>
      <c r="L45" s="47">
        <v>8760</v>
      </c>
      <c r="M45" s="125">
        <v>19910</v>
      </c>
      <c r="N45" s="47">
        <v>6950</v>
      </c>
      <c r="O45" s="103">
        <v>18140</v>
      </c>
      <c r="P45" s="24"/>
      <c r="Q45" s="24"/>
    </row>
    <row r="46" spans="1:17">
      <c r="A46" s="141">
        <v>2016</v>
      </c>
      <c r="B46" s="20">
        <v>290</v>
      </c>
      <c r="C46" s="21">
        <v>0</v>
      </c>
      <c r="D46" s="83">
        <v>7490</v>
      </c>
      <c r="E46" s="21">
        <v>0</v>
      </c>
      <c r="F46" s="83">
        <v>47750</v>
      </c>
      <c r="G46" s="83">
        <v>2160</v>
      </c>
      <c r="H46" s="21">
        <v>50</v>
      </c>
      <c r="I46" s="21">
        <v>1330</v>
      </c>
      <c r="J46" s="84">
        <v>250</v>
      </c>
      <c r="K46" s="59">
        <v>23240</v>
      </c>
      <c r="L46" s="47">
        <v>9720</v>
      </c>
      <c r="M46" s="125">
        <v>21170</v>
      </c>
      <c r="N46" s="47">
        <v>7880</v>
      </c>
      <c r="O46" s="103">
        <v>19350</v>
      </c>
      <c r="P46" s="24"/>
      <c r="Q46" s="24"/>
    </row>
    <row r="47" spans="1:17">
      <c r="A47" s="141">
        <v>2017</v>
      </c>
      <c r="B47" s="20">
        <v>330</v>
      </c>
      <c r="C47" s="21">
        <v>0</v>
      </c>
      <c r="D47" s="83">
        <v>6890</v>
      </c>
      <c r="E47" s="21">
        <v>0</v>
      </c>
      <c r="F47" s="83">
        <v>48000</v>
      </c>
      <c r="G47" s="83">
        <v>2200</v>
      </c>
      <c r="H47" s="21">
        <v>80</v>
      </c>
      <c r="I47" s="21">
        <v>1320</v>
      </c>
      <c r="J47" s="84">
        <v>240</v>
      </c>
      <c r="K47" s="59">
        <v>23700</v>
      </c>
      <c r="L47" s="47">
        <v>9320</v>
      </c>
      <c r="M47" s="125">
        <v>21640</v>
      </c>
      <c r="N47" s="47">
        <v>7530</v>
      </c>
      <c r="O47" s="103">
        <v>19790</v>
      </c>
      <c r="P47" s="24"/>
      <c r="Q47" s="24"/>
    </row>
    <row r="48" spans="1:17">
      <c r="A48" s="141">
        <v>2018</v>
      </c>
      <c r="B48" s="20">
        <v>250</v>
      </c>
      <c r="C48" s="21">
        <v>0</v>
      </c>
      <c r="D48" s="83">
        <v>6550</v>
      </c>
      <c r="E48" s="21">
        <v>0</v>
      </c>
      <c r="F48" s="83">
        <v>48630</v>
      </c>
      <c r="G48" s="83">
        <v>2130</v>
      </c>
      <c r="H48" s="21">
        <v>70</v>
      </c>
      <c r="I48" s="21">
        <v>1350</v>
      </c>
      <c r="J48" s="84">
        <v>20</v>
      </c>
      <c r="K48" s="59">
        <v>23370</v>
      </c>
      <c r="L48" s="47">
        <v>9270</v>
      </c>
      <c r="M48" s="125">
        <v>21290</v>
      </c>
      <c r="N48" s="47">
        <v>7450</v>
      </c>
      <c r="O48" s="103">
        <v>19360</v>
      </c>
      <c r="P48" s="24"/>
      <c r="Q48" s="24"/>
    </row>
    <row r="49" spans="1:15">
      <c r="A49" s="141">
        <v>2019</v>
      </c>
      <c r="B49" s="20">
        <v>290</v>
      </c>
      <c r="C49" s="21">
        <v>0</v>
      </c>
      <c r="D49" s="83">
        <v>6900</v>
      </c>
      <c r="E49" s="21">
        <v>0</v>
      </c>
      <c r="F49" s="83">
        <v>48940</v>
      </c>
      <c r="G49" s="83">
        <v>3310</v>
      </c>
      <c r="H49" s="21">
        <v>80</v>
      </c>
      <c r="I49" s="21">
        <v>1380</v>
      </c>
      <c r="J49" s="84">
        <v>40</v>
      </c>
      <c r="K49" s="59">
        <v>25190</v>
      </c>
      <c r="L49" s="47">
        <v>9410</v>
      </c>
      <c r="M49" s="125">
        <v>23550</v>
      </c>
      <c r="N49" s="47">
        <v>7660</v>
      </c>
      <c r="O49" s="103">
        <v>21530</v>
      </c>
    </row>
    <row r="50" spans="1:15">
      <c r="A50" s="141">
        <v>2020</v>
      </c>
      <c r="B50" s="20">
        <v>220</v>
      </c>
      <c r="C50" s="21">
        <v>0</v>
      </c>
      <c r="D50" s="83">
        <v>6820</v>
      </c>
      <c r="E50" s="21">
        <v>0</v>
      </c>
      <c r="F50" s="83">
        <v>49130</v>
      </c>
      <c r="G50" s="83">
        <v>3270</v>
      </c>
      <c r="H50" s="21">
        <v>80</v>
      </c>
      <c r="I50" s="21">
        <v>1420</v>
      </c>
      <c r="J50" s="84">
        <v>50</v>
      </c>
      <c r="K50" s="59">
        <v>24820</v>
      </c>
      <c r="L50" s="47">
        <v>9490</v>
      </c>
      <c r="M50" s="125">
        <v>23260</v>
      </c>
      <c r="N50" s="47">
        <v>7690</v>
      </c>
      <c r="O50" s="103">
        <v>21050</v>
      </c>
    </row>
    <row r="51" spans="1:15">
      <c r="A51" s="141">
        <v>2021</v>
      </c>
      <c r="B51" s="20">
        <v>420</v>
      </c>
      <c r="C51" s="21">
        <v>0</v>
      </c>
      <c r="D51" s="83">
        <v>8420</v>
      </c>
      <c r="E51" s="21">
        <v>0</v>
      </c>
      <c r="F51" s="83">
        <v>48110</v>
      </c>
      <c r="G51" s="83">
        <v>3630</v>
      </c>
      <c r="H51" s="21">
        <v>50</v>
      </c>
      <c r="I51" s="21">
        <v>1520</v>
      </c>
      <c r="J51" s="84">
        <v>50</v>
      </c>
      <c r="K51" s="59">
        <v>27320</v>
      </c>
      <c r="L51" s="47">
        <v>9220</v>
      </c>
      <c r="M51" s="125">
        <v>25820</v>
      </c>
      <c r="N51" s="47">
        <v>7510</v>
      </c>
      <c r="O51" s="103">
        <v>23090</v>
      </c>
    </row>
    <row r="52" spans="1:15">
      <c r="A52" s="141">
        <v>2022</v>
      </c>
      <c r="B52" s="20">
        <v>420</v>
      </c>
      <c r="C52" s="21">
        <v>0</v>
      </c>
      <c r="D52" s="83">
        <v>6460</v>
      </c>
      <c r="E52" s="21">
        <v>0</v>
      </c>
      <c r="F52" s="83">
        <v>46170</v>
      </c>
      <c r="G52" s="83">
        <v>3700</v>
      </c>
      <c r="H52" s="21">
        <v>20</v>
      </c>
      <c r="I52" s="21">
        <v>1390</v>
      </c>
      <c r="J52" s="84">
        <v>150</v>
      </c>
      <c r="K52" s="59">
        <v>25480</v>
      </c>
      <c r="L52" s="47">
        <v>8710</v>
      </c>
      <c r="M52" s="125">
        <v>23710</v>
      </c>
      <c r="N52" s="47">
        <v>7040</v>
      </c>
      <c r="O52" s="103">
        <v>21360</v>
      </c>
    </row>
    <row r="53" spans="1:15">
      <c r="A53" s="141">
        <v>2023</v>
      </c>
      <c r="B53" s="20">
        <v>370</v>
      </c>
      <c r="C53" s="21">
        <v>0</v>
      </c>
      <c r="D53" s="83">
        <v>5760</v>
      </c>
      <c r="E53" s="21">
        <v>0</v>
      </c>
      <c r="F53" s="83">
        <v>46530</v>
      </c>
      <c r="G53" s="83">
        <v>3770</v>
      </c>
      <c r="H53" s="21">
        <v>60</v>
      </c>
      <c r="I53" s="21">
        <v>1430</v>
      </c>
      <c r="J53" s="84">
        <v>280</v>
      </c>
      <c r="K53" s="59">
        <v>25510</v>
      </c>
      <c r="L53" s="47">
        <v>7990</v>
      </c>
      <c r="M53" s="125">
        <v>24270</v>
      </c>
      <c r="N53" s="47">
        <v>6440</v>
      </c>
      <c r="O53" s="103">
        <v>22050</v>
      </c>
    </row>
    <row r="54" spans="1:15" ht="13">
      <c r="A54" s="142">
        <v>2024</v>
      </c>
      <c r="B54" s="49">
        <v>250</v>
      </c>
      <c r="C54" s="50">
        <v>0</v>
      </c>
      <c r="D54" s="50">
        <v>6020</v>
      </c>
      <c r="E54" s="50">
        <v>0</v>
      </c>
      <c r="F54" s="50">
        <v>47780</v>
      </c>
      <c r="G54" s="50">
        <v>4970</v>
      </c>
      <c r="H54" s="50">
        <v>120</v>
      </c>
      <c r="I54" s="50">
        <v>1370</v>
      </c>
      <c r="J54" s="86">
        <v>460</v>
      </c>
      <c r="K54" s="69">
        <v>27980</v>
      </c>
      <c r="L54" s="51">
        <v>8280</v>
      </c>
      <c r="M54" s="69">
        <v>26810</v>
      </c>
      <c r="N54" s="51">
        <v>6570</v>
      </c>
      <c r="O54" s="105">
        <v>24080</v>
      </c>
    </row>
    <row r="55" spans="1:15" ht="13">
      <c r="A55" s="146"/>
      <c r="B55" s="32"/>
      <c r="C55" s="32"/>
      <c r="D55" s="32"/>
      <c r="E55" s="32"/>
      <c r="F55" s="32"/>
      <c r="G55" s="32"/>
      <c r="H55" s="32"/>
      <c r="I55" s="32"/>
      <c r="J55" s="32"/>
      <c r="K55" s="32"/>
      <c r="L55" s="32"/>
      <c r="M55" s="32"/>
      <c r="N55" s="32"/>
      <c r="O55" s="32"/>
    </row>
    <row r="56" spans="1:15">
      <c r="A56" s="93" t="s">
        <v>440</v>
      </c>
      <c r="I56" s="93" t="s">
        <v>441</v>
      </c>
    </row>
    <row r="57" spans="1:15">
      <c r="A57" s="93" t="s">
        <v>442</v>
      </c>
      <c r="I57" s="93" t="s">
        <v>443</v>
      </c>
    </row>
    <row r="58" spans="1:15">
      <c r="A58" s="93" t="s">
        <v>444</v>
      </c>
      <c r="I58" s="93" t="s">
        <v>445</v>
      </c>
    </row>
    <row r="59" spans="1:15">
      <c r="A59" s="93" t="s">
        <v>446</v>
      </c>
      <c r="I59" s="93" t="s">
        <v>447</v>
      </c>
    </row>
    <row r="62" spans="1:15">
      <c r="A62" s="35" t="s">
        <v>448</v>
      </c>
      <c r="I62" s="35" t="s">
        <v>449</v>
      </c>
    </row>
    <row r="66" spans="1:1">
      <c r="A66" s="35" t="s">
        <v>75</v>
      </c>
    </row>
    <row r="67" spans="1:1">
      <c r="A67" s="35" t="s">
        <v>76</v>
      </c>
    </row>
    <row r="68" spans="1:1">
      <c r="A68" s="35" t="s">
        <v>77</v>
      </c>
    </row>
  </sheetData>
  <mergeCells count="10">
    <mergeCell ref="A6:A7"/>
    <mergeCell ref="B6:J6"/>
    <mergeCell ref="K6:L6"/>
    <mergeCell ref="M6:N6"/>
    <mergeCell ref="O6:O7"/>
    <mergeCell ref="A4:A5"/>
    <mergeCell ref="B4:J4"/>
    <mergeCell ref="K4:L4"/>
    <mergeCell ref="M4:N4"/>
    <mergeCell ref="O4:O5"/>
  </mergeCells>
  <conditionalFormatting sqref="B8:O39">
    <cfRule type="expression" dxfId="41" priority="2">
      <formula>AI8&lt;&gt;0</formula>
    </cfRule>
  </conditionalFormatting>
  <conditionalFormatting sqref="B40:O55">
    <cfRule type="expression" dxfId="40" priority="1">
      <formula>#REF!&lt;&gt;0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E0EA0-4A19-4896-B5B5-90ACA34B848F}">
  <sheetPr codeName="Tabelle33">
    <tabColor rgb="FFFF0000"/>
  </sheetPr>
  <dimension ref="A1:W85"/>
  <sheetViews>
    <sheetView topLeftCell="A6" workbookViewId="0">
      <selection activeCell="A6" sqref="A6:A8"/>
    </sheetView>
  </sheetViews>
  <sheetFormatPr defaultColWidth="11.54296875" defaultRowHeight="12.5" outlineLevelCol="1"/>
  <cols>
    <col min="1" max="1" width="8.7265625" style="4" customWidth="1"/>
    <col min="2" max="4" width="9.7265625" style="4" customWidth="1"/>
    <col min="5" max="5" width="8.7265625" style="4" customWidth="1"/>
    <col min="6" max="6" width="9.7265625" style="4" customWidth="1"/>
    <col min="7" max="7" width="8.7265625" style="4" customWidth="1"/>
    <col min="8" max="8" width="9.7265625" style="4" customWidth="1"/>
    <col min="9" max="9" width="8.7265625" style="4" customWidth="1"/>
    <col min="10" max="10" width="9.7265625" style="4" hidden="1" customWidth="1" outlineLevel="1"/>
    <col min="11" max="11" width="8.7265625" style="4" hidden="1" customWidth="1" outlineLevel="1"/>
    <col min="12" max="12" width="9.7265625" style="4" customWidth="1" collapsed="1"/>
    <col min="13" max="13" width="8.7265625" style="4" customWidth="1"/>
    <col min="14" max="18" width="9.7265625" style="4" customWidth="1"/>
    <col min="19" max="19" width="8.7265625" style="4" customWidth="1"/>
    <col min="20" max="23" width="9.7265625" style="4" customWidth="1"/>
    <col min="24" max="16384" width="11.54296875" style="4"/>
  </cols>
  <sheetData>
    <row r="1" spans="1:23" ht="13">
      <c r="A1" s="3" t="s">
        <v>357</v>
      </c>
      <c r="V1" s="5" t="s">
        <v>358</v>
      </c>
      <c r="W1" s="5"/>
    </row>
    <row r="2" spans="1:23" ht="13">
      <c r="A2" s="3" t="s">
        <v>359</v>
      </c>
      <c r="V2" s="5" t="s">
        <v>360</v>
      </c>
      <c r="W2" s="5"/>
    </row>
    <row r="4" spans="1:23" ht="22.5" customHeight="1">
      <c r="A4" s="258" t="s">
        <v>55</v>
      </c>
      <c r="B4" s="283" t="s">
        <v>361</v>
      </c>
      <c r="C4" s="309"/>
      <c r="D4" s="309"/>
      <c r="E4" s="284"/>
      <c r="F4" s="283" t="s">
        <v>362</v>
      </c>
      <c r="G4" s="284"/>
      <c r="H4" s="310" t="s">
        <v>363</v>
      </c>
      <c r="I4" s="311"/>
      <c r="J4" s="311"/>
      <c r="K4" s="311"/>
      <c r="L4" s="311"/>
      <c r="M4" s="312"/>
      <c r="N4" s="259" t="s">
        <v>364</v>
      </c>
      <c r="O4" s="260"/>
      <c r="P4" s="260"/>
      <c r="Q4" s="260"/>
      <c r="R4" s="260"/>
      <c r="S4" s="261"/>
      <c r="T4" s="295" t="s">
        <v>365</v>
      </c>
      <c r="U4" s="258" t="s">
        <v>366</v>
      </c>
      <c r="V4" s="296" t="s">
        <v>367</v>
      </c>
      <c r="W4" s="119"/>
    </row>
    <row r="5" spans="1:23" ht="48" customHeight="1">
      <c r="A5" s="253"/>
      <c r="B5" s="98" t="s">
        <v>368</v>
      </c>
      <c r="C5" s="99" t="s">
        <v>369</v>
      </c>
      <c r="D5" s="305" t="s">
        <v>61</v>
      </c>
      <c r="E5" s="288"/>
      <c r="F5" s="287"/>
      <c r="G5" s="288"/>
      <c r="H5" s="287" t="s">
        <v>61</v>
      </c>
      <c r="I5" s="305"/>
      <c r="J5" s="305" t="s">
        <v>370</v>
      </c>
      <c r="K5" s="305"/>
      <c r="L5" s="305" t="s">
        <v>371</v>
      </c>
      <c r="M5" s="288"/>
      <c r="N5" s="98" t="s">
        <v>372</v>
      </c>
      <c r="O5" s="99" t="s">
        <v>373</v>
      </c>
      <c r="P5" s="99" t="s">
        <v>374</v>
      </c>
      <c r="Q5" s="99" t="s">
        <v>375</v>
      </c>
      <c r="R5" s="305" t="s">
        <v>61</v>
      </c>
      <c r="S5" s="288"/>
      <c r="T5" s="298"/>
      <c r="U5" s="253"/>
      <c r="V5" s="299"/>
      <c r="W5" s="119"/>
    </row>
    <row r="6" spans="1:23" ht="22.5" customHeight="1">
      <c r="A6" s="253" t="s">
        <v>62</v>
      </c>
      <c r="B6" s="287" t="s">
        <v>376</v>
      </c>
      <c r="C6" s="305"/>
      <c r="D6" s="305"/>
      <c r="E6" s="288"/>
      <c r="F6" s="287" t="s">
        <v>377</v>
      </c>
      <c r="G6" s="288"/>
      <c r="H6" s="306" t="s">
        <v>378</v>
      </c>
      <c r="I6" s="307"/>
      <c r="J6" s="307"/>
      <c r="K6" s="307"/>
      <c r="L6" s="307"/>
      <c r="M6" s="308"/>
      <c r="N6" s="255" t="s">
        <v>379</v>
      </c>
      <c r="O6" s="256"/>
      <c r="P6" s="256"/>
      <c r="Q6" s="256"/>
      <c r="R6" s="256"/>
      <c r="S6" s="257"/>
      <c r="T6" s="298" t="s">
        <v>380</v>
      </c>
      <c r="U6" s="253" t="s">
        <v>381</v>
      </c>
      <c r="V6" s="299" t="s">
        <v>382</v>
      </c>
      <c r="W6" s="119"/>
    </row>
    <row r="7" spans="1:23" ht="30">
      <c r="A7" s="253"/>
      <c r="B7" s="98" t="s">
        <v>383</v>
      </c>
      <c r="C7" s="99" t="s">
        <v>384</v>
      </c>
      <c r="D7" s="305" t="s">
        <v>61</v>
      </c>
      <c r="E7" s="288"/>
      <c r="F7" s="287"/>
      <c r="G7" s="288"/>
      <c r="H7" s="287" t="s">
        <v>61</v>
      </c>
      <c r="I7" s="305"/>
      <c r="J7" s="305" t="s">
        <v>385</v>
      </c>
      <c r="K7" s="305"/>
      <c r="L7" s="305" t="s">
        <v>386</v>
      </c>
      <c r="M7" s="288"/>
      <c r="N7" s="98" t="s">
        <v>387</v>
      </c>
      <c r="O7" s="99" t="s">
        <v>388</v>
      </c>
      <c r="P7" s="99" t="s">
        <v>389</v>
      </c>
      <c r="Q7" s="99" t="s">
        <v>390</v>
      </c>
      <c r="R7" s="305" t="s">
        <v>61</v>
      </c>
      <c r="S7" s="288"/>
      <c r="T7" s="298"/>
      <c r="U7" s="253"/>
      <c r="V7" s="299"/>
      <c r="W7" s="119"/>
    </row>
    <row r="8" spans="1:23" ht="12.75" customHeight="1">
      <c r="A8" s="254"/>
      <c r="B8" s="56" t="s">
        <v>104</v>
      </c>
      <c r="C8" s="44" t="s">
        <v>104</v>
      </c>
      <c r="D8" s="44" t="s">
        <v>104</v>
      </c>
      <c r="E8" s="45" t="s">
        <v>138</v>
      </c>
      <c r="F8" s="56" t="s">
        <v>104</v>
      </c>
      <c r="G8" s="45" t="s">
        <v>138</v>
      </c>
      <c r="H8" s="56" t="s">
        <v>104</v>
      </c>
      <c r="I8" s="44" t="s">
        <v>138</v>
      </c>
      <c r="J8" s="44" t="s">
        <v>104</v>
      </c>
      <c r="K8" s="44" t="s">
        <v>138</v>
      </c>
      <c r="L8" s="44" t="s">
        <v>104</v>
      </c>
      <c r="M8" s="45" t="s">
        <v>138</v>
      </c>
      <c r="N8" s="56" t="s">
        <v>104</v>
      </c>
      <c r="O8" s="44" t="s">
        <v>104</v>
      </c>
      <c r="P8" s="44" t="s">
        <v>104</v>
      </c>
      <c r="Q8" s="44" t="s">
        <v>104</v>
      </c>
      <c r="R8" s="44" t="s">
        <v>104</v>
      </c>
      <c r="S8" s="45" t="s">
        <v>138</v>
      </c>
      <c r="T8" s="120" t="s">
        <v>104</v>
      </c>
      <c r="U8" s="57" t="s">
        <v>104</v>
      </c>
      <c r="V8" s="121" t="s">
        <v>104</v>
      </c>
      <c r="W8" s="122"/>
    </row>
    <row r="9" spans="1:23">
      <c r="A9" s="123">
        <v>1960</v>
      </c>
      <c r="B9" s="15" t="s">
        <v>68</v>
      </c>
      <c r="C9" s="21" t="s">
        <v>68</v>
      </c>
      <c r="D9" s="21">
        <v>20504</v>
      </c>
      <c r="E9" s="124">
        <v>99.2</v>
      </c>
      <c r="F9" s="125" t="s">
        <v>68</v>
      </c>
      <c r="G9" s="58" t="s">
        <v>68</v>
      </c>
      <c r="H9" s="59">
        <v>168</v>
      </c>
      <c r="I9" s="126">
        <v>0.8</v>
      </c>
      <c r="J9" s="83" t="s">
        <v>68</v>
      </c>
      <c r="K9" s="83" t="s">
        <v>68</v>
      </c>
      <c r="L9" s="126" t="s">
        <v>68</v>
      </c>
      <c r="M9" s="58" t="s">
        <v>68</v>
      </c>
      <c r="N9" s="59" t="s">
        <v>68</v>
      </c>
      <c r="O9" s="83" t="s">
        <v>68</v>
      </c>
      <c r="P9" s="83" t="s">
        <v>68</v>
      </c>
      <c r="Q9" s="83" t="s">
        <v>68</v>
      </c>
      <c r="R9" s="83" t="s">
        <v>68</v>
      </c>
      <c r="S9" s="58" t="s">
        <v>68</v>
      </c>
      <c r="T9" s="127">
        <v>20672</v>
      </c>
      <c r="U9" s="23">
        <v>245</v>
      </c>
      <c r="V9" s="103">
        <v>20427</v>
      </c>
      <c r="W9" s="24"/>
    </row>
    <row r="10" spans="1:23">
      <c r="A10" s="123">
        <v>1961</v>
      </c>
      <c r="B10" s="125" t="s">
        <v>68</v>
      </c>
      <c r="C10" s="21" t="s">
        <v>68</v>
      </c>
      <c r="D10" s="21">
        <v>21526</v>
      </c>
      <c r="E10" s="124">
        <v>99.2</v>
      </c>
      <c r="F10" s="125" t="s">
        <v>68</v>
      </c>
      <c r="G10" s="58" t="s">
        <v>68</v>
      </c>
      <c r="H10" s="59">
        <v>174</v>
      </c>
      <c r="I10" s="126">
        <v>0.8</v>
      </c>
      <c r="J10" s="83" t="s">
        <v>68</v>
      </c>
      <c r="K10" s="83" t="s">
        <v>68</v>
      </c>
      <c r="L10" s="126" t="s">
        <v>68</v>
      </c>
      <c r="M10" s="58" t="s">
        <v>68</v>
      </c>
      <c r="N10" s="59" t="s">
        <v>68</v>
      </c>
      <c r="O10" s="83" t="s">
        <v>68</v>
      </c>
      <c r="P10" s="83" t="s">
        <v>68</v>
      </c>
      <c r="Q10" s="83" t="s">
        <v>68</v>
      </c>
      <c r="R10" s="83" t="s">
        <v>68</v>
      </c>
      <c r="S10" s="58" t="s">
        <v>68</v>
      </c>
      <c r="T10" s="127">
        <v>21700</v>
      </c>
      <c r="U10" s="23">
        <v>211</v>
      </c>
      <c r="V10" s="103">
        <v>21489</v>
      </c>
      <c r="W10" s="24"/>
    </row>
    <row r="11" spans="1:23">
      <c r="A11" s="123">
        <v>1962</v>
      </c>
      <c r="B11" s="125" t="s">
        <v>68</v>
      </c>
      <c r="C11" s="21" t="s">
        <v>68</v>
      </c>
      <c r="D11" s="21">
        <v>21186</v>
      </c>
      <c r="E11" s="124">
        <v>98.9</v>
      </c>
      <c r="F11" s="125" t="s">
        <v>68</v>
      </c>
      <c r="G11" s="58" t="s">
        <v>68</v>
      </c>
      <c r="H11" s="59">
        <v>231</v>
      </c>
      <c r="I11" s="126">
        <v>1.1000000000000001</v>
      </c>
      <c r="J11" s="83" t="s">
        <v>68</v>
      </c>
      <c r="K11" s="83" t="s">
        <v>68</v>
      </c>
      <c r="L11" s="126" t="s">
        <v>68</v>
      </c>
      <c r="M11" s="58" t="s">
        <v>68</v>
      </c>
      <c r="N11" s="59" t="s">
        <v>68</v>
      </c>
      <c r="O11" s="83" t="s">
        <v>68</v>
      </c>
      <c r="P11" s="83" t="s">
        <v>68</v>
      </c>
      <c r="Q11" s="83" t="s">
        <v>68</v>
      </c>
      <c r="R11" s="83" t="s">
        <v>68</v>
      </c>
      <c r="S11" s="58" t="s">
        <v>68</v>
      </c>
      <c r="T11" s="127">
        <v>21417</v>
      </c>
      <c r="U11" s="23">
        <v>327</v>
      </c>
      <c r="V11" s="103">
        <v>21090</v>
      </c>
      <c r="W11" s="24"/>
    </row>
    <row r="12" spans="1:23">
      <c r="A12" s="123">
        <v>1963</v>
      </c>
      <c r="B12" s="125" t="s">
        <v>68</v>
      </c>
      <c r="C12" s="21" t="s">
        <v>68</v>
      </c>
      <c r="D12" s="21">
        <v>22549</v>
      </c>
      <c r="E12" s="124">
        <v>98.9</v>
      </c>
      <c r="F12" s="125" t="s">
        <v>68</v>
      </c>
      <c r="G12" s="58" t="s">
        <v>68</v>
      </c>
      <c r="H12" s="59">
        <v>254</v>
      </c>
      <c r="I12" s="126">
        <v>1.1000000000000001</v>
      </c>
      <c r="J12" s="83" t="s">
        <v>68</v>
      </c>
      <c r="K12" s="83" t="s">
        <v>68</v>
      </c>
      <c r="L12" s="126" t="s">
        <v>68</v>
      </c>
      <c r="M12" s="58" t="s">
        <v>68</v>
      </c>
      <c r="N12" s="59" t="s">
        <v>68</v>
      </c>
      <c r="O12" s="83" t="s">
        <v>68</v>
      </c>
      <c r="P12" s="83" t="s">
        <v>68</v>
      </c>
      <c r="Q12" s="83" t="s">
        <v>68</v>
      </c>
      <c r="R12" s="83" t="s">
        <v>68</v>
      </c>
      <c r="S12" s="58" t="s">
        <v>68</v>
      </c>
      <c r="T12" s="127">
        <v>22803</v>
      </c>
      <c r="U12" s="23">
        <v>358</v>
      </c>
      <c r="V12" s="103">
        <v>22445</v>
      </c>
      <c r="W12" s="24"/>
    </row>
    <row r="13" spans="1:23">
      <c r="A13" s="123">
        <v>1964</v>
      </c>
      <c r="B13" s="125" t="s">
        <v>68</v>
      </c>
      <c r="C13" s="21" t="s">
        <v>68</v>
      </c>
      <c r="D13" s="21">
        <v>22104</v>
      </c>
      <c r="E13" s="124">
        <v>98.6</v>
      </c>
      <c r="F13" s="125" t="s">
        <v>68</v>
      </c>
      <c r="G13" s="58" t="s">
        <v>68</v>
      </c>
      <c r="H13" s="59">
        <v>304</v>
      </c>
      <c r="I13" s="126">
        <v>1.4</v>
      </c>
      <c r="J13" s="83" t="s">
        <v>68</v>
      </c>
      <c r="K13" s="83" t="s">
        <v>68</v>
      </c>
      <c r="L13" s="126" t="s">
        <v>68</v>
      </c>
      <c r="M13" s="58" t="s">
        <v>68</v>
      </c>
      <c r="N13" s="59" t="s">
        <v>68</v>
      </c>
      <c r="O13" s="83" t="s">
        <v>68</v>
      </c>
      <c r="P13" s="83" t="s">
        <v>68</v>
      </c>
      <c r="Q13" s="83" t="s">
        <v>68</v>
      </c>
      <c r="R13" s="83" t="s">
        <v>68</v>
      </c>
      <c r="S13" s="58" t="s">
        <v>68</v>
      </c>
      <c r="T13" s="127">
        <v>22408</v>
      </c>
      <c r="U13" s="23">
        <v>393</v>
      </c>
      <c r="V13" s="103">
        <v>22015</v>
      </c>
      <c r="W13" s="24"/>
    </row>
    <row r="14" spans="1:23">
      <c r="A14" s="123">
        <v>1965</v>
      </c>
      <c r="B14" s="125" t="s">
        <v>68</v>
      </c>
      <c r="C14" s="21" t="s">
        <v>68</v>
      </c>
      <c r="D14" s="21">
        <v>24797</v>
      </c>
      <c r="E14" s="124">
        <v>98.1</v>
      </c>
      <c r="F14" s="125" t="s">
        <v>68</v>
      </c>
      <c r="G14" s="58" t="s">
        <v>68</v>
      </c>
      <c r="H14" s="59">
        <v>491</v>
      </c>
      <c r="I14" s="126">
        <v>1.9</v>
      </c>
      <c r="J14" s="83" t="s">
        <v>68</v>
      </c>
      <c r="K14" s="83" t="s">
        <v>68</v>
      </c>
      <c r="L14" s="126" t="s">
        <v>68</v>
      </c>
      <c r="M14" s="58" t="s">
        <v>68</v>
      </c>
      <c r="N14" s="59" t="s">
        <v>68</v>
      </c>
      <c r="O14" s="83" t="s">
        <v>68</v>
      </c>
      <c r="P14" s="83" t="s">
        <v>68</v>
      </c>
      <c r="Q14" s="83" t="s">
        <v>68</v>
      </c>
      <c r="R14" s="83" t="s">
        <v>68</v>
      </c>
      <c r="S14" s="58" t="s">
        <v>68</v>
      </c>
      <c r="T14" s="127">
        <v>25288</v>
      </c>
      <c r="U14" s="23">
        <v>500</v>
      </c>
      <c r="V14" s="103">
        <v>24788</v>
      </c>
      <c r="W14" s="24"/>
    </row>
    <row r="15" spans="1:23">
      <c r="A15" s="123">
        <v>1966</v>
      </c>
      <c r="B15" s="125" t="s">
        <v>68</v>
      </c>
      <c r="C15" s="21" t="s">
        <v>68</v>
      </c>
      <c r="D15" s="21">
        <v>27797</v>
      </c>
      <c r="E15" s="124">
        <v>97.7</v>
      </c>
      <c r="F15" s="125" t="s">
        <v>68</v>
      </c>
      <c r="G15" s="58" t="s">
        <v>68</v>
      </c>
      <c r="H15" s="59">
        <v>652</v>
      </c>
      <c r="I15" s="126">
        <v>2.2999999999999998</v>
      </c>
      <c r="J15" s="83" t="s">
        <v>68</v>
      </c>
      <c r="K15" s="83" t="s">
        <v>68</v>
      </c>
      <c r="L15" s="126" t="s">
        <v>68</v>
      </c>
      <c r="M15" s="58" t="s">
        <v>68</v>
      </c>
      <c r="N15" s="59" t="s">
        <v>68</v>
      </c>
      <c r="O15" s="83" t="s">
        <v>68</v>
      </c>
      <c r="P15" s="83" t="s">
        <v>68</v>
      </c>
      <c r="Q15" s="83" t="s">
        <v>68</v>
      </c>
      <c r="R15" s="83" t="s">
        <v>68</v>
      </c>
      <c r="S15" s="58" t="s">
        <v>68</v>
      </c>
      <c r="T15" s="127">
        <v>28449</v>
      </c>
      <c r="U15" s="23">
        <v>589</v>
      </c>
      <c r="V15" s="103">
        <v>27860</v>
      </c>
      <c r="W15" s="24"/>
    </row>
    <row r="16" spans="1:23">
      <c r="A16" s="123">
        <v>1967</v>
      </c>
      <c r="B16" s="125" t="s">
        <v>68</v>
      </c>
      <c r="C16" s="21" t="s">
        <v>68</v>
      </c>
      <c r="D16" s="21">
        <v>29898</v>
      </c>
      <c r="E16" s="124">
        <v>97.1</v>
      </c>
      <c r="F16" s="125" t="s">
        <v>68</v>
      </c>
      <c r="G16" s="58" t="s">
        <v>68</v>
      </c>
      <c r="H16" s="59">
        <v>897</v>
      </c>
      <c r="I16" s="126">
        <v>2.9</v>
      </c>
      <c r="J16" s="83" t="s">
        <v>68</v>
      </c>
      <c r="K16" s="83" t="s">
        <v>68</v>
      </c>
      <c r="L16" s="126" t="s">
        <v>68</v>
      </c>
      <c r="M16" s="58" t="s">
        <v>68</v>
      </c>
      <c r="N16" s="59" t="s">
        <v>68</v>
      </c>
      <c r="O16" s="83" t="s">
        <v>68</v>
      </c>
      <c r="P16" s="83" t="s">
        <v>68</v>
      </c>
      <c r="Q16" s="83" t="s">
        <v>68</v>
      </c>
      <c r="R16" s="83" t="s">
        <v>68</v>
      </c>
      <c r="S16" s="58" t="s">
        <v>68</v>
      </c>
      <c r="T16" s="127">
        <v>30795</v>
      </c>
      <c r="U16" s="23">
        <v>578</v>
      </c>
      <c r="V16" s="103">
        <v>30217</v>
      </c>
      <c r="W16" s="24"/>
    </row>
    <row r="17" spans="1:23">
      <c r="A17" s="123">
        <v>1968</v>
      </c>
      <c r="B17" s="125" t="s">
        <v>68</v>
      </c>
      <c r="C17" s="21" t="s">
        <v>68</v>
      </c>
      <c r="D17" s="21">
        <v>29441</v>
      </c>
      <c r="E17" s="124">
        <v>95.7</v>
      </c>
      <c r="F17" s="125" t="s">
        <v>68</v>
      </c>
      <c r="G17" s="58" t="s">
        <v>68</v>
      </c>
      <c r="H17" s="59">
        <v>1324</v>
      </c>
      <c r="I17" s="126">
        <v>4.3</v>
      </c>
      <c r="J17" s="83" t="s">
        <v>68</v>
      </c>
      <c r="K17" s="83" t="s">
        <v>68</v>
      </c>
      <c r="L17" s="126" t="s">
        <v>68</v>
      </c>
      <c r="M17" s="58" t="s">
        <v>68</v>
      </c>
      <c r="N17" s="59" t="s">
        <v>68</v>
      </c>
      <c r="O17" s="83" t="s">
        <v>68</v>
      </c>
      <c r="P17" s="83" t="s">
        <v>68</v>
      </c>
      <c r="Q17" s="83" t="s">
        <v>68</v>
      </c>
      <c r="R17" s="83" t="s">
        <v>68</v>
      </c>
      <c r="S17" s="58" t="s">
        <v>68</v>
      </c>
      <c r="T17" s="127">
        <v>30765</v>
      </c>
      <c r="U17" s="23">
        <v>577</v>
      </c>
      <c r="V17" s="103">
        <v>30188</v>
      </c>
      <c r="W17" s="24"/>
    </row>
    <row r="18" spans="1:23">
      <c r="A18" s="123">
        <v>1969</v>
      </c>
      <c r="B18" s="125" t="s">
        <v>68</v>
      </c>
      <c r="C18" s="21" t="s">
        <v>68</v>
      </c>
      <c r="D18" s="21">
        <v>27327</v>
      </c>
      <c r="E18" s="124">
        <v>92.9</v>
      </c>
      <c r="F18" s="125">
        <v>563</v>
      </c>
      <c r="G18" s="124">
        <v>1.9</v>
      </c>
      <c r="H18" s="59">
        <v>1521</v>
      </c>
      <c r="I18" s="126">
        <v>5.2</v>
      </c>
      <c r="J18" s="83" t="s">
        <v>68</v>
      </c>
      <c r="K18" s="83" t="s">
        <v>68</v>
      </c>
      <c r="L18" s="126" t="s">
        <v>68</v>
      </c>
      <c r="M18" s="58" t="s">
        <v>68</v>
      </c>
      <c r="N18" s="59" t="s">
        <v>68</v>
      </c>
      <c r="O18" s="83" t="s">
        <v>68</v>
      </c>
      <c r="P18" s="83" t="s">
        <v>68</v>
      </c>
      <c r="Q18" s="83" t="s">
        <v>68</v>
      </c>
      <c r="R18" s="83" t="s">
        <v>68</v>
      </c>
      <c r="S18" s="58" t="s">
        <v>68</v>
      </c>
      <c r="T18" s="127">
        <v>29411</v>
      </c>
      <c r="U18" s="23">
        <v>567</v>
      </c>
      <c r="V18" s="103">
        <v>28844</v>
      </c>
      <c r="W18" s="24"/>
    </row>
    <row r="19" spans="1:23">
      <c r="A19" s="123">
        <v>1970</v>
      </c>
      <c r="B19" s="125">
        <v>13758</v>
      </c>
      <c r="C19" s="21">
        <v>17515</v>
      </c>
      <c r="D19" s="21">
        <v>31273</v>
      </c>
      <c r="E19" s="124">
        <v>89.6</v>
      </c>
      <c r="F19" s="125">
        <v>1850</v>
      </c>
      <c r="G19" s="124">
        <v>5.3</v>
      </c>
      <c r="H19" s="59">
        <v>1763</v>
      </c>
      <c r="I19" s="126">
        <v>5.0999999999999996</v>
      </c>
      <c r="J19" s="83" t="s">
        <v>68</v>
      </c>
      <c r="K19" s="83" t="s">
        <v>68</v>
      </c>
      <c r="L19" s="126" t="s">
        <v>68</v>
      </c>
      <c r="M19" s="58" t="s">
        <v>68</v>
      </c>
      <c r="N19" s="59" t="s">
        <v>68</v>
      </c>
      <c r="O19" s="83" t="s">
        <v>68</v>
      </c>
      <c r="P19" s="83" t="s">
        <v>68</v>
      </c>
      <c r="Q19" s="83" t="s">
        <v>68</v>
      </c>
      <c r="R19" s="83" t="s">
        <v>68</v>
      </c>
      <c r="S19" s="58" t="s">
        <v>68</v>
      </c>
      <c r="T19" s="127">
        <v>34886</v>
      </c>
      <c r="U19" s="23">
        <v>965</v>
      </c>
      <c r="V19" s="103">
        <v>33921</v>
      </c>
      <c r="W19" s="24"/>
    </row>
    <row r="20" spans="1:23">
      <c r="A20" s="123">
        <v>1971</v>
      </c>
      <c r="B20" s="125">
        <v>11523</v>
      </c>
      <c r="C20" s="21">
        <v>16040</v>
      </c>
      <c r="D20" s="21">
        <v>27563</v>
      </c>
      <c r="E20" s="124">
        <v>87.3</v>
      </c>
      <c r="F20" s="125">
        <v>1843</v>
      </c>
      <c r="G20" s="124">
        <v>5.8</v>
      </c>
      <c r="H20" s="59">
        <v>2181</v>
      </c>
      <c r="I20" s="126">
        <v>6.9</v>
      </c>
      <c r="J20" s="83" t="s">
        <v>68</v>
      </c>
      <c r="K20" s="83" t="s">
        <v>68</v>
      </c>
      <c r="L20" s="126" t="s">
        <v>68</v>
      </c>
      <c r="M20" s="58" t="s">
        <v>68</v>
      </c>
      <c r="N20" s="59" t="s">
        <v>68</v>
      </c>
      <c r="O20" s="83" t="s">
        <v>68</v>
      </c>
      <c r="P20" s="83" t="s">
        <v>68</v>
      </c>
      <c r="Q20" s="83" t="s">
        <v>68</v>
      </c>
      <c r="R20" s="83" t="s">
        <v>68</v>
      </c>
      <c r="S20" s="58" t="s">
        <v>68</v>
      </c>
      <c r="T20" s="127">
        <v>31587</v>
      </c>
      <c r="U20" s="23">
        <v>1377</v>
      </c>
      <c r="V20" s="103">
        <v>30210</v>
      </c>
      <c r="W20" s="24"/>
    </row>
    <row r="21" spans="1:23">
      <c r="A21" s="123">
        <v>1972</v>
      </c>
      <c r="B21" s="125">
        <v>11218</v>
      </c>
      <c r="C21" s="21">
        <v>14059</v>
      </c>
      <c r="D21" s="21">
        <v>25277</v>
      </c>
      <c r="E21" s="124">
        <v>78.3</v>
      </c>
      <c r="F21" s="125">
        <v>4650</v>
      </c>
      <c r="G21" s="124">
        <v>14.4</v>
      </c>
      <c r="H21" s="59">
        <v>2371</v>
      </c>
      <c r="I21" s="126">
        <v>7.3</v>
      </c>
      <c r="J21" s="83" t="s">
        <v>68</v>
      </c>
      <c r="K21" s="83" t="s">
        <v>68</v>
      </c>
      <c r="L21" s="126" t="s">
        <v>68</v>
      </c>
      <c r="M21" s="58" t="s">
        <v>68</v>
      </c>
      <c r="N21" s="59" t="s">
        <v>68</v>
      </c>
      <c r="O21" s="83" t="s">
        <v>68</v>
      </c>
      <c r="P21" s="83" t="s">
        <v>68</v>
      </c>
      <c r="Q21" s="83" t="s">
        <v>68</v>
      </c>
      <c r="R21" s="83" t="s">
        <v>68</v>
      </c>
      <c r="S21" s="58" t="s">
        <v>68</v>
      </c>
      <c r="T21" s="127">
        <v>32298</v>
      </c>
      <c r="U21" s="23">
        <v>1644</v>
      </c>
      <c r="V21" s="103">
        <v>30654</v>
      </c>
      <c r="W21" s="24"/>
    </row>
    <row r="22" spans="1:23">
      <c r="A22" s="123">
        <v>1973</v>
      </c>
      <c r="B22" s="125">
        <v>12430</v>
      </c>
      <c r="C22" s="21">
        <v>16395</v>
      </c>
      <c r="D22" s="21">
        <v>28825</v>
      </c>
      <c r="E22" s="124">
        <v>77.5</v>
      </c>
      <c r="F22" s="125">
        <v>5896</v>
      </c>
      <c r="G22" s="124">
        <v>15.9</v>
      </c>
      <c r="H22" s="59">
        <v>2434</v>
      </c>
      <c r="I22" s="126">
        <v>6.6</v>
      </c>
      <c r="J22" s="83" t="s">
        <v>68</v>
      </c>
      <c r="K22" s="83" t="s">
        <v>68</v>
      </c>
      <c r="L22" s="126" t="s">
        <v>68</v>
      </c>
      <c r="M22" s="58" t="s">
        <v>68</v>
      </c>
      <c r="N22" s="59" t="s">
        <v>68</v>
      </c>
      <c r="O22" s="83" t="s">
        <v>68</v>
      </c>
      <c r="P22" s="83" t="s">
        <v>68</v>
      </c>
      <c r="Q22" s="83" t="s">
        <v>68</v>
      </c>
      <c r="R22" s="83" t="s">
        <v>68</v>
      </c>
      <c r="S22" s="58" t="s">
        <v>68</v>
      </c>
      <c r="T22" s="127">
        <v>37155</v>
      </c>
      <c r="U22" s="23">
        <v>1724</v>
      </c>
      <c r="V22" s="103">
        <v>35431</v>
      </c>
      <c r="W22" s="24"/>
    </row>
    <row r="23" spans="1:23">
      <c r="A23" s="123">
        <v>1974</v>
      </c>
      <c r="B23" s="125">
        <v>13252</v>
      </c>
      <c r="C23" s="21">
        <v>15311</v>
      </c>
      <c r="D23" s="21">
        <v>28563</v>
      </c>
      <c r="E23" s="124">
        <v>76.3</v>
      </c>
      <c r="F23" s="125">
        <v>6730</v>
      </c>
      <c r="G23" s="124">
        <v>18</v>
      </c>
      <c r="H23" s="59">
        <v>2117</v>
      </c>
      <c r="I23" s="126">
        <v>5.7</v>
      </c>
      <c r="J23" s="83" t="s">
        <v>68</v>
      </c>
      <c r="K23" s="83" t="s">
        <v>68</v>
      </c>
      <c r="L23" s="126" t="s">
        <v>68</v>
      </c>
      <c r="M23" s="58" t="s">
        <v>68</v>
      </c>
      <c r="N23" s="59" t="s">
        <v>68</v>
      </c>
      <c r="O23" s="83" t="s">
        <v>68</v>
      </c>
      <c r="P23" s="83" t="s">
        <v>68</v>
      </c>
      <c r="Q23" s="83" t="s">
        <v>68</v>
      </c>
      <c r="R23" s="83" t="s">
        <v>68</v>
      </c>
      <c r="S23" s="58" t="s">
        <v>68</v>
      </c>
      <c r="T23" s="127">
        <v>37410</v>
      </c>
      <c r="U23" s="23">
        <v>1541</v>
      </c>
      <c r="V23" s="103">
        <v>35869</v>
      </c>
      <c r="W23" s="24"/>
    </row>
    <row r="24" spans="1:23">
      <c r="A24" s="123">
        <v>1975</v>
      </c>
      <c r="B24" s="125">
        <v>14039</v>
      </c>
      <c r="C24" s="21">
        <v>19935</v>
      </c>
      <c r="D24" s="21">
        <v>33974</v>
      </c>
      <c r="E24" s="124">
        <v>79</v>
      </c>
      <c r="F24" s="125">
        <v>7391</v>
      </c>
      <c r="G24" s="124">
        <v>17.2</v>
      </c>
      <c r="H24" s="59">
        <v>1629</v>
      </c>
      <c r="I24" s="126">
        <v>3.8</v>
      </c>
      <c r="J24" s="83" t="s">
        <v>68</v>
      </c>
      <c r="K24" s="83" t="s">
        <v>68</v>
      </c>
      <c r="L24" s="126" t="s">
        <v>68</v>
      </c>
      <c r="M24" s="58" t="s">
        <v>68</v>
      </c>
      <c r="N24" s="59" t="s">
        <v>68</v>
      </c>
      <c r="O24" s="83" t="s">
        <v>68</v>
      </c>
      <c r="P24" s="83" t="s">
        <v>68</v>
      </c>
      <c r="Q24" s="83" t="s">
        <v>68</v>
      </c>
      <c r="R24" s="83" t="s">
        <v>68</v>
      </c>
      <c r="S24" s="58" t="s">
        <v>68</v>
      </c>
      <c r="T24" s="127">
        <v>42994</v>
      </c>
      <c r="U24" s="23">
        <v>1198</v>
      </c>
      <c r="V24" s="103">
        <v>41796</v>
      </c>
      <c r="W24" s="24"/>
    </row>
    <row r="25" spans="1:23">
      <c r="A25" s="123">
        <v>1976</v>
      </c>
      <c r="B25" s="125">
        <v>11790</v>
      </c>
      <c r="C25" s="21">
        <v>14832</v>
      </c>
      <c r="D25" s="21">
        <v>26622</v>
      </c>
      <c r="E25" s="124">
        <v>73.400000000000006</v>
      </c>
      <c r="F25" s="125">
        <v>7561</v>
      </c>
      <c r="G25" s="124">
        <v>20.9</v>
      </c>
      <c r="H25" s="59">
        <v>2058</v>
      </c>
      <c r="I25" s="126">
        <v>5.7</v>
      </c>
      <c r="J25" s="83" t="s">
        <v>68</v>
      </c>
      <c r="K25" s="83" t="s">
        <v>68</v>
      </c>
      <c r="L25" s="126" t="s">
        <v>68</v>
      </c>
      <c r="M25" s="58" t="s">
        <v>68</v>
      </c>
      <c r="N25" s="59" t="s">
        <v>68</v>
      </c>
      <c r="O25" s="83" t="s">
        <v>68</v>
      </c>
      <c r="P25" s="83" t="s">
        <v>68</v>
      </c>
      <c r="Q25" s="83" t="s">
        <v>68</v>
      </c>
      <c r="R25" s="83" t="s">
        <v>68</v>
      </c>
      <c r="S25" s="58" t="s">
        <v>68</v>
      </c>
      <c r="T25" s="127">
        <v>36241</v>
      </c>
      <c r="U25" s="23">
        <v>1344</v>
      </c>
      <c r="V25" s="103">
        <v>34897</v>
      </c>
      <c r="W25" s="24"/>
    </row>
    <row r="26" spans="1:23">
      <c r="A26" s="123">
        <v>1977</v>
      </c>
      <c r="B26" s="125">
        <v>15277</v>
      </c>
      <c r="C26" s="21">
        <v>21013</v>
      </c>
      <c r="D26" s="21">
        <v>36290</v>
      </c>
      <c r="E26" s="124">
        <v>79.099999999999994</v>
      </c>
      <c r="F26" s="125">
        <v>7728</v>
      </c>
      <c r="G26" s="124">
        <v>16.8</v>
      </c>
      <c r="H26" s="59">
        <v>1885</v>
      </c>
      <c r="I26" s="126">
        <v>4.0999999999999996</v>
      </c>
      <c r="J26" s="83" t="s">
        <v>68</v>
      </c>
      <c r="K26" s="83" t="s">
        <v>68</v>
      </c>
      <c r="L26" s="126" t="s">
        <v>68</v>
      </c>
      <c r="M26" s="58" t="s">
        <v>68</v>
      </c>
      <c r="N26" s="59" t="s">
        <v>68</v>
      </c>
      <c r="O26" s="83" t="s">
        <v>68</v>
      </c>
      <c r="P26" s="83" t="s">
        <v>68</v>
      </c>
      <c r="Q26" s="83" t="s">
        <v>68</v>
      </c>
      <c r="R26" s="83" t="s">
        <v>68</v>
      </c>
      <c r="S26" s="58" t="s">
        <v>68</v>
      </c>
      <c r="T26" s="127">
        <v>45903</v>
      </c>
      <c r="U26" s="23">
        <v>1277</v>
      </c>
      <c r="V26" s="103">
        <v>44626</v>
      </c>
      <c r="W26" s="24"/>
    </row>
    <row r="27" spans="1:23">
      <c r="A27" s="123">
        <v>1978</v>
      </c>
      <c r="B27" s="125">
        <v>13764</v>
      </c>
      <c r="C27" s="21">
        <v>18746</v>
      </c>
      <c r="D27" s="21">
        <v>32510</v>
      </c>
      <c r="E27" s="124">
        <v>76.7</v>
      </c>
      <c r="F27" s="125">
        <v>7995</v>
      </c>
      <c r="G27" s="124">
        <v>18.899999999999999</v>
      </c>
      <c r="H27" s="59">
        <v>1845</v>
      </c>
      <c r="I27" s="126">
        <v>4.4000000000000004</v>
      </c>
      <c r="J27" s="83" t="s">
        <v>68</v>
      </c>
      <c r="K27" s="83" t="s">
        <v>68</v>
      </c>
      <c r="L27" s="126" t="s">
        <v>68</v>
      </c>
      <c r="M27" s="58" t="s">
        <v>68</v>
      </c>
      <c r="N27" s="59" t="s">
        <v>68</v>
      </c>
      <c r="O27" s="83" t="s">
        <v>68</v>
      </c>
      <c r="P27" s="83" t="s">
        <v>68</v>
      </c>
      <c r="Q27" s="83" t="s">
        <v>68</v>
      </c>
      <c r="R27" s="83" t="s">
        <v>68</v>
      </c>
      <c r="S27" s="58" t="s">
        <v>68</v>
      </c>
      <c r="T27" s="127">
        <v>42350</v>
      </c>
      <c r="U27" s="23">
        <v>1361</v>
      </c>
      <c r="V27" s="103">
        <v>40989</v>
      </c>
      <c r="W27" s="24"/>
    </row>
    <row r="28" spans="1:23">
      <c r="A28" s="123">
        <v>1979</v>
      </c>
      <c r="B28" s="125">
        <v>14803</v>
      </c>
      <c r="C28" s="21">
        <v>17542</v>
      </c>
      <c r="D28" s="21">
        <v>32345</v>
      </c>
      <c r="E28" s="124">
        <v>71</v>
      </c>
      <c r="F28" s="125">
        <v>11243</v>
      </c>
      <c r="G28" s="124">
        <v>24.7</v>
      </c>
      <c r="H28" s="59">
        <v>1963</v>
      </c>
      <c r="I28" s="126">
        <v>4.3</v>
      </c>
      <c r="J28" s="83" t="s">
        <v>68</v>
      </c>
      <c r="K28" s="83" t="s">
        <v>68</v>
      </c>
      <c r="L28" s="126" t="s">
        <v>68</v>
      </c>
      <c r="M28" s="58" t="s">
        <v>68</v>
      </c>
      <c r="N28" s="59" t="s">
        <v>68</v>
      </c>
      <c r="O28" s="83" t="s">
        <v>68</v>
      </c>
      <c r="P28" s="83" t="s">
        <v>68</v>
      </c>
      <c r="Q28" s="83" t="s">
        <v>68</v>
      </c>
      <c r="R28" s="83" t="s">
        <v>68</v>
      </c>
      <c r="S28" s="58" t="s">
        <v>68</v>
      </c>
      <c r="T28" s="127">
        <v>45551</v>
      </c>
      <c r="U28" s="23">
        <v>1586</v>
      </c>
      <c r="V28" s="103">
        <v>43965</v>
      </c>
      <c r="W28" s="24"/>
    </row>
    <row r="29" spans="1:23">
      <c r="A29" s="123">
        <v>1980</v>
      </c>
      <c r="B29" s="125">
        <v>14967</v>
      </c>
      <c r="C29" s="21">
        <v>18575</v>
      </c>
      <c r="D29" s="21">
        <v>33542</v>
      </c>
      <c r="E29" s="124">
        <v>69.599999999999994</v>
      </c>
      <c r="F29" s="125">
        <v>13663</v>
      </c>
      <c r="G29" s="124">
        <v>28.4</v>
      </c>
      <c r="H29" s="59">
        <v>957</v>
      </c>
      <c r="I29" s="126">
        <v>2</v>
      </c>
      <c r="J29" s="83" t="s">
        <v>68</v>
      </c>
      <c r="K29" s="83" t="s">
        <v>68</v>
      </c>
      <c r="L29" s="126" t="s">
        <v>68</v>
      </c>
      <c r="M29" s="58" t="s">
        <v>68</v>
      </c>
      <c r="N29" s="59" t="s">
        <v>68</v>
      </c>
      <c r="O29" s="83" t="s">
        <v>68</v>
      </c>
      <c r="P29" s="83" t="s">
        <v>68</v>
      </c>
      <c r="Q29" s="83" t="s">
        <v>68</v>
      </c>
      <c r="R29" s="83" t="s">
        <v>68</v>
      </c>
      <c r="S29" s="58" t="s">
        <v>68</v>
      </c>
      <c r="T29" s="127">
        <v>48162</v>
      </c>
      <c r="U29" s="23">
        <v>1531</v>
      </c>
      <c r="V29" s="103">
        <v>46631</v>
      </c>
      <c r="W29" s="24"/>
    </row>
    <row r="30" spans="1:23">
      <c r="A30" s="123">
        <v>1981</v>
      </c>
      <c r="B30" s="125">
        <v>16173</v>
      </c>
      <c r="C30" s="21">
        <v>19924</v>
      </c>
      <c r="D30" s="21">
        <v>36097</v>
      </c>
      <c r="E30" s="124">
        <v>70</v>
      </c>
      <c r="F30" s="125">
        <v>14462</v>
      </c>
      <c r="G30" s="124">
        <v>28.1</v>
      </c>
      <c r="H30" s="59">
        <v>956</v>
      </c>
      <c r="I30" s="126">
        <v>1.9</v>
      </c>
      <c r="J30" s="83" t="s">
        <v>68</v>
      </c>
      <c r="K30" s="83" t="s">
        <v>68</v>
      </c>
      <c r="L30" s="126" t="s">
        <v>68</v>
      </c>
      <c r="M30" s="58" t="s">
        <v>68</v>
      </c>
      <c r="N30" s="59" t="s">
        <v>68</v>
      </c>
      <c r="O30" s="83" t="s">
        <v>68</v>
      </c>
      <c r="P30" s="83" t="s">
        <v>68</v>
      </c>
      <c r="Q30" s="83" t="s">
        <v>68</v>
      </c>
      <c r="R30" s="83" t="s">
        <v>68</v>
      </c>
      <c r="S30" s="58" t="s">
        <v>68</v>
      </c>
      <c r="T30" s="127">
        <v>51515</v>
      </c>
      <c r="U30" s="23">
        <v>1395</v>
      </c>
      <c r="V30" s="103">
        <v>50120</v>
      </c>
      <c r="W30" s="24"/>
    </row>
    <row r="31" spans="1:23">
      <c r="A31" s="123">
        <v>1982</v>
      </c>
      <c r="B31" s="125">
        <v>15617</v>
      </c>
      <c r="C31" s="21">
        <v>21418</v>
      </c>
      <c r="D31" s="21">
        <v>37035</v>
      </c>
      <c r="E31" s="124">
        <v>70.8</v>
      </c>
      <c r="F31" s="125">
        <v>14276</v>
      </c>
      <c r="G31" s="124">
        <v>27.3</v>
      </c>
      <c r="H31" s="59">
        <v>974</v>
      </c>
      <c r="I31" s="126">
        <v>1.9</v>
      </c>
      <c r="J31" s="83" t="s">
        <v>68</v>
      </c>
      <c r="K31" s="83" t="s">
        <v>68</v>
      </c>
      <c r="L31" s="126" t="s">
        <v>68</v>
      </c>
      <c r="M31" s="58" t="s">
        <v>68</v>
      </c>
      <c r="N31" s="59" t="s">
        <v>68</v>
      </c>
      <c r="O31" s="83" t="s">
        <v>68</v>
      </c>
      <c r="P31" s="83" t="s">
        <v>68</v>
      </c>
      <c r="Q31" s="83" t="s">
        <v>68</v>
      </c>
      <c r="R31" s="83" t="s">
        <v>68</v>
      </c>
      <c r="S31" s="58" t="s">
        <v>68</v>
      </c>
      <c r="T31" s="127">
        <v>52285</v>
      </c>
      <c r="U31" s="23">
        <v>1532</v>
      </c>
      <c r="V31" s="103">
        <v>50753</v>
      </c>
      <c r="W31" s="24"/>
    </row>
    <row r="32" spans="1:23">
      <c r="A32" s="123">
        <v>1983</v>
      </c>
      <c r="B32" s="125">
        <v>15234</v>
      </c>
      <c r="C32" s="21">
        <v>20768</v>
      </c>
      <c r="D32" s="21">
        <v>36002</v>
      </c>
      <c r="E32" s="124">
        <v>69.5</v>
      </c>
      <c r="F32" s="125">
        <v>14821</v>
      </c>
      <c r="G32" s="124">
        <v>28.6</v>
      </c>
      <c r="H32" s="59">
        <v>996</v>
      </c>
      <c r="I32" s="126">
        <v>1.9</v>
      </c>
      <c r="J32" s="83" t="s">
        <v>68</v>
      </c>
      <c r="K32" s="83" t="s">
        <v>68</v>
      </c>
      <c r="L32" s="126" t="s">
        <v>68</v>
      </c>
      <c r="M32" s="58" t="s">
        <v>68</v>
      </c>
      <c r="N32" s="59" t="s">
        <v>68</v>
      </c>
      <c r="O32" s="83" t="s">
        <v>68</v>
      </c>
      <c r="P32" s="83" t="s">
        <v>68</v>
      </c>
      <c r="Q32" s="83" t="s">
        <v>68</v>
      </c>
      <c r="R32" s="83" t="s">
        <v>68</v>
      </c>
      <c r="S32" s="58" t="s">
        <v>68</v>
      </c>
      <c r="T32" s="127">
        <v>51819</v>
      </c>
      <c r="U32" s="23">
        <v>1346</v>
      </c>
      <c r="V32" s="103">
        <v>50473</v>
      </c>
      <c r="W32" s="24"/>
    </row>
    <row r="33" spans="1:23">
      <c r="A33" s="123">
        <v>1984</v>
      </c>
      <c r="B33" s="125">
        <v>14051</v>
      </c>
      <c r="C33" s="21">
        <v>16821</v>
      </c>
      <c r="D33" s="21">
        <v>30872</v>
      </c>
      <c r="E33" s="124">
        <v>62.8</v>
      </c>
      <c r="F33" s="125">
        <v>17396</v>
      </c>
      <c r="G33" s="124">
        <v>35.4</v>
      </c>
      <c r="H33" s="59">
        <v>884</v>
      </c>
      <c r="I33" s="126">
        <v>1.8</v>
      </c>
      <c r="J33" s="83" t="s">
        <v>68</v>
      </c>
      <c r="K33" s="83" t="s">
        <v>68</v>
      </c>
      <c r="L33" s="126" t="s">
        <v>68</v>
      </c>
      <c r="M33" s="58" t="s">
        <v>68</v>
      </c>
      <c r="N33" s="59" t="s">
        <v>68</v>
      </c>
      <c r="O33" s="83" t="s">
        <v>68</v>
      </c>
      <c r="P33" s="83" t="s">
        <v>68</v>
      </c>
      <c r="Q33" s="83" t="s">
        <v>68</v>
      </c>
      <c r="R33" s="83" t="s">
        <v>68</v>
      </c>
      <c r="S33" s="58" t="s">
        <v>68</v>
      </c>
      <c r="T33" s="127">
        <v>49152</v>
      </c>
      <c r="U33" s="23">
        <v>1444</v>
      </c>
      <c r="V33" s="103">
        <v>47708</v>
      </c>
      <c r="W33" s="24"/>
    </row>
    <row r="34" spans="1:23">
      <c r="A34" s="123">
        <v>1985</v>
      </c>
      <c r="B34" s="125">
        <v>13765</v>
      </c>
      <c r="C34" s="21">
        <v>18912</v>
      </c>
      <c r="D34" s="21">
        <v>32677</v>
      </c>
      <c r="E34" s="124">
        <v>59.6</v>
      </c>
      <c r="F34" s="125">
        <v>21281</v>
      </c>
      <c r="G34" s="124">
        <v>38.799999999999997</v>
      </c>
      <c r="H34" s="59">
        <v>869</v>
      </c>
      <c r="I34" s="126">
        <v>1.6</v>
      </c>
      <c r="J34" s="83" t="s">
        <v>68</v>
      </c>
      <c r="K34" s="83" t="s">
        <v>68</v>
      </c>
      <c r="L34" s="126" t="s">
        <v>68</v>
      </c>
      <c r="M34" s="58" t="s">
        <v>68</v>
      </c>
      <c r="N34" s="59" t="s">
        <v>68</v>
      </c>
      <c r="O34" s="83" t="s">
        <v>68</v>
      </c>
      <c r="P34" s="83" t="s">
        <v>68</v>
      </c>
      <c r="Q34" s="83" t="s">
        <v>68</v>
      </c>
      <c r="R34" s="83" t="s">
        <v>68</v>
      </c>
      <c r="S34" s="58" t="s">
        <v>68</v>
      </c>
      <c r="T34" s="127">
        <v>54827</v>
      </c>
      <c r="U34" s="23">
        <v>1364</v>
      </c>
      <c r="V34" s="103">
        <v>53463</v>
      </c>
      <c r="W34" s="24"/>
    </row>
    <row r="35" spans="1:23">
      <c r="A35" s="123">
        <v>1986</v>
      </c>
      <c r="B35" s="125">
        <v>14013</v>
      </c>
      <c r="C35" s="21">
        <v>19576</v>
      </c>
      <c r="D35" s="21">
        <v>33589</v>
      </c>
      <c r="E35" s="124">
        <v>60.1</v>
      </c>
      <c r="F35" s="125">
        <v>21303</v>
      </c>
      <c r="G35" s="124">
        <v>38.1</v>
      </c>
      <c r="H35" s="59">
        <v>988</v>
      </c>
      <c r="I35" s="126">
        <v>1.8</v>
      </c>
      <c r="J35" s="83" t="s">
        <v>68</v>
      </c>
      <c r="K35" s="83" t="s">
        <v>68</v>
      </c>
      <c r="L35" s="126" t="s">
        <v>68</v>
      </c>
      <c r="M35" s="58" t="s">
        <v>68</v>
      </c>
      <c r="N35" s="59" t="s">
        <v>68</v>
      </c>
      <c r="O35" s="83" t="s">
        <v>68</v>
      </c>
      <c r="P35" s="83" t="s">
        <v>68</v>
      </c>
      <c r="Q35" s="83" t="s">
        <v>68</v>
      </c>
      <c r="R35" s="83" t="s">
        <v>68</v>
      </c>
      <c r="S35" s="58" t="s">
        <v>68</v>
      </c>
      <c r="T35" s="127">
        <v>55880</v>
      </c>
      <c r="U35" s="23">
        <v>1461</v>
      </c>
      <c r="V35" s="103">
        <v>54419</v>
      </c>
      <c r="W35" s="24"/>
    </row>
    <row r="36" spans="1:23">
      <c r="A36" s="123">
        <v>1987</v>
      </c>
      <c r="B36" s="125">
        <v>14863</v>
      </c>
      <c r="C36" s="21">
        <v>20549</v>
      </c>
      <c r="D36" s="21">
        <v>35412</v>
      </c>
      <c r="E36" s="124">
        <v>60.9</v>
      </c>
      <c r="F36" s="125">
        <v>21701</v>
      </c>
      <c r="G36" s="124">
        <v>37.299999999999997</v>
      </c>
      <c r="H36" s="59">
        <v>1048</v>
      </c>
      <c r="I36" s="126">
        <v>1.8</v>
      </c>
      <c r="J36" s="83" t="s">
        <v>68</v>
      </c>
      <c r="K36" s="83" t="s">
        <v>68</v>
      </c>
      <c r="L36" s="126" t="s">
        <v>68</v>
      </c>
      <c r="M36" s="58" t="s">
        <v>68</v>
      </c>
      <c r="N36" s="59" t="s">
        <v>68</v>
      </c>
      <c r="O36" s="83" t="s">
        <v>68</v>
      </c>
      <c r="P36" s="83" t="s">
        <v>68</v>
      </c>
      <c r="Q36" s="83" t="s">
        <v>68</v>
      </c>
      <c r="R36" s="83" t="s">
        <v>68</v>
      </c>
      <c r="S36" s="58" t="s">
        <v>68</v>
      </c>
      <c r="T36" s="127">
        <v>58161</v>
      </c>
      <c r="U36" s="23">
        <v>1564</v>
      </c>
      <c r="V36" s="103">
        <v>56597</v>
      </c>
      <c r="W36" s="24"/>
    </row>
    <row r="37" spans="1:23">
      <c r="A37" s="123">
        <v>1988</v>
      </c>
      <c r="B37" s="125">
        <v>15437</v>
      </c>
      <c r="C37" s="21">
        <v>21002</v>
      </c>
      <c r="D37" s="21">
        <v>36439</v>
      </c>
      <c r="E37" s="124">
        <v>61.8</v>
      </c>
      <c r="F37" s="125">
        <v>21502</v>
      </c>
      <c r="G37" s="124">
        <v>36.5</v>
      </c>
      <c r="H37" s="59">
        <v>1023</v>
      </c>
      <c r="I37" s="126">
        <v>1.7</v>
      </c>
      <c r="J37" s="83" t="s">
        <v>68</v>
      </c>
      <c r="K37" s="83" t="s">
        <v>68</v>
      </c>
      <c r="L37" s="126" t="s">
        <v>68</v>
      </c>
      <c r="M37" s="58" t="s">
        <v>68</v>
      </c>
      <c r="N37" s="59" t="s">
        <v>68</v>
      </c>
      <c r="O37" s="83" t="s">
        <v>68</v>
      </c>
      <c r="P37" s="83" t="s">
        <v>68</v>
      </c>
      <c r="Q37" s="83" t="s">
        <v>68</v>
      </c>
      <c r="R37" s="83" t="s">
        <v>68</v>
      </c>
      <c r="S37" s="58" t="s">
        <v>68</v>
      </c>
      <c r="T37" s="127">
        <v>58964</v>
      </c>
      <c r="U37" s="23">
        <v>1445</v>
      </c>
      <c r="V37" s="103">
        <v>57519</v>
      </c>
      <c r="W37" s="24"/>
    </row>
    <row r="38" spans="1:23">
      <c r="A38" s="123">
        <v>1989</v>
      </c>
      <c r="B38" s="125">
        <v>13613</v>
      </c>
      <c r="C38" s="21">
        <v>16872</v>
      </c>
      <c r="D38" s="21">
        <v>30485</v>
      </c>
      <c r="E38" s="124">
        <v>57.4</v>
      </c>
      <c r="F38" s="125">
        <v>21543</v>
      </c>
      <c r="G38" s="124">
        <v>40.6</v>
      </c>
      <c r="H38" s="59">
        <v>1082</v>
      </c>
      <c r="I38" s="126">
        <v>2</v>
      </c>
      <c r="J38" s="83" t="s">
        <v>68</v>
      </c>
      <c r="K38" s="83" t="s">
        <v>68</v>
      </c>
      <c r="L38" s="126" t="s">
        <v>68</v>
      </c>
      <c r="M38" s="58" t="s">
        <v>68</v>
      </c>
      <c r="N38" s="59" t="s">
        <v>68</v>
      </c>
      <c r="O38" s="83" t="s">
        <v>68</v>
      </c>
      <c r="P38" s="83" t="s">
        <v>68</v>
      </c>
      <c r="Q38" s="83" t="s">
        <v>68</v>
      </c>
      <c r="R38" s="83" t="s">
        <v>68</v>
      </c>
      <c r="S38" s="58" t="s">
        <v>68</v>
      </c>
      <c r="T38" s="127">
        <v>53110</v>
      </c>
      <c r="U38" s="23">
        <v>1454</v>
      </c>
      <c r="V38" s="103">
        <v>51656</v>
      </c>
      <c r="W38" s="24"/>
    </row>
    <row r="39" spans="1:23">
      <c r="A39" s="123">
        <v>1990</v>
      </c>
      <c r="B39" s="125">
        <v>13561</v>
      </c>
      <c r="C39" s="21">
        <v>17114</v>
      </c>
      <c r="D39" s="21">
        <v>30675</v>
      </c>
      <c r="E39" s="124">
        <v>56.8</v>
      </c>
      <c r="F39" s="125">
        <v>22298</v>
      </c>
      <c r="G39" s="124">
        <v>41.2</v>
      </c>
      <c r="H39" s="59">
        <v>1013</v>
      </c>
      <c r="I39" s="126">
        <v>1.9</v>
      </c>
      <c r="J39" s="83">
        <v>661</v>
      </c>
      <c r="K39" s="126">
        <v>1.2</v>
      </c>
      <c r="L39" s="83">
        <v>352</v>
      </c>
      <c r="M39" s="58">
        <v>0.7</v>
      </c>
      <c r="N39" s="59">
        <v>6</v>
      </c>
      <c r="O39" s="83">
        <v>80</v>
      </c>
      <c r="P39" s="83">
        <v>1</v>
      </c>
      <c r="Q39" s="83">
        <v>0</v>
      </c>
      <c r="R39" s="83">
        <v>88</v>
      </c>
      <c r="S39" s="58">
        <v>0.2</v>
      </c>
      <c r="T39" s="127">
        <v>54074</v>
      </c>
      <c r="U39" s="23">
        <v>1695</v>
      </c>
      <c r="V39" s="103">
        <v>52379</v>
      </c>
      <c r="W39" s="24"/>
    </row>
    <row r="40" spans="1:23">
      <c r="A40" s="123">
        <v>1991</v>
      </c>
      <c r="B40" s="125">
        <v>13898</v>
      </c>
      <c r="C40" s="21">
        <v>19184</v>
      </c>
      <c r="D40" s="21">
        <v>33082</v>
      </c>
      <c r="E40" s="124">
        <v>59</v>
      </c>
      <c r="F40" s="125">
        <v>21654</v>
      </c>
      <c r="G40" s="124">
        <v>38.6</v>
      </c>
      <c r="H40" s="59">
        <v>1247</v>
      </c>
      <c r="I40" s="126">
        <v>2.2000000000000002</v>
      </c>
      <c r="J40" s="83">
        <v>904</v>
      </c>
      <c r="K40" s="126">
        <v>1.6</v>
      </c>
      <c r="L40" s="83">
        <v>343</v>
      </c>
      <c r="M40" s="58">
        <v>0.6</v>
      </c>
      <c r="N40" s="59">
        <v>6</v>
      </c>
      <c r="O40" s="83">
        <v>87</v>
      </c>
      <c r="P40" s="83">
        <v>2</v>
      </c>
      <c r="Q40" s="83">
        <v>0</v>
      </c>
      <c r="R40" s="83">
        <v>95</v>
      </c>
      <c r="S40" s="58">
        <v>0.2</v>
      </c>
      <c r="T40" s="127">
        <v>56078</v>
      </c>
      <c r="U40" s="23">
        <v>1946</v>
      </c>
      <c r="V40" s="103">
        <v>54132</v>
      </c>
      <c r="W40" s="24"/>
    </row>
    <row r="41" spans="1:23">
      <c r="A41" s="123">
        <v>1992</v>
      </c>
      <c r="B41" s="125">
        <v>15219</v>
      </c>
      <c r="C41" s="21">
        <v>18506</v>
      </c>
      <c r="D41" s="21">
        <v>33725</v>
      </c>
      <c r="E41" s="124">
        <v>58.8</v>
      </c>
      <c r="F41" s="125">
        <v>22121</v>
      </c>
      <c r="G41" s="124">
        <v>38.6</v>
      </c>
      <c r="H41" s="59">
        <v>1393</v>
      </c>
      <c r="I41" s="126">
        <v>2.4</v>
      </c>
      <c r="J41" s="83">
        <v>1014</v>
      </c>
      <c r="K41" s="126">
        <v>1.8</v>
      </c>
      <c r="L41" s="83">
        <v>379</v>
      </c>
      <c r="M41" s="58">
        <v>0.7</v>
      </c>
      <c r="N41" s="59">
        <v>11</v>
      </c>
      <c r="O41" s="83">
        <v>95</v>
      </c>
      <c r="P41" s="83">
        <v>3</v>
      </c>
      <c r="Q41" s="83">
        <v>0</v>
      </c>
      <c r="R41" s="83">
        <v>109</v>
      </c>
      <c r="S41" s="58">
        <v>0.2</v>
      </c>
      <c r="T41" s="127">
        <v>57348</v>
      </c>
      <c r="U41" s="23">
        <v>1438</v>
      </c>
      <c r="V41" s="103">
        <v>55910</v>
      </c>
      <c r="W41" s="24"/>
    </row>
    <row r="42" spans="1:23">
      <c r="A42" s="123">
        <v>1993</v>
      </c>
      <c r="B42" s="125">
        <v>15451</v>
      </c>
      <c r="C42" s="21">
        <v>20802</v>
      </c>
      <c r="D42" s="21">
        <v>36253</v>
      </c>
      <c r="E42" s="124">
        <v>61.2</v>
      </c>
      <c r="F42" s="125">
        <v>22029</v>
      </c>
      <c r="G42" s="124">
        <v>37.1</v>
      </c>
      <c r="H42" s="59">
        <v>913</v>
      </c>
      <c r="I42" s="126">
        <v>1.5</v>
      </c>
      <c r="J42" s="83">
        <v>536</v>
      </c>
      <c r="K42" s="126">
        <v>0.9</v>
      </c>
      <c r="L42" s="83">
        <v>377</v>
      </c>
      <c r="M42" s="58">
        <v>0.6</v>
      </c>
      <c r="N42" s="59">
        <v>8</v>
      </c>
      <c r="O42" s="83">
        <v>106</v>
      </c>
      <c r="P42" s="83">
        <v>4</v>
      </c>
      <c r="Q42" s="83">
        <v>0</v>
      </c>
      <c r="R42" s="83">
        <v>118</v>
      </c>
      <c r="S42" s="58">
        <v>0.2</v>
      </c>
      <c r="T42" s="127">
        <v>59313</v>
      </c>
      <c r="U42" s="23">
        <v>1186</v>
      </c>
      <c r="V42" s="103">
        <v>58127</v>
      </c>
      <c r="W42" s="24"/>
    </row>
    <row r="43" spans="1:23">
      <c r="A43" s="123">
        <v>1994</v>
      </c>
      <c r="B43" s="125">
        <v>16590</v>
      </c>
      <c r="C43" s="21">
        <v>22966</v>
      </c>
      <c r="D43" s="21">
        <v>39556</v>
      </c>
      <c r="E43" s="124">
        <v>62.1</v>
      </c>
      <c r="F43" s="125">
        <v>22984</v>
      </c>
      <c r="G43" s="124">
        <v>36.1</v>
      </c>
      <c r="H43" s="59">
        <v>988</v>
      </c>
      <c r="I43" s="126">
        <v>1.6</v>
      </c>
      <c r="J43" s="83">
        <v>565</v>
      </c>
      <c r="K43" s="126">
        <v>0.9</v>
      </c>
      <c r="L43" s="83">
        <v>423</v>
      </c>
      <c r="M43" s="58">
        <v>0.7</v>
      </c>
      <c r="N43" s="59">
        <v>10</v>
      </c>
      <c r="O43" s="83">
        <v>117</v>
      </c>
      <c r="P43" s="83">
        <v>5</v>
      </c>
      <c r="Q43" s="83">
        <v>0</v>
      </c>
      <c r="R43" s="83">
        <v>133</v>
      </c>
      <c r="S43" s="58">
        <v>0.2</v>
      </c>
      <c r="T43" s="127">
        <v>63661</v>
      </c>
      <c r="U43" s="23">
        <v>1271</v>
      </c>
      <c r="V43" s="103">
        <v>62390</v>
      </c>
      <c r="W43" s="24"/>
    </row>
    <row r="44" spans="1:23">
      <c r="A44" s="123">
        <v>1995</v>
      </c>
      <c r="B44" s="125">
        <v>16148</v>
      </c>
      <c r="C44" s="21">
        <v>19449</v>
      </c>
      <c r="D44" s="21">
        <v>35597</v>
      </c>
      <c r="E44" s="124">
        <v>59</v>
      </c>
      <c r="F44" s="125">
        <v>23486</v>
      </c>
      <c r="G44" s="124">
        <v>38.9</v>
      </c>
      <c r="H44" s="59">
        <v>1137</v>
      </c>
      <c r="I44" s="126">
        <v>1.9</v>
      </c>
      <c r="J44" s="83">
        <v>694</v>
      </c>
      <c r="K44" s="126">
        <v>1.1000000000000001</v>
      </c>
      <c r="L44" s="83">
        <v>443</v>
      </c>
      <c r="M44" s="58">
        <v>0.7</v>
      </c>
      <c r="N44" s="59">
        <v>9</v>
      </c>
      <c r="O44" s="83">
        <v>122</v>
      </c>
      <c r="P44" s="83">
        <v>6</v>
      </c>
      <c r="Q44" s="83">
        <v>0</v>
      </c>
      <c r="R44" s="83">
        <v>138</v>
      </c>
      <c r="S44" s="58">
        <v>0.2</v>
      </c>
      <c r="T44" s="127">
        <v>60358</v>
      </c>
      <c r="U44" s="23">
        <v>1520</v>
      </c>
      <c r="V44" s="103">
        <v>58838</v>
      </c>
      <c r="W44" s="24"/>
    </row>
    <row r="45" spans="1:23">
      <c r="A45" s="123">
        <v>1996</v>
      </c>
      <c r="B45" s="125">
        <v>13669</v>
      </c>
      <c r="C45" s="21">
        <v>16029</v>
      </c>
      <c r="D45" s="21">
        <v>29698</v>
      </c>
      <c r="E45" s="124">
        <v>53.9</v>
      </c>
      <c r="F45" s="125">
        <v>23719</v>
      </c>
      <c r="G45" s="124">
        <v>43</v>
      </c>
      <c r="H45" s="59">
        <v>1556</v>
      </c>
      <c r="I45" s="126">
        <v>2.8</v>
      </c>
      <c r="J45" s="83">
        <v>1082</v>
      </c>
      <c r="K45" s="126">
        <v>2</v>
      </c>
      <c r="L45" s="83">
        <v>474</v>
      </c>
      <c r="M45" s="58">
        <v>0.9</v>
      </c>
      <c r="N45" s="59">
        <v>14</v>
      </c>
      <c r="O45" s="83">
        <v>126</v>
      </c>
      <c r="P45" s="83">
        <v>7</v>
      </c>
      <c r="Q45" s="83">
        <v>1</v>
      </c>
      <c r="R45" s="83">
        <v>147</v>
      </c>
      <c r="S45" s="58">
        <v>0.3</v>
      </c>
      <c r="T45" s="127">
        <v>55120</v>
      </c>
      <c r="U45" s="23">
        <v>1754</v>
      </c>
      <c r="V45" s="103">
        <v>53366</v>
      </c>
      <c r="W45" s="24"/>
    </row>
    <row r="46" spans="1:23">
      <c r="A46" s="123">
        <v>1997</v>
      </c>
      <c r="B46" s="125">
        <v>14695</v>
      </c>
      <c r="C46" s="21">
        <v>20099</v>
      </c>
      <c r="D46" s="21">
        <v>34794</v>
      </c>
      <c r="E46" s="124">
        <v>57.4</v>
      </c>
      <c r="F46" s="125">
        <v>23971</v>
      </c>
      <c r="G46" s="124">
        <v>39.6</v>
      </c>
      <c r="H46" s="59">
        <v>1686</v>
      </c>
      <c r="I46" s="126">
        <v>2.8</v>
      </c>
      <c r="J46" s="83">
        <v>1167</v>
      </c>
      <c r="K46" s="126">
        <v>1.9</v>
      </c>
      <c r="L46" s="83">
        <v>519</v>
      </c>
      <c r="M46" s="58">
        <v>0.9</v>
      </c>
      <c r="N46" s="59">
        <v>10</v>
      </c>
      <c r="O46" s="83">
        <v>129</v>
      </c>
      <c r="P46" s="83">
        <v>7</v>
      </c>
      <c r="Q46" s="83">
        <v>2</v>
      </c>
      <c r="R46" s="83">
        <v>149</v>
      </c>
      <c r="S46" s="58">
        <v>0.2</v>
      </c>
      <c r="T46" s="127">
        <v>60600</v>
      </c>
      <c r="U46" s="23">
        <v>1519</v>
      </c>
      <c r="V46" s="103">
        <v>59081</v>
      </c>
      <c r="W46" s="24"/>
    </row>
    <row r="47" spans="1:23">
      <c r="A47" s="123">
        <v>1998</v>
      </c>
      <c r="B47" s="125">
        <v>14966</v>
      </c>
      <c r="C47" s="21">
        <v>19329</v>
      </c>
      <c r="D47" s="21">
        <v>34295</v>
      </c>
      <c r="E47" s="124">
        <v>56.3</v>
      </c>
      <c r="F47" s="125">
        <v>24368</v>
      </c>
      <c r="G47" s="124">
        <v>40</v>
      </c>
      <c r="H47" s="59">
        <v>2124</v>
      </c>
      <c r="I47" s="126">
        <v>3.5</v>
      </c>
      <c r="J47" s="83">
        <v>1585</v>
      </c>
      <c r="K47" s="126">
        <v>2.6</v>
      </c>
      <c r="L47" s="83">
        <v>539</v>
      </c>
      <c r="M47" s="58">
        <v>0.9</v>
      </c>
      <c r="N47" s="59">
        <v>13</v>
      </c>
      <c r="O47" s="83">
        <v>137</v>
      </c>
      <c r="P47" s="83">
        <v>8</v>
      </c>
      <c r="Q47" s="83">
        <v>3</v>
      </c>
      <c r="R47" s="83">
        <v>161</v>
      </c>
      <c r="S47" s="58">
        <v>0.3</v>
      </c>
      <c r="T47" s="127">
        <v>60948</v>
      </c>
      <c r="U47" s="23">
        <v>1620</v>
      </c>
      <c r="V47" s="103">
        <v>59328</v>
      </c>
      <c r="W47" s="24"/>
    </row>
    <row r="48" spans="1:23">
      <c r="A48" s="123">
        <v>1999</v>
      </c>
      <c r="B48" s="125">
        <v>16640</v>
      </c>
      <c r="C48" s="21">
        <v>23976</v>
      </c>
      <c r="D48" s="21">
        <v>40616</v>
      </c>
      <c r="E48" s="124">
        <v>60.9</v>
      </c>
      <c r="F48" s="125">
        <v>23523</v>
      </c>
      <c r="G48" s="124">
        <v>35.299999999999997</v>
      </c>
      <c r="H48" s="59">
        <v>2386</v>
      </c>
      <c r="I48" s="126">
        <v>3.6</v>
      </c>
      <c r="J48" s="83">
        <v>1792</v>
      </c>
      <c r="K48" s="126">
        <v>2.7</v>
      </c>
      <c r="L48" s="83">
        <v>594</v>
      </c>
      <c r="M48" s="58">
        <v>0.9</v>
      </c>
      <c r="N48" s="59">
        <v>13</v>
      </c>
      <c r="O48" s="83">
        <v>142</v>
      </c>
      <c r="P48" s="83">
        <v>10</v>
      </c>
      <c r="Q48" s="83">
        <v>3</v>
      </c>
      <c r="R48" s="83">
        <v>168</v>
      </c>
      <c r="S48" s="58">
        <v>0.3</v>
      </c>
      <c r="T48" s="127">
        <v>66693</v>
      </c>
      <c r="U48" s="23">
        <v>1408</v>
      </c>
      <c r="V48" s="103">
        <v>65285</v>
      </c>
      <c r="W48" s="24"/>
    </row>
    <row r="49" spans="1:23">
      <c r="A49" s="123">
        <v>2000</v>
      </c>
      <c r="B49" s="125">
        <v>17566</v>
      </c>
      <c r="C49" s="21">
        <v>20285</v>
      </c>
      <c r="D49" s="21">
        <v>37851</v>
      </c>
      <c r="E49" s="124">
        <v>57.9</v>
      </c>
      <c r="F49" s="125">
        <v>24949</v>
      </c>
      <c r="G49" s="124">
        <v>38.200000000000003</v>
      </c>
      <c r="H49" s="59">
        <v>2372</v>
      </c>
      <c r="I49" s="126">
        <v>3.6</v>
      </c>
      <c r="J49" s="83">
        <v>1702</v>
      </c>
      <c r="K49" s="126">
        <v>2.6</v>
      </c>
      <c r="L49" s="83">
        <v>670</v>
      </c>
      <c r="M49" s="58">
        <v>1</v>
      </c>
      <c r="N49" s="59">
        <v>14</v>
      </c>
      <c r="O49" s="83">
        <v>149</v>
      </c>
      <c r="P49" s="83">
        <v>11</v>
      </c>
      <c r="Q49" s="83">
        <v>3</v>
      </c>
      <c r="R49" s="83">
        <v>176</v>
      </c>
      <c r="S49" s="58">
        <v>0.3</v>
      </c>
      <c r="T49" s="127">
        <v>65348</v>
      </c>
      <c r="U49" s="23">
        <v>1974</v>
      </c>
      <c r="V49" s="103">
        <v>63374</v>
      </c>
      <c r="W49" s="24"/>
    </row>
    <row r="50" spans="1:23">
      <c r="A50" s="123">
        <v>2001</v>
      </c>
      <c r="B50" s="125">
        <v>17751</v>
      </c>
      <c r="C50" s="21">
        <v>24510</v>
      </c>
      <c r="D50" s="21">
        <v>42261</v>
      </c>
      <c r="E50" s="124">
        <v>60.3</v>
      </c>
      <c r="F50" s="125">
        <v>25293</v>
      </c>
      <c r="G50" s="124">
        <v>36</v>
      </c>
      <c r="H50" s="59">
        <v>2433</v>
      </c>
      <c r="I50" s="126">
        <v>3.5</v>
      </c>
      <c r="J50" s="83">
        <v>1728</v>
      </c>
      <c r="K50" s="126">
        <v>2.5</v>
      </c>
      <c r="L50" s="83">
        <v>705</v>
      </c>
      <c r="M50" s="58">
        <v>1</v>
      </c>
      <c r="N50" s="59">
        <v>14</v>
      </c>
      <c r="O50" s="83">
        <v>157</v>
      </c>
      <c r="P50" s="83">
        <v>13</v>
      </c>
      <c r="Q50" s="83">
        <v>4</v>
      </c>
      <c r="R50" s="83">
        <v>187</v>
      </c>
      <c r="S50" s="58">
        <v>0.3</v>
      </c>
      <c r="T50" s="127">
        <v>70174</v>
      </c>
      <c r="U50" s="23">
        <v>1947</v>
      </c>
      <c r="V50" s="103">
        <v>68227</v>
      </c>
      <c r="W50" s="24"/>
    </row>
    <row r="51" spans="1:23">
      <c r="A51" s="123">
        <v>2002</v>
      </c>
      <c r="B51" s="125">
        <v>17625</v>
      </c>
      <c r="C51" s="21">
        <v>18888</v>
      </c>
      <c r="D51" s="21">
        <v>36513</v>
      </c>
      <c r="E51" s="124">
        <v>56.2</v>
      </c>
      <c r="F51" s="125">
        <v>25692</v>
      </c>
      <c r="G51" s="124">
        <v>39.5</v>
      </c>
      <c r="H51" s="59">
        <v>2612</v>
      </c>
      <c r="I51" s="126">
        <v>4</v>
      </c>
      <c r="J51" s="83">
        <v>1877</v>
      </c>
      <c r="K51" s="126">
        <v>2.9</v>
      </c>
      <c r="L51" s="83">
        <v>735</v>
      </c>
      <c r="M51" s="58">
        <v>1.1000000000000001</v>
      </c>
      <c r="N51" s="59">
        <v>22</v>
      </c>
      <c r="O51" s="83">
        <v>152</v>
      </c>
      <c r="P51" s="83">
        <v>15</v>
      </c>
      <c r="Q51" s="83">
        <v>5</v>
      </c>
      <c r="R51" s="83">
        <v>194</v>
      </c>
      <c r="S51" s="58">
        <v>0.3</v>
      </c>
      <c r="T51" s="127">
        <v>65011</v>
      </c>
      <c r="U51" s="23">
        <v>2418</v>
      </c>
      <c r="V51" s="103">
        <v>62593</v>
      </c>
      <c r="W51" s="24"/>
    </row>
    <row r="52" spans="1:23">
      <c r="A52" s="123">
        <v>2003</v>
      </c>
      <c r="B52" s="125">
        <v>15398</v>
      </c>
      <c r="C52" s="21">
        <v>21047</v>
      </c>
      <c r="D52" s="21">
        <v>36445</v>
      </c>
      <c r="E52" s="124">
        <v>55.9</v>
      </c>
      <c r="F52" s="125">
        <v>25931</v>
      </c>
      <c r="G52" s="124">
        <v>39.700000000000003</v>
      </c>
      <c r="H52" s="59">
        <v>2689</v>
      </c>
      <c r="I52" s="126">
        <v>4.0999999999999996</v>
      </c>
      <c r="J52" s="83">
        <v>1937</v>
      </c>
      <c r="K52" s="126">
        <v>3</v>
      </c>
      <c r="L52" s="83">
        <v>752</v>
      </c>
      <c r="M52" s="58">
        <v>1.2</v>
      </c>
      <c r="N52" s="59">
        <v>27</v>
      </c>
      <c r="O52" s="83">
        <v>151</v>
      </c>
      <c r="P52" s="83">
        <v>18</v>
      </c>
      <c r="Q52" s="83">
        <v>5</v>
      </c>
      <c r="R52" s="83">
        <v>201</v>
      </c>
      <c r="S52" s="58">
        <v>0.3</v>
      </c>
      <c r="T52" s="127">
        <v>65266</v>
      </c>
      <c r="U52" s="23">
        <v>2893</v>
      </c>
      <c r="V52" s="103">
        <v>62373</v>
      </c>
      <c r="W52" s="24"/>
    </row>
    <row r="53" spans="1:23">
      <c r="A53" s="123">
        <v>2004</v>
      </c>
      <c r="B53" s="125">
        <v>16039</v>
      </c>
      <c r="C53" s="21">
        <v>19078</v>
      </c>
      <c r="D53" s="21">
        <v>35117</v>
      </c>
      <c r="E53" s="124">
        <v>55.3</v>
      </c>
      <c r="F53" s="125">
        <v>25432</v>
      </c>
      <c r="G53" s="124">
        <v>40</v>
      </c>
      <c r="H53" s="59">
        <v>2776</v>
      </c>
      <c r="I53" s="126">
        <v>4.4000000000000004</v>
      </c>
      <c r="J53" s="83">
        <v>1979</v>
      </c>
      <c r="K53" s="126">
        <v>3.1</v>
      </c>
      <c r="L53" s="83">
        <v>797</v>
      </c>
      <c r="M53" s="58">
        <v>1.3</v>
      </c>
      <c r="N53" s="59">
        <v>29</v>
      </c>
      <c r="O53" s="83">
        <v>144</v>
      </c>
      <c r="P53" s="83">
        <v>18</v>
      </c>
      <c r="Q53" s="83">
        <v>6</v>
      </c>
      <c r="R53" s="83">
        <v>198</v>
      </c>
      <c r="S53" s="58">
        <v>0.3</v>
      </c>
      <c r="T53" s="127">
        <v>63523</v>
      </c>
      <c r="U53" s="23">
        <v>2433</v>
      </c>
      <c r="V53" s="103">
        <v>61090</v>
      </c>
      <c r="W53" s="24"/>
    </row>
    <row r="54" spans="1:23">
      <c r="A54" s="123">
        <v>2005</v>
      </c>
      <c r="B54" s="125">
        <v>14998</v>
      </c>
      <c r="C54" s="21">
        <v>17761</v>
      </c>
      <c r="D54" s="21">
        <v>32759</v>
      </c>
      <c r="E54" s="124">
        <v>56.6</v>
      </c>
      <c r="F54" s="125">
        <v>22020</v>
      </c>
      <c r="G54" s="124">
        <v>38</v>
      </c>
      <c r="H54" s="59">
        <v>2932</v>
      </c>
      <c r="I54" s="126">
        <v>5.0999999999999996</v>
      </c>
      <c r="J54" s="83">
        <v>2094</v>
      </c>
      <c r="K54" s="126">
        <v>3.6</v>
      </c>
      <c r="L54" s="83">
        <v>838</v>
      </c>
      <c r="M54" s="58">
        <v>1.4</v>
      </c>
      <c r="N54" s="59">
        <v>33</v>
      </c>
      <c r="O54" s="83">
        <v>145</v>
      </c>
      <c r="P54" s="83">
        <v>21</v>
      </c>
      <c r="Q54" s="83">
        <v>8</v>
      </c>
      <c r="R54" s="83">
        <v>207</v>
      </c>
      <c r="S54" s="58">
        <v>0.4</v>
      </c>
      <c r="T54" s="127">
        <v>57918</v>
      </c>
      <c r="U54" s="23">
        <v>2631</v>
      </c>
      <c r="V54" s="103">
        <v>55287</v>
      </c>
      <c r="W54" s="24"/>
    </row>
    <row r="55" spans="1:23">
      <c r="A55" s="123">
        <v>2006</v>
      </c>
      <c r="B55" s="125">
        <v>15819</v>
      </c>
      <c r="C55" s="21">
        <v>16738</v>
      </c>
      <c r="D55" s="21">
        <v>32557</v>
      </c>
      <c r="E55" s="124">
        <v>52.4</v>
      </c>
      <c r="F55" s="125">
        <v>26244</v>
      </c>
      <c r="G55" s="124">
        <v>42.2</v>
      </c>
      <c r="H55" s="59">
        <v>3103</v>
      </c>
      <c r="I55" s="126">
        <v>5</v>
      </c>
      <c r="J55" s="83">
        <v>2166</v>
      </c>
      <c r="K55" s="126">
        <v>3.5</v>
      </c>
      <c r="L55" s="83">
        <v>937</v>
      </c>
      <c r="M55" s="58">
        <v>1.5</v>
      </c>
      <c r="N55" s="59">
        <v>44</v>
      </c>
      <c r="O55" s="83">
        <v>154</v>
      </c>
      <c r="P55" s="83">
        <v>24</v>
      </c>
      <c r="Q55" s="83">
        <v>15</v>
      </c>
      <c r="R55" s="83">
        <v>237</v>
      </c>
      <c r="S55" s="58">
        <v>0.4</v>
      </c>
      <c r="T55" s="127">
        <v>62141</v>
      </c>
      <c r="U55" s="23">
        <v>2720</v>
      </c>
      <c r="V55" s="103">
        <v>59421</v>
      </c>
      <c r="W55" s="24"/>
    </row>
    <row r="56" spans="1:23">
      <c r="A56" s="123">
        <v>2007</v>
      </c>
      <c r="B56" s="125">
        <v>16547</v>
      </c>
      <c r="C56" s="21">
        <v>19826</v>
      </c>
      <c r="D56" s="21">
        <v>36373</v>
      </c>
      <c r="E56" s="124">
        <v>55.2</v>
      </c>
      <c r="F56" s="125">
        <v>26344</v>
      </c>
      <c r="G56" s="124">
        <v>40</v>
      </c>
      <c r="H56" s="59">
        <v>2894</v>
      </c>
      <c r="I56" s="126">
        <v>4.4000000000000004</v>
      </c>
      <c r="J56" s="83">
        <v>1975</v>
      </c>
      <c r="K56" s="126">
        <v>3</v>
      </c>
      <c r="L56" s="83">
        <v>919</v>
      </c>
      <c r="M56" s="58">
        <v>1.4</v>
      </c>
      <c r="N56" s="59">
        <v>92</v>
      </c>
      <c r="O56" s="83">
        <v>168</v>
      </c>
      <c r="P56" s="83">
        <v>29</v>
      </c>
      <c r="Q56" s="83">
        <v>16</v>
      </c>
      <c r="R56" s="83">
        <v>305</v>
      </c>
      <c r="S56" s="58">
        <v>0.5</v>
      </c>
      <c r="T56" s="127">
        <v>65916</v>
      </c>
      <c r="U56" s="23">
        <v>2104</v>
      </c>
      <c r="V56" s="103">
        <v>63812</v>
      </c>
      <c r="W56" s="24"/>
    </row>
    <row r="57" spans="1:23">
      <c r="A57" s="123">
        <v>2008</v>
      </c>
      <c r="B57" s="125">
        <v>16686</v>
      </c>
      <c r="C57" s="21">
        <v>20873</v>
      </c>
      <c r="D57" s="21">
        <v>37559</v>
      </c>
      <c r="E57" s="124">
        <v>56.1</v>
      </c>
      <c r="F57" s="125">
        <v>26132</v>
      </c>
      <c r="G57" s="124">
        <v>39</v>
      </c>
      <c r="H57" s="59">
        <v>2913</v>
      </c>
      <c r="I57" s="126">
        <v>4.3</v>
      </c>
      <c r="J57" s="83">
        <v>1992</v>
      </c>
      <c r="K57" s="126">
        <v>3</v>
      </c>
      <c r="L57" s="83">
        <v>921</v>
      </c>
      <c r="M57" s="58">
        <v>1.4</v>
      </c>
      <c r="N57" s="59">
        <v>131</v>
      </c>
      <c r="O57" s="83">
        <v>177</v>
      </c>
      <c r="P57" s="83">
        <v>37</v>
      </c>
      <c r="Q57" s="83">
        <v>19</v>
      </c>
      <c r="R57" s="83">
        <v>363</v>
      </c>
      <c r="S57" s="58">
        <v>0.5</v>
      </c>
      <c r="T57" s="127">
        <v>66967</v>
      </c>
      <c r="U57" s="23">
        <v>2685</v>
      </c>
      <c r="V57" s="103">
        <v>64282</v>
      </c>
      <c r="W57" s="24"/>
    </row>
    <row r="58" spans="1:23">
      <c r="A58" s="123">
        <v>2009</v>
      </c>
      <c r="B58" s="125">
        <v>16110</v>
      </c>
      <c r="C58" s="21">
        <v>21026</v>
      </c>
      <c r="D58" s="21">
        <v>37136</v>
      </c>
      <c r="E58" s="124">
        <v>55.8</v>
      </c>
      <c r="F58" s="125">
        <v>26119</v>
      </c>
      <c r="G58" s="124">
        <v>39.299999999999997</v>
      </c>
      <c r="H58" s="59">
        <v>2817</v>
      </c>
      <c r="I58" s="126">
        <v>4.2</v>
      </c>
      <c r="J58" s="83">
        <v>1933</v>
      </c>
      <c r="K58" s="126">
        <v>2.9</v>
      </c>
      <c r="L58" s="83">
        <v>884</v>
      </c>
      <c r="M58" s="58">
        <v>1.3</v>
      </c>
      <c r="N58" s="59">
        <v>154</v>
      </c>
      <c r="O58" s="83">
        <v>191</v>
      </c>
      <c r="P58" s="83">
        <v>54</v>
      </c>
      <c r="Q58" s="83">
        <v>23</v>
      </c>
      <c r="R58" s="83">
        <v>422</v>
      </c>
      <c r="S58" s="58">
        <v>0.6</v>
      </c>
      <c r="T58" s="127">
        <v>66494</v>
      </c>
      <c r="U58" s="23">
        <v>2523</v>
      </c>
      <c r="V58" s="103">
        <v>63971</v>
      </c>
      <c r="W58" s="24"/>
    </row>
    <row r="59" spans="1:23">
      <c r="A59" s="123">
        <v>2010</v>
      </c>
      <c r="B59" s="125">
        <v>16030</v>
      </c>
      <c r="C59" s="21">
        <v>21420</v>
      </c>
      <c r="D59" s="21">
        <v>37450</v>
      </c>
      <c r="E59" s="124">
        <v>56.5</v>
      </c>
      <c r="F59" s="125">
        <v>25205</v>
      </c>
      <c r="G59" s="124">
        <v>38.1</v>
      </c>
      <c r="H59" s="59">
        <v>3123</v>
      </c>
      <c r="I59" s="126">
        <v>4.7</v>
      </c>
      <c r="J59" s="83">
        <v>2195</v>
      </c>
      <c r="K59" s="126">
        <v>3.3</v>
      </c>
      <c r="L59" s="83">
        <v>928</v>
      </c>
      <c r="M59" s="58">
        <v>1.4</v>
      </c>
      <c r="N59" s="59">
        <v>135</v>
      </c>
      <c r="O59" s="83">
        <v>209</v>
      </c>
      <c r="P59" s="83">
        <v>94</v>
      </c>
      <c r="Q59" s="83">
        <v>37</v>
      </c>
      <c r="R59" s="83">
        <v>474</v>
      </c>
      <c r="S59" s="58">
        <v>0.7</v>
      </c>
      <c r="T59" s="127">
        <v>66252</v>
      </c>
      <c r="U59" s="23">
        <v>2494</v>
      </c>
      <c r="V59" s="103">
        <v>63758</v>
      </c>
      <c r="W59" s="24"/>
    </row>
    <row r="60" spans="1:23">
      <c r="A60" s="123">
        <v>2011</v>
      </c>
      <c r="B60" s="125">
        <v>14733</v>
      </c>
      <c r="C60" s="21">
        <v>19062</v>
      </c>
      <c r="D60" s="21">
        <v>33795</v>
      </c>
      <c r="E60" s="124">
        <v>53.7</v>
      </c>
      <c r="F60" s="125">
        <v>25560</v>
      </c>
      <c r="G60" s="124">
        <v>40.700000000000003</v>
      </c>
      <c r="H60" s="59">
        <v>2866</v>
      </c>
      <c r="I60" s="126">
        <v>4.5999999999999996</v>
      </c>
      <c r="J60" s="83">
        <v>1903</v>
      </c>
      <c r="K60" s="126">
        <v>3</v>
      </c>
      <c r="L60" s="83">
        <v>963</v>
      </c>
      <c r="M60" s="58">
        <v>1.5</v>
      </c>
      <c r="N60" s="59">
        <v>193</v>
      </c>
      <c r="O60" s="83">
        <v>229</v>
      </c>
      <c r="P60" s="83">
        <v>168</v>
      </c>
      <c r="Q60" s="83">
        <v>70</v>
      </c>
      <c r="R60" s="83">
        <v>660</v>
      </c>
      <c r="S60" s="58">
        <v>1</v>
      </c>
      <c r="T60" s="127">
        <v>62881</v>
      </c>
      <c r="U60" s="23">
        <v>2466</v>
      </c>
      <c r="V60" s="103">
        <v>60415</v>
      </c>
      <c r="W60" s="24"/>
    </row>
    <row r="61" spans="1:23">
      <c r="A61" s="123">
        <v>2012</v>
      </c>
      <c r="B61" s="125">
        <v>17832</v>
      </c>
      <c r="C61" s="21">
        <v>22074</v>
      </c>
      <c r="D61" s="21">
        <v>39906</v>
      </c>
      <c r="E61" s="124">
        <v>58.7</v>
      </c>
      <c r="F61" s="125">
        <v>24345</v>
      </c>
      <c r="G61" s="124">
        <v>35.799999999999997</v>
      </c>
      <c r="H61" s="59">
        <v>2869</v>
      </c>
      <c r="I61" s="126">
        <v>4.2</v>
      </c>
      <c r="J61" s="83">
        <v>1854</v>
      </c>
      <c r="K61" s="126">
        <v>2.7</v>
      </c>
      <c r="L61" s="83">
        <v>1015</v>
      </c>
      <c r="M61" s="58">
        <v>1.5</v>
      </c>
      <c r="N61" s="59">
        <v>252</v>
      </c>
      <c r="O61" s="83">
        <v>260</v>
      </c>
      <c r="P61" s="83">
        <v>299</v>
      </c>
      <c r="Q61" s="83">
        <v>88</v>
      </c>
      <c r="R61" s="83">
        <v>899</v>
      </c>
      <c r="S61" s="58">
        <v>1.3</v>
      </c>
      <c r="T61" s="127">
        <v>68019</v>
      </c>
      <c r="U61" s="23">
        <v>2411</v>
      </c>
      <c r="V61" s="103">
        <v>65608</v>
      </c>
      <c r="W61" s="24"/>
    </row>
    <row r="62" spans="1:23">
      <c r="A62" s="123">
        <v>2013</v>
      </c>
      <c r="B62" s="125">
        <v>17759</v>
      </c>
      <c r="C62" s="21">
        <v>21813</v>
      </c>
      <c r="D62" s="21">
        <v>39572</v>
      </c>
      <c r="E62" s="124">
        <v>57.9</v>
      </c>
      <c r="F62" s="125">
        <v>24871</v>
      </c>
      <c r="G62" s="124">
        <v>36.4</v>
      </c>
      <c r="H62" s="59">
        <v>2722</v>
      </c>
      <c r="I62" s="126">
        <v>4</v>
      </c>
      <c r="J62" s="83">
        <v>1672</v>
      </c>
      <c r="K62" s="126">
        <v>2.4</v>
      </c>
      <c r="L62" s="83">
        <v>1050</v>
      </c>
      <c r="M62" s="58">
        <v>1.5</v>
      </c>
      <c r="N62" s="59">
        <v>278</v>
      </c>
      <c r="O62" s="83">
        <v>279</v>
      </c>
      <c r="P62" s="83">
        <v>500</v>
      </c>
      <c r="Q62" s="83">
        <v>90</v>
      </c>
      <c r="R62" s="83">
        <v>1147</v>
      </c>
      <c r="S62" s="58">
        <v>1.7</v>
      </c>
      <c r="T62" s="127">
        <v>68312</v>
      </c>
      <c r="U62" s="23">
        <v>2132</v>
      </c>
      <c r="V62" s="103">
        <v>66180</v>
      </c>
      <c r="W62" s="24"/>
    </row>
    <row r="63" spans="1:23">
      <c r="A63" s="123">
        <v>2014</v>
      </c>
      <c r="B63" s="125">
        <v>17243</v>
      </c>
      <c r="C63" s="21">
        <v>22065</v>
      </c>
      <c r="D63" s="21">
        <v>39308</v>
      </c>
      <c r="E63" s="124">
        <v>56.5</v>
      </c>
      <c r="F63" s="125">
        <v>26370</v>
      </c>
      <c r="G63" s="124">
        <v>37.9</v>
      </c>
      <c r="H63" s="59">
        <v>2449</v>
      </c>
      <c r="I63" s="126">
        <v>3.5</v>
      </c>
      <c r="J63" s="83">
        <v>1341</v>
      </c>
      <c r="K63" s="126">
        <v>1.9</v>
      </c>
      <c r="L63" s="83">
        <v>1108</v>
      </c>
      <c r="M63" s="58">
        <v>1.6</v>
      </c>
      <c r="N63" s="59">
        <v>273</v>
      </c>
      <c r="O63" s="83">
        <v>290</v>
      </c>
      <c r="P63" s="83">
        <v>842</v>
      </c>
      <c r="Q63" s="83">
        <v>101</v>
      </c>
      <c r="R63" s="83">
        <v>1506</v>
      </c>
      <c r="S63" s="58">
        <v>2.2000000000000002</v>
      </c>
      <c r="T63" s="127">
        <v>69633</v>
      </c>
      <c r="U63" s="23">
        <v>2355</v>
      </c>
      <c r="V63" s="103">
        <v>67278</v>
      </c>
      <c r="W63" s="24"/>
    </row>
    <row r="64" spans="1:23">
      <c r="A64" s="123">
        <v>2015</v>
      </c>
      <c r="B64" s="125">
        <v>16595</v>
      </c>
      <c r="C64" s="21">
        <v>22891</v>
      </c>
      <c r="D64" s="21">
        <v>39486</v>
      </c>
      <c r="E64" s="124">
        <v>59.9</v>
      </c>
      <c r="F64" s="125">
        <v>22095</v>
      </c>
      <c r="G64" s="124">
        <v>33.5</v>
      </c>
      <c r="H64" s="59">
        <v>2661</v>
      </c>
      <c r="I64" s="126">
        <v>4</v>
      </c>
      <c r="J64" s="83">
        <v>1546</v>
      </c>
      <c r="K64" s="126">
        <v>2.2999999999999998</v>
      </c>
      <c r="L64" s="83">
        <v>1115</v>
      </c>
      <c r="M64" s="58">
        <v>1.7</v>
      </c>
      <c r="N64" s="59">
        <v>184</v>
      </c>
      <c r="O64" s="83">
        <v>303</v>
      </c>
      <c r="P64" s="83">
        <v>1119</v>
      </c>
      <c r="Q64" s="83">
        <v>110</v>
      </c>
      <c r="R64" s="83">
        <v>1715</v>
      </c>
      <c r="S64" s="58">
        <v>2.6</v>
      </c>
      <c r="T64" s="127">
        <v>65957</v>
      </c>
      <c r="U64" s="23">
        <v>2296</v>
      </c>
      <c r="V64" s="103">
        <v>63661</v>
      </c>
      <c r="W64" s="24"/>
    </row>
    <row r="65" spans="1:23">
      <c r="A65" s="123">
        <v>2016</v>
      </c>
      <c r="B65" s="125">
        <v>16574</v>
      </c>
      <c r="C65" s="21">
        <v>19752</v>
      </c>
      <c r="D65" s="21">
        <v>36326</v>
      </c>
      <c r="E65" s="124">
        <v>59</v>
      </c>
      <c r="F65" s="125">
        <v>20235</v>
      </c>
      <c r="G65" s="124">
        <v>32.799999999999997</v>
      </c>
      <c r="H65" s="59">
        <v>3069</v>
      </c>
      <c r="I65" s="126">
        <v>5</v>
      </c>
      <c r="J65" s="83">
        <v>1887</v>
      </c>
      <c r="K65" s="126">
        <v>3.1</v>
      </c>
      <c r="L65" s="83">
        <v>1182</v>
      </c>
      <c r="M65" s="58">
        <v>1.9</v>
      </c>
      <c r="N65" s="59">
        <v>223</v>
      </c>
      <c r="O65" s="83">
        <v>321</v>
      </c>
      <c r="P65" s="83">
        <v>1334</v>
      </c>
      <c r="Q65" s="83">
        <v>109</v>
      </c>
      <c r="R65" s="83">
        <v>1986</v>
      </c>
      <c r="S65" s="58">
        <v>3.2</v>
      </c>
      <c r="T65" s="127">
        <v>61616</v>
      </c>
      <c r="U65" s="23">
        <v>2922</v>
      </c>
      <c r="V65" s="103">
        <v>58694</v>
      </c>
      <c r="W65" s="24"/>
    </row>
    <row r="66" spans="1:23">
      <c r="A66" s="123">
        <v>2017</v>
      </c>
      <c r="B66" s="125">
        <v>15946</v>
      </c>
      <c r="C66" s="21">
        <v>20720</v>
      </c>
      <c r="D66" s="21">
        <v>36666</v>
      </c>
      <c r="E66" s="124">
        <v>59.6</v>
      </c>
      <c r="F66" s="125">
        <v>19499</v>
      </c>
      <c r="G66" s="124">
        <v>31.7</v>
      </c>
      <c r="H66" s="59">
        <v>2851</v>
      </c>
      <c r="I66" s="126">
        <v>4.5999999999999996</v>
      </c>
      <c r="J66" s="83">
        <v>1669</v>
      </c>
      <c r="K66" s="126">
        <v>2.7</v>
      </c>
      <c r="L66" s="83">
        <v>1182</v>
      </c>
      <c r="M66" s="58">
        <v>1.9</v>
      </c>
      <c r="N66" s="59">
        <v>322</v>
      </c>
      <c r="O66" s="83">
        <v>334</v>
      </c>
      <c r="P66" s="83">
        <v>1683</v>
      </c>
      <c r="Q66" s="83">
        <v>133</v>
      </c>
      <c r="R66" s="83">
        <v>2471</v>
      </c>
      <c r="S66" s="58">
        <v>4</v>
      </c>
      <c r="T66" s="127">
        <v>61487</v>
      </c>
      <c r="U66" s="23">
        <v>4160</v>
      </c>
      <c r="V66" s="103">
        <v>57327</v>
      </c>
      <c r="W66" s="24"/>
    </row>
    <row r="67" spans="1:23">
      <c r="A67" s="123">
        <v>2018</v>
      </c>
      <c r="B67" s="125">
        <v>16908</v>
      </c>
      <c r="C67" s="21">
        <v>20520</v>
      </c>
      <c r="D67" s="21">
        <v>37428</v>
      </c>
      <c r="E67" s="124">
        <v>55.4</v>
      </c>
      <c r="F67" s="125">
        <v>24414</v>
      </c>
      <c r="G67" s="124">
        <v>36.1</v>
      </c>
      <c r="H67" s="59">
        <v>3008</v>
      </c>
      <c r="I67" s="126">
        <v>4.5</v>
      </c>
      <c r="J67" s="83">
        <v>1839</v>
      </c>
      <c r="K67" s="126">
        <v>2.7</v>
      </c>
      <c r="L67" s="83">
        <v>1169</v>
      </c>
      <c r="M67" s="58">
        <v>1.7</v>
      </c>
      <c r="N67" s="59">
        <v>290</v>
      </c>
      <c r="O67" s="83">
        <v>351</v>
      </c>
      <c r="P67" s="83">
        <v>1945</v>
      </c>
      <c r="Q67" s="83">
        <v>122</v>
      </c>
      <c r="R67" s="83">
        <v>2708</v>
      </c>
      <c r="S67" s="58">
        <v>4</v>
      </c>
      <c r="T67" s="127">
        <v>67558</v>
      </c>
      <c r="U67" s="23">
        <v>3987</v>
      </c>
      <c r="V67" s="103">
        <v>63571</v>
      </c>
      <c r="W67" s="24"/>
    </row>
    <row r="68" spans="1:23">
      <c r="A68" s="123">
        <v>2019</v>
      </c>
      <c r="B68" s="125">
        <v>17700</v>
      </c>
      <c r="C68" s="21">
        <v>22856</v>
      </c>
      <c r="D68" s="21">
        <v>40556</v>
      </c>
      <c r="E68" s="124">
        <v>56.4</v>
      </c>
      <c r="F68" s="125">
        <v>25280</v>
      </c>
      <c r="G68" s="124">
        <v>35.200000000000003</v>
      </c>
      <c r="H68" s="59">
        <v>3050</v>
      </c>
      <c r="I68" s="126">
        <v>4.2</v>
      </c>
      <c r="J68" s="83">
        <v>1873</v>
      </c>
      <c r="K68" s="126">
        <v>2.6</v>
      </c>
      <c r="L68" s="83">
        <v>1177</v>
      </c>
      <c r="M68" s="58">
        <v>1.6</v>
      </c>
      <c r="N68" s="59">
        <v>313</v>
      </c>
      <c r="O68" s="83">
        <v>372</v>
      </c>
      <c r="P68" s="83">
        <v>2178</v>
      </c>
      <c r="Q68" s="83">
        <v>146</v>
      </c>
      <c r="R68" s="83">
        <v>3008</v>
      </c>
      <c r="S68" s="58">
        <v>4.2</v>
      </c>
      <c r="T68" s="127">
        <v>71894</v>
      </c>
      <c r="U68" s="23">
        <v>4133</v>
      </c>
      <c r="V68" s="103">
        <v>67761</v>
      </c>
      <c r="W68" s="24"/>
    </row>
    <row r="69" spans="1:23">
      <c r="A69" s="123">
        <v>2020</v>
      </c>
      <c r="B69" s="125">
        <v>17648</v>
      </c>
      <c r="C69" s="21">
        <v>22968</v>
      </c>
      <c r="D69" s="21">
        <v>40616</v>
      </c>
      <c r="E69" s="124">
        <v>57.7</v>
      </c>
      <c r="F69" s="125">
        <v>22990</v>
      </c>
      <c r="G69" s="124">
        <v>32.700000000000003</v>
      </c>
      <c r="H69" s="59">
        <v>3046</v>
      </c>
      <c r="I69" s="126">
        <v>4.3</v>
      </c>
      <c r="J69" s="83">
        <v>1862</v>
      </c>
      <c r="K69" s="126">
        <v>2.6</v>
      </c>
      <c r="L69" s="83">
        <v>1184</v>
      </c>
      <c r="M69" s="58">
        <v>1.7</v>
      </c>
      <c r="N69" s="59">
        <v>425</v>
      </c>
      <c r="O69" s="83">
        <v>417</v>
      </c>
      <c r="P69" s="83">
        <v>2692</v>
      </c>
      <c r="Q69" s="83">
        <v>145</v>
      </c>
      <c r="R69" s="83">
        <v>3679</v>
      </c>
      <c r="S69" s="58">
        <v>5.2</v>
      </c>
      <c r="T69" s="127">
        <v>70331</v>
      </c>
      <c r="U69" s="23">
        <v>4459</v>
      </c>
      <c r="V69" s="103">
        <v>65872</v>
      </c>
    </row>
    <row r="70" spans="1:23">
      <c r="A70" s="123">
        <v>2021</v>
      </c>
      <c r="B70" s="125">
        <v>16962</v>
      </c>
      <c r="C70" s="21">
        <v>22538</v>
      </c>
      <c r="D70" s="21">
        <v>39500</v>
      </c>
      <c r="E70" s="124">
        <v>60.8</v>
      </c>
      <c r="F70" s="125">
        <v>18530</v>
      </c>
      <c r="G70" s="124">
        <v>28.5</v>
      </c>
      <c r="H70" s="59">
        <v>2848</v>
      </c>
      <c r="I70" s="126">
        <v>4.4000000000000004</v>
      </c>
      <c r="J70" s="83">
        <v>1733</v>
      </c>
      <c r="K70" s="126">
        <v>2.7</v>
      </c>
      <c r="L70" s="83">
        <v>1115</v>
      </c>
      <c r="M70" s="58">
        <v>1.7</v>
      </c>
      <c r="N70" s="59">
        <v>538</v>
      </c>
      <c r="O70" s="83">
        <v>433</v>
      </c>
      <c r="P70" s="83">
        <v>2964</v>
      </c>
      <c r="Q70" s="83">
        <v>145</v>
      </c>
      <c r="R70" s="83">
        <v>4080</v>
      </c>
      <c r="S70" s="58">
        <v>6.3</v>
      </c>
      <c r="T70" s="127">
        <v>64958</v>
      </c>
      <c r="U70" s="23">
        <v>4145</v>
      </c>
      <c r="V70" s="103">
        <v>60813</v>
      </c>
    </row>
    <row r="71" spans="1:23">
      <c r="A71" s="123">
        <v>2022</v>
      </c>
      <c r="B71" s="125">
        <v>15490</v>
      </c>
      <c r="C71" s="21">
        <v>18011</v>
      </c>
      <c r="D71" s="21">
        <v>33501</v>
      </c>
      <c r="E71" s="124">
        <v>51.9</v>
      </c>
      <c r="F71" s="125">
        <v>23113</v>
      </c>
      <c r="G71" s="124">
        <v>35.799999999999997</v>
      </c>
      <c r="H71" s="59">
        <v>2686</v>
      </c>
      <c r="I71" s="126">
        <v>4.2</v>
      </c>
      <c r="J71" s="83">
        <v>1592</v>
      </c>
      <c r="K71" s="126">
        <v>2.5</v>
      </c>
      <c r="L71" s="83">
        <v>1094</v>
      </c>
      <c r="M71" s="58">
        <v>1.7</v>
      </c>
      <c r="N71" s="59">
        <v>565</v>
      </c>
      <c r="O71" s="83">
        <v>438</v>
      </c>
      <c r="P71" s="83">
        <v>4067</v>
      </c>
      <c r="Q71" s="83">
        <v>150</v>
      </c>
      <c r="R71" s="83">
        <v>5220</v>
      </c>
      <c r="S71" s="58">
        <v>8.1</v>
      </c>
      <c r="T71" s="127">
        <v>64520</v>
      </c>
      <c r="U71" s="23">
        <v>5567</v>
      </c>
      <c r="V71" s="103">
        <v>58953</v>
      </c>
    </row>
    <row r="72" spans="1:23">
      <c r="A72" s="123">
        <v>2023</v>
      </c>
      <c r="B72" s="125">
        <v>17491</v>
      </c>
      <c r="C72" s="21">
        <v>23289</v>
      </c>
      <c r="D72" s="21">
        <v>40780</v>
      </c>
      <c r="E72" s="128">
        <v>56.1</v>
      </c>
      <c r="F72" s="125">
        <v>23334</v>
      </c>
      <c r="G72" s="128">
        <v>32.1</v>
      </c>
      <c r="H72" s="59">
        <v>2493</v>
      </c>
      <c r="I72" s="126">
        <v>3.4</v>
      </c>
      <c r="J72" s="83">
        <v>1442</v>
      </c>
      <c r="K72" s="126">
        <v>2</v>
      </c>
      <c r="L72" s="83">
        <v>1051</v>
      </c>
      <c r="M72" s="58">
        <v>1.4</v>
      </c>
      <c r="N72" s="59">
        <v>606</v>
      </c>
      <c r="O72" s="83">
        <v>448</v>
      </c>
      <c r="P72" s="83">
        <v>4914</v>
      </c>
      <c r="Q72" s="83">
        <v>169</v>
      </c>
      <c r="R72" s="83">
        <v>6137</v>
      </c>
      <c r="S72" s="58">
        <v>8.4</v>
      </c>
      <c r="T72" s="127">
        <v>72744</v>
      </c>
      <c r="U72" s="23">
        <v>5375</v>
      </c>
      <c r="V72" s="103">
        <v>67369</v>
      </c>
    </row>
    <row r="73" spans="1:23" ht="13">
      <c r="A73" s="129">
        <v>2024</v>
      </c>
      <c r="B73" s="69">
        <v>19403</v>
      </c>
      <c r="C73" s="50">
        <v>28934</v>
      </c>
      <c r="D73" s="50">
        <v>48337</v>
      </c>
      <c r="E73" s="130">
        <v>59.6</v>
      </c>
      <c r="F73" s="69">
        <v>22983</v>
      </c>
      <c r="G73" s="130">
        <v>28.4</v>
      </c>
      <c r="H73" s="73">
        <v>2530</v>
      </c>
      <c r="I73" s="131">
        <v>3.1</v>
      </c>
      <c r="J73" s="132">
        <v>1433</v>
      </c>
      <c r="K73" s="131">
        <v>1.8</v>
      </c>
      <c r="L73" s="132">
        <v>1097</v>
      </c>
      <c r="M73" s="133">
        <v>1.4</v>
      </c>
      <c r="N73" s="134">
        <v>620</v>
      </c>
      <c r="O73" s="132">
        <v>452</v>
      </c>
      <c r="P73" s="50">
        <v>5961</v>
      </c>
      <c r="Q73" s="50">
        <v>171</v>
      </c>
      <c r="R73" s="50">
        <v>7204</v>
      </c>
      <c r="S73" s="70">
        <v>8.9</v>
      </c>
      <c r="T73" s="135">
        <v>81054</v>
      </c>
      <c r="U73" s="71">
        <v>4817</v>
      </c>
      <c r="V73" s="105">
        <v>76237</v>
      </c>
    </row>
    <row r="74" spans="1:23" ht="13">
      <c r="A74" s="136"/>
      <c r="B74" s="32"/>
      <c r="C74" s="32"/>
      <c r="D74" s="32"/>
      <c r="E74" s="76"/>
      <c r="F74" s="32"/>
      <c r="G74" s="76"/>
      <c r="H74" s="66"/>
      <c r="I74" s="137"/>
      <c r="J74" s="138"/>
      <c r="K74" s="137"/>
      <c r="L74" s="138"/>
      <c r="M74" s="137"/>
      <c r="N74" s="138"/>
      <c r="O74" s="138"/>
      <c r="P74" s="32"/>
      <c r="Q74" s="32"/>
      <c r="R74" s="32"/>
      <c r="S74" s="76"/>
      <c r="T74" s="32"/>
      <c r="U74" s="32"/>
      <c r="V74" s="32"/>
    </row>
    <row r="75" spans="1:23" ht="46.5" customHeight="1">
      <c r="A75" s="274" t="s">
        <v>391</v>
      </c>
      <c r="B75" s="274"/>
      <c r="C75" s="274"/>
      <c r="D75" s="274"/>
      <c r="E75" s="274"/>
      <c r="F75" s="274"/>
      <c r="G75" s="274"/>
      <c r="H75" s="274"/>
      <c r="I75" s="274"/>
      <c r="J75" s="112"/>
      <c r="K75" s="112"/>
      <c r="N75" s="274" t="s">
        <v>392</v>
      </c>
      <c r="O75" s="274"/>
      <c r="P75" s="274"/>
      <c r="Q75" s="274"/>
      <c r="R75" s="274"/>
      <c r="S75" s="274"/>
      <c r="T75" s="274"/>
      <c r="U75" s="274"/>
      <c r="V75" s="274"/>
    </row>
    <row r="76" spans="1:23" ht="12.75" customHeight="1">
      <c r="A76" s="304" t="s">
        <v>393</v>
      </c>
      <c r="B76" s="304"/>
      <c r="C76" s="304"/>
      <c r="D76" s="304"/>
      <c r="E76" s="304"/>
      <c r="F76" s="304"/>
      <c r="G76" s="304"/>
      <c r="H76" s="304"/>
      <c r="I76" s="304"/>
      <c r="J76" s="77"/>
      <c r="K76" s="77"/>
      <c r="L76" s="77"/>
      <c r="M76" s="77"/>
      <c r="N76" s="77" t="s">
        <v>394</v>
      </c>
      <c r="O76" s="139"/>
      <c r="P76" s="139"/>
      <c r="Q76" s="139"/>
      <c r="R76" s="139"/>
      <c r="S76" s="139"/>
      <c r="T76" s="139"/>
      <c r="U76" s="139"/>
      <c r="V76" s="139"/>
    </row>
    <row r="77" spans="1:23">
      <c r="A77" s="304" t="s">
        <v>395</v>
      </c>
      <c r="B77" s="304"/>
      <c r="C77" s="304"/>
      <c r="D77" s="304"/>
      <c r="E77" s="304"/>
      <c r="F77" s="304"/>
      <c r="G77" s="304"/>
      <c r="H77" s="304"/>
      <c r="I77" s="304"/>
      <c r="J77" s="77"/>
      <c r="K77" s="77"/>
      <c r="L77" s="77"/>
      <c r="M77" s="77"/>
      <c r="N77" s="77" t="s">
        <v>396</v>
      </c>
      <c r="O77" s="77"/>
      <c r="P77" s="77"/>
      <c r="Q77" s="77"/>
      <c r="R77" s="77"/>
      <c r="S77" s="77"/>
      <c r="T77" s="78"/>
      <c r="U77" s="78"/>
      <c r="V77" s="78"/>
    </row>
    <row r="78" spans="1:23">
      <c r="A78" s="77"/>
      <c r="B78" s="78"/>
      <c r="C78" s="78"/>
      <c r="D78" s="78"/>
      <c r="E78" s="78"/>
      <c r="H78" s="140"/>
      <c r="I78" s="77"/>
      <c r="J78" s="77"/>
      <c r="K78" s="77"/>
      <c r="L78" s="77"/>
      <c r="M78" s="77"/>
      <c r="N78" s="77"/>
      <c r="O78" s="77"/>
      <c r="P78" s="77"/>
      <c r="Q78" s="77"/>
      <c r="R78" s="77"/>
      <c r="S78" s="77"/>
      <c r="T78" s="78"/>
      <c r="U78" s="78"/>
      <c r="V78" s="78"/>
    </row>
    <row r="79" spans="1:23">
      <c r="A79" s="78" t="s">
        <v>397</v>
      </c>
      <c r="B79" s="78"/>
      <c r="C79" s="78"/>
      <c r="D79" s="78"/>
      <c r="E79" s="78"/>
      <c r="H79" s="77"/>
      <c r="I79" s="77"/>
      <c r="J79" s="78"/>
      <c r="K79" s="78"/>
      <c r="L79" s="78"/>
      <c r="M79" s="78"/>
      <c r="N79" s="78" t="s">
        <v>398</v>
      </c>
      <c r="O79" s="78"/>
      <c r="P79" s="78"/>
      <c r="Q79" s="78"/>
      <c r="R79" s="78"/>
      <c r="S79" s="78"/>
      <c r="T79" s="78"/>
      <c r="U79" s="78"/>
      <c r="V79" s="78"/>
    </row>
    <row r="80" spans="1:23">
      <c r="H80" s="77"/>
      <c r="I80" s="77"/>
    </row>
    <row r="81" spans="1:9">
      <c r="H81" s="77"/>
      <c r="I81" s="77"/>
    </row>
    <row r="83" spans="1:9">
      <c r="A83" s="35" t="s">
        <v>75</v>
      </c>
    </row>
    <row r="84" spans="1:9">
      <c r="A84" s="35" t="s">
        <v>76</v>
      </c>
    </row>
    <row r="85" spans="1:9">
      <c r="A85" s="35" t="s">
        <v>77</v>
      </c>
    </row>
  </sheetData>
  <mergeCells count="30">
    <mergeCell ref="A4:A5"/>
    <mergeCell ref="B4:E4"/>
    <mergeCell ref="F4:G5"/>
    <mergeCell ref="H4:M4"/>
    <mergeCell ref="N4:S4"/>
    <mergeCell ref="T6:T7"/>
    <mergeCell ref="U4:U5"/>
    <mergeCell ref="V4:V5"/>
    <mergeCell ref="D5:E5"/>
    <mergeCell ref="H5:I5"/>
    <mergeCell ref="J5:K5"/>
    <mergeCell ref="L5:M5"/>
    <mergeCell ref="R5:S5"/>
    <mergeCell ref="T4:T5"/>
    <mergeCell ref="A75:I75"/>
    <mergeCell ref="N75:V75"/>
    <mergeCell ref="A76:I76"/>
    <mergeCell ref="A77:I77"/>
    <mergeCell ref="U6:U7"/>
    <mergeCell ref="V6:V7"/>
    <mergeCell ref="D7:E7"/>
    <mergeCell ref="H7:I7"/>
    <mergeCell ref="J7:K7"/>
    <mergeCell ref="L7:M7"/>
    <mergeCell ref="R7:S7"/>
    <mergeCell ref="A6:A8"/>
    <mergeCell ref="B6:E6"/>
    <mergeCell ref="F6:G7"/>
    <mergeCell ref="H6:M6"/>
    <mergeCell ref="N6:S6"/>
  </mergeCells>
  <conditionalFormatting sqref="B9:V18">
    <cfRule type="expression" dxfId="39" priority="3">
      <formula>BG9&lt;&gt;0</formula>
    </cfRule>
  </conditionalFormatting>
  <conditionalFormatting sqref="B19:V73">
    <cfRule type="expression" dxfId="38" priority="1">
      <formula>#REF!&lt;&gt;0</formula>
    </cfRule>
  </conditionalFormatting>
  <conditionalFormatting sqref="B74:V74">
    <cfRule type="expression" dxfId="37" priority="2">
      <formula>BG74&lt;&gt;0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9885B-14DA-4F20-8113-1E6FA5240697}">
  <sheetPr codeName="Tabelle25">
    <tabColor rgb="FFFF0000"/>
  </sheetPr>
  <dimension ref="A1:AA73"/>
  <sheetViews>
    <sheetView workbookViewId="0"/>
  </sheetViews>
  <sheetFormatPr defaultColWidth="11.54296875" defaultRowHeight="12.5"/>
  <cols>
    <col min="1" max="1" width="8.7265625" style="4" customWidth="1"/>
    <col min="2" max="2" width="10.7265625" style="4" customWidth="1"/>
    <col min="3" max="3" width="7.7265625" style="4" customWidth="1"/>
    <col min="4" max="4" width="10.7265625" style="4" customWidth="1"/>
    <col min="5" max="5" width="7.7265625" style="4" customWidth="1"/>
    <col min="6" max="6" width="10.7265625" style="4" customWidth="1"/>
    <col min="7" max="7" width="7.7265625" style="4" customWidth="1"/>
    <col min="8" max="8" width="11" style="4" customWidth="1"/>
    <col min="9" max="9" width="7.7265625" style="4" customWidth="1"/>
    <col min="10" max="10" width="10.7265625" style="4" customWidth="1"/>
    <col min="11" max="11" width="7.7265625" style="4" customWidth="1"/>
    <col min="12" max="12" width="10.7265625" style="4" customWidth="1"/>
    <col min="13" max="13" width="7.7265625" style="4" customWidth="1"/>
    <col min="14" max="14" width="10.7265625" style="4" customWidth="1"/>
    <col min="15" max="15" width="7.7265625" style="4" customWidth="1"/>
    <col min="16" max="16" width="10.7265625" style="4" customWidth="1"/>
    <col min="17" max="17" width="7.7265625" style="4" customWidth="1"/>
    <col min="18" max="18" width="10.7265625" style="4" customWidth="1"/>
    <col min="19" max="19" width="7.7265625" style="4" customWidth="1"/>
    <col min="20" max="20" width="10.7265625" style="4" customWidth="1"/>
    <col min="21" max="21" width="11.54296875" style="34"/>
    <col min="22" max="16384" width="11.54296875" style="4"/>
  </cols>
  <sheetData>
    <row r="1" spans="1:26" ht="13">
      <c r="A1" s="3" t="s">
        <v>221</v>
      </c>
    </row>
    <row r="2" spans="1:26" ht="13">
      <c r="A2" s="3" t="s">
        <v>222</v>
      </c>
    </row>
    <row r="4" spans="1:26" ht="13">
      <c r="A4" s="3" t="s">
        <v>288</v>
      </c>
      <c r="Z4" s="5" t="s">
        <v>289</v>
      </c>
    </row>
    <row r="5" spans="1:26" ht="13">
      <c r="A5" s="3" t="s">
        <v>290</v>
      </c>
      <c r="Z5" s="5" t="s">
        <v>291</v>
      </c>
    </row>
    <row r="7" spans="1:26" ht="12" customHeight="1">
      <c r="A7" s="290" t="s">
        <v>55</v>
      </c>
      <c r="B7" s="270" t="s">
        <v>241</v>
      </c>
      <c r="C7" s="314"/>
      <c r="D7" s="314"/>
      <c r="E7" s="314"/>
      <c r="F7" s="314"/>
      <c r="G7" s="314"/>
      <c r="H7" s="314"/>
      <c r="I7" s="272"/>
      <c r="J7" s="270" t="s">
        <v>117</v>
      </c>
      <c r="K7" s="314"/>
      <c r="L7" s="314"/>
      <c r="M7" s="314"/>
      <c r="N7" s="314"/>
      <c r="O7" s="314"/>
      <c r="P7" s="314"/>
      <c r="Q7" s="272"/>
      <c r="R7" s="270" t="s">
        <v>292</v>
      </c>
      <c r="S7" s="272"/>
      <c r="T7" s="270" t="s">
        <v>293</v>
      </c>
      <c r="U7" s="272"/>
      <c r="V7" s="270" t="s">
        <v>83</v>
      </c>
      <c r="W7" s="272"/>
      <c r="X7" s="270" t="s">
        <v>294</v>
      </c>
      <c r="Y7" s="272"/>
      <c r="Z7" s="290" t="s">
        <v>229</v>
      </c>
    </row>
    <row r="8" spans="1:26" ht="12" customHeight="1">
      <c r="A8" s="291"/>
      <c r="B8" s="271" t="s">
        <v>295</v>
      </c>
      <c r="C8" s="273"/>
      <c r="D8" s="271" t="s">
        <v>296</v>
      </c>
      <c r="E8" s="273"/>
      <c r="F8" s="271" t="s">
        <v>297</v>
      </c>
      <c r="G8" s="273"/>
      <c r="H8" s="271" t="s">
        <v>298</v>
      </c>
      <c r="I8" s="273"/>
      <c r="J8" s="271" t="s">
        <v>299</v>
      </c>
      <c r="K8" s="273"/>
      <c r="L8" s="271" t="s">
        <v>300</v>
      </c>
      <c r="M8" s="273"/>
      <c r="N8" s="315" t="s">
        <v>301</v>
      </c>
      <c r="O8" s="316"/>
      <c r="P8" s="315" t="s">
        <v>302</v>
      </c>
      <c r="Q8" s="316"/>
      <c r="R8" s="271"/>
      <c r="S8" s="273"/>
      <c r="T8" s="271"/>
      <c r="U8" s="273"/>
      <c r="V8" s="271"/>
      <c r="W8" s="273"/>
      <c r="X8" s="271"/>
      <c r="Y8" s="273"/>
      <c r="Z8" s="300"/>
    </row>
    <row r="9" spans="1:26" ht="12" customHeight="1">
      <c r="A9" s="292" t="s">
        <v>62</v>
      </c>
      <c r="B9" s="263" t="s">
        <v>245</v>
      </c>
      <c r="C9" s="313"/>
      <c r="D9" s="313"/>
      <c r="E9" s="313"/>
      <c r="F9" s="313"/>
      <c r="G9" s="313"/>
      <c r="H9" s="313"/>
      <c r="I9" s="268"/>
      <c r="J9" s="270" t="s">
        <v>120</v>
      </c>
      <c r="K9" s="314"/>
      <c r="L9" s="314"/>
      <c r="M9" s="314"/>
      <c r="N9" s="314"/>
      <c r="O9" s="314"/>
      <c r="P9" s="314"/>
      <c r="Q9" s="272"/>
      <c r="R9" s="263" t="s">
        <v>303</v>
      </c>
      <c r="S9" s="268"/>
      <c r="T9" s="263" t="s">
        <v>304</v>
      </c>
      <c r="U9" s="268"/>
      <c r="V9" s="263" t="s">
        <v>92</v>
      </c>
      <c r="W9" s="268"/>
      <c r="X9" s="263" t="s">
        <v>305</v>
      </c>
      <c r="Y9" s="268"/>
      <c r="Z9" s="300"/>
    </row>
    <row r="10" spans="1:26" ht="13.15" customHeight="1">
      <c r="A10" s="300"/>
      <c r="B10" s="271" t="s">
        <v>306</v>
      </c>
      <c r="C10" s="273"/>
      <c r="D10" s="271" t="s">
        <v>307</v>
      </c>
      <c r="E10" s="273"/>
      <c r="F10" s="271" t="s">
        <v>308</v>
      </c>
      <c r="G10" s="273"/>
      <c r="H10" s="271" t="s">
        <v>309</v>
      </c>
      <c r="I10" s="273"/>
      <c r="J10" s="271" t="s">
        <v>310</v>
      </c>
      <c r="K10" s="273"/>
      <c r="L10" s="271" t="s">
        <v>311</v>
      </c>
      <c r="M10" s="273"/>
      <c r="N10" s="271" t="s">
        <v>312</v>
      </c>
      <c r="O10" s="273"/>
      <c r="P10" s="271" t="s">
        <v>313</v>
      </c>
      <c r="Q10" s="273"/>
      <c r="R10" s="271"/>
      <c r="S10" s="273"/>
      <c r="T10" s="271"/>
      <c r="U10" s="273"/>
      <c r="V10" s="271"/>
      <c r="W10" s="273"/>
      <c r="X10" s="271"/>
      <c r="Y10" s="273"/>
      <c r="Z10" s="291"/>
    </row>
    <row r="11" spans="1:26" ht="12.75" customHeight="1">
      <c r="A11" s="293"/>
      <c r="B11" s="56" t="s">
        <v>100</v>
      </c>
      <c r="C11" s="45" t="s">
        <v>138</v>
      </c>
      <c r="D11" s="56" t="s">
        <v>100</v>
      </c>
      <c r="E11" s="45" t="s">
        <v>138</v>
      </c>
      <c r="F11" s="56" t="s">
        <v>100</v>
      </c>
      <c r="G11" s="45" t="s">
        <v>138</v>
      </c>
      <c r="H11" s="56" t="s">
        <v>100</v>
      </c>
      <c r="I11" s="45" t="s">
        <v>138</v>
      </c>
      <c r="J11" s="56" t="s">
        <v>100</v>
      </c>
      <c r="K11" s="45" t="s">
        <v>138</v>
      </c>
      <c r="L11" s="56" t="s">
        <v>100</v>
      </c>
      <c r="M11" s="45" t="s">
        <v>138</v>
      </c>
      <c r="N11" s="56" t="s">
        <v>100</v>
      </c>
      <c r="O11" s="45" t="s">
        <v>138</v>
      </c>
      <c r="P11" s="56" t="s">
        <v>100</v>
      </c>
      <c r="Q11" s="45" t="s">
        <v>138</v>
      </c>
      <c r="R11" s="56" t="s">
        <v>100</v>
      </c>
      <c r="S11" s="45" t="s">
        <v>138</v>
      </c>
      <c r="T11" s="56" t="s">
        <v>100</v>
      </c>
      <c r="U11" s="45" t="s">
        <v>138</v>
      </c>
      <c r="V11" s="56" t="s">
        <v>100</v>
      </c>
      <c r="W11" s="45" t="s">
        <v>138</v>
      </c>
      <c r="X11" s="56" t="s">
        <v>100</v>
      </c>
      <c r="Y11" s="45" t="s">
        <v>138</v>
      </c>
      <c r="Z11" s="57" t="s">
        <v>100</v>
      </c>
    </row>
    <row r="12" spans="1:26">
      <c r="A12" s="19">
        <v>1950</v>
      </c>
      <c r="B12" s="59">
        <v>19070</v>
      </c>
      <c r="C12" s="58">
        <v>73.400000000000006</v>
      </c>
      <c r="D12" s="59" t="s">
        <v>68</v>
      </c>
      <c r="E12" s="58" t="s">
        <v>68</v>
      </c>
      <c r="F12" s="59" t="s">
        <v>68</v>
      </c>
      <c r="G12" s="58" t="s">
        <v>68</v>
      </c>
      <c r="H12" s="59" t="s">
        <v>68</v>
      </c>
      <c r="I12" s="58" t="s">
        <v>68</v>
      </c>
      <c r="J12" s="59">
        <v>3990</v>
      </c>
      <c r="K12" s="58">
        <v>15.4</v>
      </c>
      <c r="L12" s="59">
        <v>6750</v>
      </c>
      <c r="M12" s="110" t="s">
        <v>68</v>
      </c>
      <c r="N12" s="62" t="s">
        <v>68</v>
      </c>
      <c r="O12" s="61" t="s">
        <v>68</v>
      </c>
      <c r="P12" s="62" t="s">
        <v>68</v>
      </c>
      <c r="Q12" s="62"/>
      <c r="R12" s="59" t="s">
        <v>68</v>
      </c>
      <c r="S12" s="58" t="s">
        <v>68</v>
      </c>
      <c r="T12" s="59" t="s">
        <v>68</v>
      </c>
      <c r="U12" s="58" t="s">
        <v>68</v>
      </c>
      <c r="V12" s="59">
        <v>2930</v>
      </c>
      <c r="W12" s="58">
        <v>11.3</v>
      </c>
      <c r="X12" s="59" t="s">
        <v>68</v>
      </c>
      <c r="Y12" s="58" t="s">
        <v>68</v>
      </c>
      <c r="Z12" s="63">
        <v>25990</v>
      </c>
    </row>
    <row r="13" spans="1:26" ht="12.75" customHeight="1">
      <c r="A13" s="19">
        <v>1960</v>
      </c>
      <c r="B13" s="59">
        <v>55310</v>
      </c>
      <c r="C13" s="58">
        <v>89</v>
      </c>
      <c r="D13" s="59" t="s">
        <v>68</v>
      </c>
      <c r="E13" s="58" t="s">
        <v>68</v>
      </c>
      <c r="F13" s="59" t="s">
        <v>68</v>
      </c>
      <c r="G13" s="58" t="s">
        <v>68</v>
      </c>
      <c r="H13" s="59" t="s">
        <v>68</v>
      </c>
      <c r="I13" s="58" t="s">
        <v>68</v>
      </c>
      <c r="J13" s="59">
        <v>5360</v>
      </c>
      <c r="K13" s="58">
        <v>8.6</v>
      </c>
      <c r="L13" s="59">
        <v>7040</v>
      </c>
      <c r="M13" s="58" t="s">
        <v>68</v>
      </c>
      <c r="N13" s="62" t="s">
        <v>68</v>
      </c>
      <c r="O13" s="65" t="s">
        <v>68</v>
      </c>
      <c r="P13" s="62" t="s">
        <v>68</v>
      </c>
      <c r="Q13" s="62"/>
      <c r="R13" s="59" t="s">
        <v>68</v>
      </c>
      <c r="S13" s="58" t="s">
        <v>68</v>
      </c>
      <c r="T13" s="59" t="s">
        <v>68</v>
      </c>
      <c r="U13" s="58" t="s">
        <v>68</v>
      </c>
      <c r="V13" s="59">
        <v>1470</v>
      </c>
      <c r="W13" s="58">
        <v>2.4</v>
      </c>
      <c r="X13" s="59" t="s">
        <v>68</v>
      </c>
      <c r="Y13" s="58" t="s">
        <v>68</v>
      </c>
      <c r="Z13" s="63">
        <v>62140</v>
      </c>
    </row>
    <row r="14" spans="1:26">
      <c r="A14" s="19">
        <v>1970</v>
      </c>
      <c r="B14" s="59">
        <v>138060</v>
      </c>
      <c r="C14" s="58">
        <v>95</v>
      </c>
      <c r="D14" s="59" t="s">
        <v>68</v>
      </c>
      <c r="E14" s="58" t="s">
        <v>68</v>
      </c>
      <c r="F14" s="59" t="s">
        <v>68</v>
      </c>
      <c r="G14" s="58" t="s">
        <v>68</v>
      </c>
      <c r="H14" s="59" t="s">
        <v>68</v>
      </c>
      <c r="I14" s="58" t="s">
        <v>68</v>
      </c>
      <c r="J14" s="59">
        <v>7310</v>
      </c>
      <c r="K14" s="58">
        <v>5</v>
      </c>
      <c r="L14" s="59">
        <v>7150</v>
      </c>
      <c r="M14" s="58" t="s">
        <v>68</v>
      </c>
      <c r="N14" s="62" t="s">
        <v>68</v>
      </c>
      <c r="O14" s="65" t="s">
        <v>68</v>
      </c>
      <c r="P14" s="62" t="s">
        <v>68</v>
      </c>
      <c r="Q14" s="62"/>
      <c r="R14" s="59" t="s">
        <v>68</v>
      </c>
      <c r="S14" s="58" t="s">
        <v>68</v>
      </c>
      <c r="T14" s="59" t="s">
        <v>68</v>
      </c>
      <c r="U14" s="58" t="s">
        <v>68</v>
      </c>
      <c r="V14" s="59" t="s">
        <v>68</v>
      </c>
      <c r="W14" s="58" t="s">
        <v>68</v>
      </c>
      <c r="X14" s="59" t="s">
        <v>68</v>
      </c>
      <c r="Y14" s="58" t="s">
        <v>68</v>
      </c>
      <c r="Z14" s="63">
        <v>145370</v>
      </c>
    </row>
    <row r="15" spans="1:26" ht="12.75" customHeight="1">
      <c r="A15" s="19">
        <v>1978</v>
      </c>
      <c r="B15" s="59">
        <v>169980</v>
      </c>
      <c r="C15" s="58">
        <v>95.9</v>
      </c>
      <c r="D15" s="59">
        <v>109230</v>
      </c>
      <c r="E15" s="58">
        <v>61.6</v>
      </c>
      <c r="F15" s="59">
        <v>28760</v>
      </c>
      <c r="G15" s="58">
        <v>16.2</v>
      </c>
      <c r="H15" s="59">
        <v>31990</v>
      </c>
      <c r="I15" s="58">
        <v>18</v>
      </c>
      <c r="J15" s="59">
        <v>7320</v>
      </c>
      <c r="K15" s="58">
        <v>4.0999999999999996</v>
      </c>
      <c r="L15" s="59">
        <v>7320</v>
      </c>
      <c r="M15" s="58" t="s">
        <v>68</v>
      </c>
      <c r="N15" s="62" t="s">
        <v>68</v>
      </c>
      <c r="O15" s="65" t="s">
        <v>68</v>
      </c>
      <c r="P15" s="62" t="s">
        <v>68</v>
      </c>
      <c r="Q15" s="62"/>
      <c r="R15" s="59" t="s">
        <v>68</v>
      </c>
      <c r="S15" s="58" t="s">
        <v>68</v>
      </c>
      <c r="T15" s="59" t="s">
        <v>68</v>
      </c>
      <c r="U15" s="58" t="s">
        <v>68</v>
      </c>
      <c r="V15" s="59" t="s">
        <v>68</v>
      </c>
      <c r="W15" s="58" t="s">
        <v>68</v>
      </c>
      <c r="X15" s="59" t="s">
        <v>68</v>
      </c>
      <c r="Y15" s="58" t="s">
        <v>68</v>
      </c>
      <c r="Z15" s="63">
        <v>177300</v>
      </c>
    </row>
    <row r="16" spans="1:26" ht="12.75" customHeight="1">
      <c r="A16" s="19">
        <v>1979</v>
      </c>
      <c r="B16" s="59">
        <v>168770</v>
      </c>
      <c r="C16" s="58">
        <v>95.6</v>
      </c>
      <c r="D16" s="59">
        <v>108610</v>
      </c>
      <c r="E16" s="58">
        <v>61.5</v>
      </c>
      <c r="F16" s="59">
        <v>28510</v>
      </c>
      <c r="G16" s="58">
        <v>16.2</v>
      </c>
      <c r="H16" s="59">
        <v>31650</v>
      </c>
      <c r="I16" s="58">
        <v>17.899999999999999</v>
      </c>
      <c r="J16" s="59">
        <v>7420</v>
      </c>
      <c r="K16" s="58">
        <v>4.2</v>
      </c>
      <c r="L16" s="59">
        <v>7420</v>
      </c>
      <c r="M16" s="58" t="s">
        <v>68</v>
      </c>
      <c r="N16" s="62" t="s">
        <v>68</v>
      </c>
      <c r="O16" s="65" t="s">
        <v>68</v>
      </c>
      <c r="P16" s="62" t="s">
        <v>68</v>
      </c>
      <c r="Q16" s="62"/>
      <c r="R16" s="59">
        <v>340</v>
      </c>
      <c r="S16" s="58">
        <v>0.2</v>
      </c>
      <c r="T16" s="59" t="s">
        <v>68</v>
      </c>
      <c r="U16" s="58" t="s">
        <v>68</v>
      </c>
      <c r="V16" s="59" t="s">
        <v>68</v>
      </c>
      <c r="W16" s="58" t="s">
        <v>68</v>
      </c>
      <c r="X16" s="59" t="s">
        <v>68</v>
      </c>
      <c r="Y16" s="58" t="s">
        <v>68</v>
      </c>
      <c r="Z16" s="63">
        <v>176530</v>
      </c>
    </row>
    <row r="17" spans="1:26" ht="12.75" customHeight="1">
      <c r="A17" s="19">
        <v>1980</v>
      </c>
      <c r="B17" s="59">
        <v>178820</v>
      </c>
      <c r="C17" s="58">
        <v>95.8</v>
      </c>
      <c r="D17" s="59">
        <v>114890</v>
      </c>
      <c r="E17" s="58">
        <v>61.5</v>
      </c>
      <c r="F17" s="59">
        <v>31780</v>
      </c>
      <c r="G17" s="58">
        <v>17</v>
      </c>
      <c r="H17" s="59">
        <v>32150</v>
      </c>
      <c r="I17" s="58">
        <v>17.2</v>
      </c>
      <c r="J17" s="59">
        <v>7520</v>
      </c>
      <c r="K17" s="58">
        <v>4</v>
      </c>
      <c r="L17" s="59">
        <v>7520</v>
      </c>
      <c r="M17" s="58" t="s">
        <v>68</v>
      </c>
      <c r="N17" s="62" t="s">
        <v>68</v>
      </c>
      <c r="O17" s="65" t="s">
        <v>68</v>
      </c>
      <c r="P17" s="62" t="s">
        <v>68</v>
      </c>
      <c r="Q17" s="62"/>
      <c r="R17" s="59">
        <v>360</v>
      </c>
      <c r="S17" s="58">
        <v>0.2</v>
      </c>
      <c r="T17" s="59" t="s">
        <v>68</v>
      </c>
      <c r="U17" s="58" t="s">
        <v>68</v>
      </c>
      <c r="V17" s="59" t="s">
        <v>68</v>
      </c>
      <c r="W17" s="58" t="s">
        <v>68</v>
      </c>
      <c r="X17" s="59" t="s">
        <v>68</v>
      </c>
      <c r="Y17" s="58" t="s">
        <v>68</v>
      </c>
      <c r="Z17" s="63">
        <v>186700</v>
      </c>
    </row>
    <row r="18" spans="1:26" ht="12.75" customHeight="1">
      <c r="A18" s="19">
        <v>1981</v>
      </c>
      <c r="B18" s="59">
        <v>181620</v>
      </c>
      <c r="C18" s="58">
        <v>95.8</v>
      </c>
      <c r="D18" s="59">
        <v>119320</v>
      </c>
      <c r="E18" s="58">
        <v>62.9</v>
      </c>
      <c r="F18" s="59">
        <v>31950</v>
      </c>
      <c r="G18" s="58">
        <v>16.899999999999999</v>
      </c>
      <c r="H18" s="59">
        <v>30350</v>
      </c>
      <c r="I18" s="58">
        <v>16</v>
      </c>
      <c r="J18" s="59">
        <v>7580</v>
      </c>
      <c r="K18" s="58">
        <v>4</v>
      </c>
      <c r="L18" s="59">
        <v>7580</v>
      </c>
      <c r="M18" s="58" t="s">
        <v>68</v>
      </c>
      <c r="N18" s="62" t="s">
        <v>68</v>
      </c>
      <c r="O18" s="65" t="s">
        <v>68</v>
      </c>
      <c r="P18" s="62" t="s">
        <v>68</v>
      </c>
      <c r="Q18" s="62"/>
      <c r="R18" s="59">
        <v>370</v>
      </c>
      <c r="S18" s="58">
        <v>0.2</v>
      </c>
      <c r="T18" s="59" t="s">
        <v>68</v>
      </c>
      <c r="U18" s="58" t="s">
        <v>68</v>
      </c>
      <c r="V18" s="59" t="s">
        <v>68</v>
      </c>
      <c r="W18" s="58" t="s">
        <v>68</v>
      </c>
      <c r="X18" s="59" t="s">
        <v>68</v>
      </c>
      <c r="Y18" s="58" t="s">
        <v>68</v>
      </c>
      <c r="Z18" s="63">
        <v>189570</v>
      </c>
    </row>
    <row r="19" spans="1:26" ht="12.75" customHeight="1">
      <c r="A19" s="19">
        <v>1982</v>
      </c>
      <c r="B19" s="59">
        <v>183720</v>
      </c>
      <c r="C19" s="58">
        <v>95.9</v>
      </c>
      <c r="D19" s="59">
        <v>120910</v>
      </c>
      <c r="E19" s="58">
        <v>63.1</v>
      </c>
      <c r="F19" s="59">
        <v>32740</v>
      </c>
      <c r="G19" s="58">
        <v>17.100000000000001</v>
      </c>
      <c r="H19" s="59">
        <v>30060</v>
      </c>
      <c r="I19" s="58">
        <v>15.7</v>
      </c>
      <c r="J19" s="59">
        <v>7530</v>
      </c>
      <c r="K19" s="58">
        <v>3.9</v>
      </c>
      <c r="L19" s="59">
        <v>7530</v>
      </c>
      <c r="M19" s="58" t="s">
        <v>68</v>
      </c>
      <c r="N19" s="62" t="s">
        <v>68</v>
      </c>
      <c r="O19" s="65" t="s">
        <v>68</v>
      </c>
      <c r="P19" s="62" t="s">
        <v>68</v>
      </c>
      <c r="Q19" s="62"/>
      <c r="R19" s="59">
        <v>390</v>
      </c>
      <c r="S19" s="58">
        <v>0.2</v>
      </c>
      <c r="T19" s="59" t="s">
        <v>68</v>
      </c>
      <c r="U19" s="58" t="s">
        <v>68</v>
      </c>
      <c r="V19" s="59" t="s">
        <v>68</v>
      </c>
      <c r="W19" s="58" t="s">
        <v>68</v>
      </c>
      <c r="X19" s="59" t="s">
        <v>68</v>
      </c>
      <c r="Y19" s="58" t="s">
        <v>68</v>
      </c>
      <c r="Z19" s="63">
        <v>191640</v>
      </c>
    </row>
    <row r="20" spans="1:26" ht="12.75" customHeight="1">
      <c r="A20" s="19">
        <v>1983</v>
      </c>
      <c r="B20" s="59">
        <v>191710</v>
      </c>
      <c r="C20" s="58">
        <v>96</v>
      </c>
      <c r="D20" s="59">
        <v>126190</v>
      </c>
      <c r="E20" s="58">
        <v>63.2</v>
      </c>
      <c r="F20" s="59">
        <v>32740</v>
      </c>
      <c r="G20" s="58">
        <v>16.399999999999999</v>
      </c>
      <c r="H20" s="59">
        <v>32780</v>
      </c>
      <c r="I20" s="58">
        <v>16.399999999999999</v>
      </c>
      <c r="J20" s="59">
        <v>7680</v>
      </c>
      <c r="K20" s="58">
        <v>3.8</v>
      </c>
      <c r="L20" s="59">
        <v>7680</v>
      </c>
      <c r="M20" s="58" t="s">
        <v>68</v>
      </c>
      <c r="N20" s="62" t="s">
        <v>68</v>
      </c>
      <c r="O20" s="65" t="s">
        <v>68</v>
      </c>
      <c r="P20" s="62" t="s">
        <v>68</v>
      </c>
      <c r="Q20" s="62"/>
      <c r="R20" s="59">
        <v>400</v>
      </c>
      <c r="S20" s="58">
        <v>0.2</v>
      </c>
      <c r="T20" s="59" t="s">
        <v>68</v>
      </c>
      <c r="U20" s="58" t="s">
        <v>68</v>
      </c>
      <c r="V20" s="59" t="s">
        <v>68</v>
      </c>
      <c r="W20" s="58" t="s">
        <v>68</v>
      </c>
      <c r="X20" s="59" t="s">
        <v>68</v>
      </c>
      <c r="Y20" s="58" t="s">
        <v>68</v>
      </c>
      <c r="Z20" s="63">
        <v>199790</v>
      </c>
    </row>
    <row r="21" spans="1:26" ht="12.75" customHeight="1">
      <c r="A21" s="19">
        <v>1984</v>
      </c>
      <c r="B21" s="59">
        <v>198910</v>
      </c>
      <c r="C21" s="58">
        <v>96.1</v>
      </c>
      <c r="D21" s="59">
        <v>129250</v>
      </c>
      <c r="E21" s="58">
        <v>62.4</v>
      </c>
      <c r="F21" s="59">
        <v>35000</v>
      </c>
      <c r="G21" s="58">
        <v>16.899999999999999</v>
      </c>
      <c r="H21" s="59">
        <v>34670</v>
      </c>
      <c r="I21" s="58">
        <v>16.7</v>
      </c>
      <c r="J21" s="59">
        <v>7770</v>
      </c>
      <c r="K21" s="58">
        <v>3.8</v>
      </c>
      <c r="L21" s="59">
        <v>7770</v>
      </c>
      <c r="M21" s="58" t="s">
        <v>68</v>
      </c>
      <c r="N21" s="62" t="s">
        <v>68</v>
      </c>
      <c r="O21" s="65" t="s">
        <v>68</v>
      </c>
      <c r="P21" s="62" t="s">
        <v>68</v>
      </c>
      <c r="Q21" s="62"/>
      <c r="R21" s="59">
        <v>380</v>
      </c>
      <c r="S21" s="58">
        <v>0.2</v>
      </c>
      <c r="T21" s="59" t="s">
        <v>68</v>
      </c>
      <c r="U21" s="58" t="s">
        <v>68</v>
      </c>
      <c r="V21" s="59" t="s">
        <v>68</v>
      </c>
      <c r="W21" s="58" t="s">
        <v>68</v>
      </c>
      <c r="X21" s="59" t="s">
        <v>68</v>
      </c>
      <c r="Y21" s="58" t="s">
        <v>68</v>
      </c>
      <c r="Z21" s="63">
        <v>207060</v>
      </c>
    </row>
    <row r="22" spans="1:26">
      <c r="A22" s="19">
        <v>1985</v>
      </c>
      <c r="B22" s="59">
        <v>201050</v>
      </c>
      <c r="C22" s="58">
        <v>96</v>
      </c>
      <c r="D22" s="59">
        <v>128030</v>
      </c>
      <c r="E22" s="58">
        <v>61.2</v>
      </c>
      <c r="F22" s="59">
        <v>36050</v>
      </c>
      <c r="G22" s="58">
        <v>17.2</v>
      </c>
      <c r="H22" s="59">
        <v>36970</v>
      </c>
      <c r="I22" s="58">
        <v>17.7</v>
      </c>
      <c r="J22" s="59">
        <v>7890</v>
      </c>
      <c r="K22" s="58">
        <v>3.8</v>
      </c>
      <c r="L22" s="59">
        <v>7890</v>
      </c>
      <c r="M22" s="58" t="s">
        <v>68</v>
      </c>
      <c r="N22" s="62" t="s">
        <v>68</v>
      </c>
      <c r="O22" s="65" t="s">
        <v>68</v>
      </c>
      <c r="P22" s="62" t="s">
        <v>68</v>
      </c>
      <c r="Q22" s="62"/>
      <c r="R22" s="59">
        <v>410</v>
      </c>
      <c r="S22" s="58">
        <v>0.2</v>
      </c>
      <c r="T22" s="59" t="s">
        <v>68</v>
      </c>
      <c r="U22" s="58" t="s">
        <v>68</v>
      </c>
      <c r="V22" s="59" t="s">
        <v>68</v>
      </c>
      <c r="W22" s="58" t="s">
        <v>68</v>
      </c>
      <c r="X22" s="59" t="s">
        <v>68</v>
      </c>
      <c r="Y22" s="58" t="s">
        <v>68</v>
      </c>
      <c r="Z22" s="63">
        <v>209350</v>
      </c>
    </row>
    <row r="23" spans="1:26" ht="12.75" customHeight="1">
      <c r="A23" s="19">
        <v>1986</v>
      </c>
      <c r="B23" s="59">
        <v>210300</v>
      </c>
      <c r="C23" s="58">
        <v>96.2</v>
      </c>
      <c r="D23" s="59">
        <v>133850</v>
      </c>
      <c r="E23" s="58">
        <v>61.2</v>
      </c>
      <c r="F23" s="59">
        <v>37510</v>
      </c>
      <c r="G23" s="58">
        <v>17.2</v>
      </c>
      <c r="H23" s="59">
        <v>38940</v>
      </c>
      <c r="I23" s="58">
        <v>17.8</v>
      </c>
      <c r="J23" s="59">
        <v>8030</v>
      </c>
      <c r="K23" s="58">
        <v>3.7</v>
      </c>
      <c r="L23" s="59">
        <v>8030</v>
      </c>
      <c r="M23" s="58" t="s">
        <v>68</v>
      </c>
      <c r="N23" s="62" t="s">
        <v>68</v>
      </c>
      <c r="O23" s="65" t="s">
        <v>68</v>
      </c>
      <c r="P23" s="62" t="s">
        <v>68</v>
      </c>
      <c r="Q23" s="62"/>
      <c r="R23" s="59">
        <v>320</v>
      </c>
      <c r="S23" s="58">
        <v>0.1</v>
      </c>
      <c r="T23" s="59" t="s">
        <v>68</v>
      </c>
      <c r="U23" s="58" t="s">
        <v>68</v>
      </c>
      <c r="V23" s="59" t="s">
        <v>68</v>
      </c>
      <c r="W23" s="58" t="s">
        <v>68</v>
      </c>
      <c r="X23" s="59" t="s">
        <v>68</v>
      </c>
      <c r="Y23" s="58" t="s">
        <v>68</v>
      </c>
      <c r="Z23" s="63">
        <v>218650</v>
      </c>
    </row>
    <row r="24" spans="1:26" ht="12.75" customHeight="1">
      <c r="A24" s="19">
        <v>1987</v>
      </c>
      <c r="B24" s="59">
        <v>216880</v>
      </c>
      <c r="C24" s="58">
        <v>96.1</v>
      </c>
      <c r="D24" s="59">
        <v>138080</v>
      </c>
      <c r="E24" s="58">
        <v>61.2</v>
      </c>
      <c r="F24" s="59">
        <v>38730</v>
      </c>
      <c r="G24" s="58">
        <v>17.2</v>
      </c>
      <c r="H24" s="59">
        <v>40070</v>
      </c>
      <c r="I24" s="58">
        <v>17.8</v>
      </c>
      <c r="J24" s="59">
        <v>8380</v>
      </c>
      <c r="K24" s="58">
        <v>3.7</v>
      </c>
      <c r="L24" s="59">
        <v>8380</v>
      </c>
      <c r="M24" s="58" t="s">
        <v>68</v>
      </c>
      <c r="N24" s="62" t="s">
        <v>68</v>
      </c>
      <c r="O24" s="65" t="s">
        <v>68</v>
      </c>
      <c r="P24" s="62" t="s">
        <v>68</v>
      </c>
      <c r="Q24" s="62"/>
      <c r="R24" s="59">
        <v>340</v>
      </c>
      <c r="S24" s="58">
        <v>0.2</v>
      </c>
      <c r="T24" s="59" t="s">
        <v>68</v>
      </c>
      <c r="U24" s="58" t="s">
        <v>68</v>
      </c>
      <c r="V24" s="59" t="s">
        <v>68</v>
      </c>
      <c r="W24" s="58" t="s">
        <v>68</v>
      </c>
      <c r="X24" s="59" t="s">
        <v>68</v>
      </c>
      <c r="Y24" s="58" t="s">
        <v>68</v>
      </c>
      <c r="Z24" s="63">
        <v>225600</v>
      </c>
    </row>
    <row r="25" spans="1:26" ht="12.75" customHeight="1">
      <c r="A25" s="19">
        <v>1988</v>
      </c>
      <c r="B25" s="59">
        <v>227300</v>
      </c>
      <c r="C25" s="58">
        <v>96.1</v>
      </c>
      <c r="D25" s="59">
        <v>143570</v>
      </c>
      <c r="E25" s="58">
        <v>60.7</v>
      </c>
      <c r="F25" s="59">
        <v>41070</v>
      </c>
      <c r="G25" s="58">
        <v>17.399999999999999</v>
      </c>
      <c r="H25" s="59">
        <v>42660</v>
      </c>
      <c r="I25" s="58">
        <v>18</v>
      </c>
      <c r="J25" s="59">
        <v>8790</v>
      </c>
      <c r="K25" s="58">
        <v>3.7</v>
      </c>
      <c r="L25" s="59">
        <v>8790</v>
      </c>
      <c r="M25" s="58" t="s">
        <v>68</v>
      </c>
      <c r="N25" s="62" t="s">
        <v>68</v>
      </c>
      <c r="O25" s="65" t="s">
        <v>68</v>
      </c>
      <c r="P25" s="62" t="s">
        <v>68</v>
      </c>
      <c r="Q25" s="62"/>
      <c r="R25" s="59">
        <v>430</v>
      </c>
      <c r="S25" s="58">
        <v>0.2</v>
      </c>
      <c r="T25" s="59" t="s">
        <v>68</v>
      </c>
      <c r="U25" s="58" t="s">
        <v>68</v>
      </c>
      <c r="V25" s="59" t="s">
        <v>68</v>
      </c>
      <c r="W25" s="58" t="s">
        <v>68</v>
      </c>
      <c r="X25" s="59" t="s">
        <v>68</v>
      </c>
      <c r="Y25" s="58" t="s">
        <v>68</v>
      </c>
      <c r="Z25" s="63">
        <v>236520</v>
      </c>
    </row>
    <row r="26" spans="1:26">
      <c r="A26" s="19">
        <v>1989</v>
      </c>
      <c r="B26" s="59">
        <v>236010</v>
      </c>
      <c r="C26" s="58">
        <v>96.2</v>
      </c>
      <c r="D26" s="59">
        <v>148170</v>
      </c>
      <c r="E26" s="58">
        <v>60.4</v>
      </c>
      <c r="F26" s="59">
        <v>43380</v>
      </c>
      <c r="G26" s="58">
        <v>17.7</v>
      </c>
      <c r="H26" s="59">
        <v>44460</v>
      </c>
      <c r="I26" s="58">
        <v>18.100000000000001</v>
      </c>
      <c r="J26" s="59">
        <v>8920</v>
      </c>
      <c r="K26" s="58">
        <v>3.6</v>
      </c>
      <c r="L26" s="59">
        <v>8920</v>
      </c>
      <c r="M26" s="58" t="s">
        <v>68</v>
      </c>
      <c r="N26" s="62" t="s">
        <v>68</v>
      </c>
      <c r="O26" s="65" t="s">
        <v>68</v>
      </c>
      <c r="P26" s="62" t="s">
        <v>68</v>
      </c>
      <c r="Q26" s="62"/>
      <c r="R26" s="59">
        <v>520</v>
      </c>
      <c r="S26" s="58">
        <v>0.2</v>
      </c>
      <c r="T26" s="59" t="s">
        <v>68</v>
      </c>
      <c r="U26" s="58" t="s">
        <v>68</v>
      </c>
      <c r="V26" s="59" t="s">
        <v>68</v>
      </c>
      <c r="W26" s="58" t="s">
        <v>68</v>
      </c>
      <c r="X26" s="59" t="s">
        <v>68</v>
      </c>
      <c r="Y26" s="58" t="s">
        <v>68</v>
      </c>
      <c r="Z26" s="63">
        <v>245450</v>
      </c>
    </row>
    <row r="27" spans="1:26">
      <c r="A27" s="19">
        <v>1990</v>
      </c>
      <c r="B27" s="59">
        <v>253220</v>
      </c>
      <c r="C27" s="58">
        <v>96.3</v>
      </c>
      <c r="D27" s="59">
        <v>157340</v>
      </c>
      <c r="E27" s="58">
        <v>59.8</v>
      </c>
      <c r="F27" s="59">
        <v>47810</v>
      </c>
      <c r="G27" s="58">
        <v>18.2</v>
      </c>
      <c r="H27" s="59">
        <v>48070</v>
      </c>
      <c r="I27" s="58">
        <v>18.3</v>
      </c>
      <c r="J27" s="59">
        <v>9270</v>
      </c>
      <c r="K27" s="58">
        <v>3.5</v>
      </c>
      <c r="L27" s="59">
        <v>9270</v>
      </c>
      <c r="M27" s="58" t="s">
        <v>68</v>
      </c>
      <c r="N27" s="62" t="s">
        <v>68</v>
      </c>
      <c r="O27" s="65" t="s">
        <v>68</v>
      </c>
      <c r="P27" s="62" t="s">
        <v>68</v>
      </c>
      <c r="Q27" s="62"/>
      <c r="R27" s="59">
        <v>560</v>
      </c>
      <c r="S27" s="58">
        <v>0.2</v>
      </c>
      <c r="T27" s="59" t="s">
        <v>68</v>
      </c>
      <c r="U27" s="58" t="s">
        <v>68</v>
      </c>
      <c r="V27" s="59" t="s">
        <v>68</v>
      </c>
      <c r="W27" s="58" t="s">
        <v>68</v>
      </c>
      <c r="X27" s="59" t="s">
        <v>68</v>
      </c>
      <c r="Y27" s="58" t="s">
        <v>68</v>
      </c>
      <c r="Z27" s="63">
        <v>263050</v>
      </c>
    </row>
    <row r="28" spans="1:26">
      <c r="A28" s="19">
        <v>1991</v>
      </c>
      <c r="B28" s="59">
        <v>258940</v>
      </c>
      <c r="C28" s="58">
        <v>96.4</v>
      </c>
      <c r="D28" s="59">
        <v>163880</v>
      </c>
      <c r="E28" s="58">
        <v>61</v>
      </c>
      <c r="F28" s="59">
        <v>48490</v>
      </c>
      <c r="G28" s="58">
        <v>18.100000000000001</v>
      </c>
      <c r="H28" s="59">
        <v>46570</v>
      </c>
      <c r="I28" s="58">
        <v>17.3</v>
      </c>
      <c r="J28" s="59">
        <v>9090</v>
      </c>
      <c r="K28" s="58">
        <v>3.4</v>
      </c>
      <c r="L28" s="59">
        <v>9090</v>
      </c>
      <c r="M28" s="58" t="s">
        <v>68</v>
      </c>
      <c r="N28" s="62" t="s">
        <v>68</v>
      </c>
      <c r="O28" s="65" t="s">
        <v>68</v>
      </c>
      <c r="P28" s="62" t="s">
        <v>68</v>
      </c>
      <c r="Q28" s="62"/>
      <c r="R28" s="59">
        <v>460</v>
      </c>
      <c r="S28" s="58">
        <v>0.2</v>
      </c>
      <c r="T28" s="59" t="s">
        <v>68</v>
      </c>
      <c r="U28" s="58" t="s">
        <v>68</v>
      </c>
      <c r="V28" s="59" t="s">
        <v>68</v>
      </c>
      <c r="W28" s="58" t="s">
        <v>68</v>
      </c>
      <c r="X28" s="59" t="s">
        <v>68</v>
      </c>
      <c r="Y28" s="58" t="s">
        <v>68</v>
      </c>
      <c r="Z28" s="63">
        <v>268490</v>
      </c>
    </row>
    <row r="29" spans="1:26">
      <c r="A29" s="19">
        <v>1992</v>
      </c>
      <c r="B29" s="59">
        <v>265890</v>
      </c>
      <c r="C29" s="58">
        <v>96.5</v>
      </c>
      <c r="D29" s="59">
        <v>169790</v>
      </c>
      <c r="E29" s="58">
        <v>61.6</v>
      </c>
      <c r="F29" s="59">
        <v>46990</v>
      </c>
      <c r="G29" s="58">
        <v>17.100000000000001</v>
      </c>
      <c r="H29" s="59">
        <v>49110</v>
      </c>
      <c r="I29" s="58">
        <v>17.8</v>
      </c>
      <c r="J29" s="59">
        <v>9120</v>
      </c>
      <c r="K29" s="58">
        <v>3.3</v>
      </c>
      <c r="L29" s="59">
        <v>9120</v>
      </c>
      <c r="M29" s="58" t="s">
        <v>68</v>
      </c>
      <c r="N29" s="62" t="s">
        <v>68</v>
      </c>
      <c r="O29" s="65" t="s">
        <v>68</v>
      </c>
      <c r="P29" s="62" t="s">
        <v>68</v>
      </c>
      <c r="Q29" s="62"/>
      <c r="R29" s="59">
        <v>510</v>
      </c>
      <c r="S29" s="58">
        <v>0.2</v>
      </c>
      <c r="T29" s="59" t="s">
        <v>68</v>
      </c>
      <c r="U29" s="58" t="s">
        <v>68</v>
      </c>
      <c r="V29" s="59" t="s">
        <v>68</v>
      </c>
      <c r="W29" s="58" t="s">
        <v>68</v>
      </c>
      <c r="X29" s="59" t="s">
        <v>68</v>
      </c>
      <c r="Y29" s="58" t="s">
        <v>68</v>
      </c>
      <c r="Z29" s="63">
        <v>275520</v>
      </c>
    </row>
    <row r="30" spans="1:26">
      <c r="A30" s="19">
        <v>1993</v>
      </c>
      <c r="B30" s="59">
        <v>253490</v>
      </c>
      <c r="C30" s="58">
        <v>96.4</v>
      </c>
      <c r="D30" s="59">
        <v>157460</v>
      </c>
      <c r="E30" s="58">
        <v>59.9</v>
      </c>
      <c r="F30" s="59">
        <v>45240</v>
      </c>
      <c r="G30" s="58">
        <v>17.2</v>
      </c>
      <c r="H30" s="59">
        <v>50780</v>
      </c>
      <c r="I30" s="58">
        <v>19.3</v>
      </c>
      <c r="J30" s="59">
        <v>8850</v>
      </c>
      <c r="K30" s="58">
        <v>3.4</v>
      </c>
      <c r="L30" s="59">
        <v>8850</v>
      </c>
      <c r="M30" s="58" t="s">
        <v>68</v>
      </c>
      <c r="N30" s="62" t="s">
        <v>68</v>
      </c>
      <c r="O30" s="65" t="s">
        <v>68</v>
      </c>
      <c r="P30" s="62" t="s">
        <v>68</v>
      </c>
      <c r="Q30" s="62"/>
      <c r="R30" s="59">
        <v>510</v>
      </c>
      <c r="S30" s="58">
        <v>0.2</v>
      </c>
      <c r="T30" s="59" t="s">
        <v>68</v>
      </c>
      <c r="U30" s="58" t="s">
        <v>68</v>
      </c>
      <c r="V30" s="59" t="s">
        <v>68</v>
      </c>
      <c r="W30" s="58" t="s">
        <v>68</v>
      </c>
      <c r="X30" s="59" t="s">
        <v>68</v>
      </c>
      <c r="Y30" s="58" t="s">
        <v>68</v>
      </c>
      <c r="Z30" s="63">
        <v>262850</v>
      </c>
    </row>
    <row r="31" spans="1:26">
      <c r="A31" s="19">
        <v>1994</v>
      </c>
      <c r="B31" s="59">
        <v>257470</v>
      </c>
      <c r="C31" s="58">
        <v>96.6</v>
      </c>
      <c r="D31" s="59">
        <v>157380</v>
      </c>
      <c r="E31" s="58">
        <v>59</v>
      </c>
      <c r="F31" s="59">
        <v>47980</v>
      </c>
      <c r="G31" s="58">
        <v>18</v>
      </c>
      <c r="H31" s="59">
        <v>52120</v>
      </c>
      <c r="I31" s="58">
        <v>19.5</v>
      </c>
      <c r="J31" s="59">
        <v>8780</v>
      </c>
      <c r="K31" s="58">
        <v>3.3</v>
      </c>
      <c r="L31" s="59">
        <v>8780</v>
      </c>
      <c r="M31" s="58" t="s">
        <v>68</v>
      </c>
      <c r="N31" s="62" t="s">
        <v>68</v>
      </c>
      <c r="O31" s="65" t="s">
        <v>68</v>
      </c>
      <c r="P31" s="62" t="s">
        <v>68</v>
      </c>
      <c r="Q31" s="62"/>
      <c r="R31" s="59">
        <v>390</v>
      </c>
      <c r="S31" s="58">
        <v>0.1</v>
      </c>
      <c r="T31" s="59" t="s">
        <v>68</v>
      </c>
      <c r="U31" s="58" t="s">
        <v>68</v>
      </c>
      <c r="V31" s="59" t="s">
        <v>68</v>
      </c>
      <c r="W31" s="58" t="s">
        <v>68</v>
      </c>
      <c r="X31" s="59" t="s">
        <v>68</v>
      </c>
      <c r="Y31" s="58" t="s">
        <v>68</v>
      </c>
      <c r="Z31" s="63">
        <v>266640</v>
      </c>
    </row>
    <row r="32" spans="1:26">
      <c r="A32" s="19">
        <v>1995</v>
      </c>
      <c r="B32" s="59">
        <v>256360</v>
      </c>
      <c r="C32" s="58">
        <v>96.6</v>
      </c>
      <c r="D32" s="59">
        <v>152580</v>
      </c>
      <c r="E32" s="58">
        <v>57.5</v>
      </c>
      <c r="F32" s="59">
        <v>48830</v>
      </c>
      <c r="G32" s="58">
        <v>18.399999999999999</v>
      </c>
      <c r="H32" s="59">
        <v>54950</v>
      </c>
      <c r="I32" s="58">
        <v>20.7</v>
      </c>
      <c r="J32" s="59">
        <v>8760</v>
      </c>
      <c r="K32" s="58">
        <v>3.3</v>
      </c>
      <c r="L32" s="59">
        <v>8760</v>
      </c>
      <c r="M32" s="58" t="s">
        <v>68</v>
      </c>
      <c r="N32" s="62" t="s">
        <v>68</v>
      </c>
      <c r="O32" s="65" t="s">
        <v>68</v>
      </c>
      <c r="P32" s="62" t="s">
        <v>68</v>
      </c>
      <c r="Q32" s="62"/>
      <c r="R32" s="59">
        <v>310</v>
      </c>
      <c r="S32" s="58">
        <v>0.1</v>
      </c>
      <c r="T32" s="59" t="s">
        <v>68</v>
      </c>
      <c r="U32" s="58" t="s">
        <v>68</v>
      </c>
      <c r="V32" s="59" t="s">
        <v>68</v>
      </c>
      <c r="W32" s="58" t="s">
        <v>68</v>
      </c>
      <c r="X32" s="59" t="s">
        <v>68</v>
      </c>
      <c r="Y32" s="58" t="s">
        <v>68</v>
      </c>
      <c r="Z32" s="63">
        <v>265430</v>
      </c>
    </row>
    <row r="33" spans="1:27">
      <c r="A33" s="19">
        <v>1996</v>
      </c>
      <c r="B33" s="59">
        <v>259080</v>
      </c>
      <c r="C33" s="58">
        <v>96.7</v>
      </c>
      <c r="D33" s="59">
        <v>156490</v>
      </c>
      <c r="E33" s="58">
        <v>58.4</v>
      </c>
      <c r="F33" s="59">
        <v>45840</v>
      </c>
      <c r="G33" s="58">
        <v>17.100000000000001</v>
      </c>
      <c r="H33" s="59">
        <v>56760</v>
      </c>
      <c r="I33" s="58">
        <v>21.2</v>
      </c>
      <c r="J33" s="59">
        <v>8630</v>
      </c>
      <c r="K33" s="58">
        <v>3.2</v>
      </c>
      <c r="L33" s="59">
        <v>8630</v>
      </c>
      <c r="M33" s="58" t="s">
        <v>68</v>
      </c>
      <c r="N33" s="62" t="s">
        <v>68</v>
      </c>
      <c r="O33" s="65" t="s">
        <v>68</v>
      </c>
      <c r="P33" s="62" t="s">
        <v>68</v>
      </c>
      <c r="Q33" s="62"/>
      <c r="R33" s="59">
        <v>330</v>
      </c>
      <c r="S33" s="58">
        <v>0.1</v>
      </c>
      <c r="T33" s="59" t="s">
        <v>68</v>
      </c>
      <c r="U33" s="58" t="s">
        <v>68</v>
      </c>
      <c r="V33" s="59" t="s">
        <v>68</v>
      </c>
      <c r="W33" s="58" t="s">
        <v>68</v>
      </c>
      <c r="X33" s="59" t="s">
        <v>68</v>
      </c>
      <c r="Y33" s="58" t="s">
        <v>68</v>
      </c>
      <c r="Z33" s="63">
        <v>268040</v>
      </c>
    </row>
    <row r="34" spans="1:27">
      <c r="A34" s="19">
        <v>1997</v>
      </c>
      <c r="B34" s="59">
        <v>268890</v>
      </c>
      <c r="C34" s="58">
        <v>96.7</v>
      </c>
      <c r="D34" s="59">
        <v>162480</v>
      </c>
      <c r="E34" s="58">
        <v>58.5</v>
      </c>
      <c r="F34" s="59">
        <v>47640</v>
      </c>
      <c r="G34" s="58">
        <v>17.100000000000001</v>
      </c>
      <c r="H34" s="59">
        <v>58780</v>
      </c>
      <c r="I34" s="58">
        <v>21.1</v>
      </c>
      <c r="J34" s="59">
        <v>8680</v>
      </c>
      <c r="K34" s="58">
        <v>3.1</v>
      </c>
      <c r="L34" s="59">
        <v>8680</v>
      </c>
      <c r="M34" s="58" t="s">
        <v>68</v>
      </c>
      <c r="N34" s="62" t="s">
        <v>68</v>
      </c>
      <c r="O34" s="65" t="s">
        <v>68</v>
      </c>
      <c r="P34" s="62" t="s">
        <v>68</v>
      </c>
      <c r="Q34" s="62"/>
      <c r="R34" s="59">
        <v>330</v>
      </c>
      <c r="S34" s="58">
        <v>0.1</v>
      </c>
      <c r="T34" s="59">
        <v>0</v>
      </c>
      <c r="U34" s="58">
        <v>0</v>
      </c>
      <c r="V34" s="59" t="s">
        <v>68</v>
      </c>
      <c r="W34" s="58" t="s">
        <v>68</v>
      </c>
      <c r="X34" s="111">
        <v>60</v>
      </c>
      <c r="Y34" s="58">
        <v>0</v>
      </c>
      <c r="Z34" s="63">
        <v>277960</v>
      </c>
    </row>
    <row r="35" spans="1:27">
      <c r="A35" s="19">
        <v>1998</v>
      </c>
      <c r="B35" s="59">
        <v>274460</v>
      </c>
      <c r="C35" s="58">
        <v>96.7</v>
      </c>
      <c r="D35" s="59">
        <v>163670</v>
      </c>
      <c r="E35" s="58">
        <v>57.7</v>
      </c>
      <c r="F35" s="59">
        <v>49520</v>
      </c>
      <c r="G35" s="58">
        <v>17.5</v>
      </c>
      <c r="H35" s="59">
        <v>61280</v>
      </c>
      <c r="I35" s="58">
        <v>21.6</v>
      </c>
      <c r="J35" s="59">
        <v>8920</v>
      </c>
      <c r="K35" s="58">
        <v>3.1</v>
      </c>
      <c r="L35" s="59">
        <v>8920</v>
      </c>
      <c r="M35" s="58" t="s">
        <v>68</v>
      </c>
      <c r="N35" s="62" t="s">
        <v>68</v>
      </c>
      <c r="O35" s="65" t="s">
        <v>68</v>
      </c>
      <c r="P35" s="62" t="s">
        <v>68</v>
      </c>
      <c r="Q35" s="62"/>
      <c r="R35" s="59">
        <v>270</v>
      </c>
      <c r="S35" s="58">
        <v>0.1</v>
      </c>
      <c r="T35" s="59">
        <v>0</v>
      </c>
      <c r="U35" s="58">
        <v>0</v>
      </c>
      <c r="V35" s="59" t="s">
        <v>68</v>
      </c>
      <c r="W35" s="58" t="s">
        <v>68</v>
      </c>
      <c r="X35" s="111">
        <v>60</v>
      </c>
      <c r="Y35" s="58">
        <v>0</v>
      </c>
      <c r="Z35" s="63">
        <v>283710</v>
      </c>
    </row>
    <row r="36" spans="1:27">
      <c r="A36" s="19">
        <v>1999</v>
      </c>
      <c r="B36" s="59">
        <v>286920</v>
      </c>
      <c r="C36" s="58">
        <v>96.8</v>
      </c>
      <c r="D36" s="59">
        <v>169130</v>
      </c>
      <c r="E36" s="58">
        <v>57.1</v>
      </c>
      <c r="F36" s="59">
        <v>52530</v>
      </c>
      <c r="G36" s="58">
        <v>17.7</v>
      </c>
      <c r="H36" s="59">
        <v>65250</v>
      </c>
      <c r="I36" s="58">
        <v>22</v>
      </c>
      <c r="J36" s="59">
        <v>9170</v>
      </c>
      <c r="K36" s="58">
        <v>3.1</v>
      </c>
      <c r="L36" s="59">
        <v>9170</v>
      </c>
      <c r="M36" s="58" t="s">
        <v>68</v>
      </c>
      <c r="N36" s="62" t="s">
        <v>68</v>
      </c>
      <c r="O36" s="65" t="s">
        <v>68</v>
      </c>
      <c r="P36" s="62" t="s">
        <v>68</v>
      </c>
      <c r="Q36" s="62"/>
      <c r="R36" s="59">
        <v>300</v>
      </c>
      <c r="S36" s="58">
        <v>0.1</v>
      </c>
      <c r="T36" s="59">
        <v>0</v>
      </c>
      <c r="U36" s="58">
        <v>0</v>
      </c>
      <c r="V36" s="59" t="s">
        <v>68</v>
      </c>
      <c r="W36" s="58" t="s">
        <v>68</v>
      </c>
      <c r="X36" s="111">
        <v>60</v>
      </c>
      <c r="Y36" s="58">
        <v>0</v>
      </c>
      <c r="Z36" s="63">
        <v>296450</v>
      </c>
    </row>
    <row r="37" spans="1:27">
      <c r="A37" s="19">
        <v>2000</v>
      </c>
      <c r="B37" s="59">
        <v>293370</v>
      </c>
      <c r="C37" s="58">
        <v>96.5</v>
      </c>
      <c r="D37" s="59">
        <v>169330</v>
      </c>
      <c r="E37" s="58">
        <v>55.7</v>
      </c>
      <c r="F37" s="59">
        <v>55970</v>
      </c>
      <c r="G37" s="58">
        <v>18.399999999999999</v>
      </c>
      <c r="H37" s="59">
        <v>68070</v>
      </c>
      <c r="I37" s="58">
        <v>22.4</v>
      </c>
      <c r="J37" s="59">
        <v>10340</v>
      </c>
      <c r="K37" s="58">
        <v>3.4</v>
      </c>
      <c r="L37" s="59">
        <v>9500</v>
      </c>
      <c r="M37" s="58">
        <v>3.1</v>
      </c>
      <c r="N37" s="59">
        <v>0</v>
      </c>
      <c r="O37" s="58">
        <v>0</v>
      </c>
      <c r="P37" s="59">
        <v>830</v>
      </c>
      <c r="Q37" s="58">
        <v>0.3</v>
      </c>
      <c r="R37" s="59">
        <v>340</v>
      </c>
      <c r="S37" s="58">
        <v>0.1</v>
      </c>
      <c r="T37" s="59">
        <v>0</v>
      </c>
      <c r="U37" s="58">
        <v>0</v>
      </c>
      <c r="V37" s="59" t="s">
        <v>68</v>
      </c>
      <c r="W37" s="58" t="s">
        <v>68</v>
      </c>
      <c r="X37" s="111">
        <v>70</v>
      </c>
      <c r="Y37" s="58">
        <v>0</v>
      </c>
      <c r="Z37" s="63">
        <v>304120</v>
      </c>
    </row>
    <row r="38" spans="1:27">
      <c r="A38" s="19">
        <v>2001</v>
      </c>
      <c r="B38" s="59">
        <v>285870</v>
      </c>
      <c r="C38" s="58">
        <v>96.3</v>
      </c>
      <c r="D38" s="59">
        <v>164680</v>
      </c>
      <c r="E38" s="58">
        <v>55.5</v>
      </c>
      <c r="F38" s="59">
        <v>56980</v>
      </c>
      <c r="G38" s="58">
        <v>19.2</v>
      </c>
      <c r="H38" s="59">
        <v>64220</v>
      </c>
      <c r="I38" s="58">
        <v>21.6</v>
      </c>
      <c r="J38" s="59">
        <v>10540</v>
      </c>
      <c r="K38" s="58">
        <v>3.6</v>
      </c>
      <c r="L38" s="59">
        <v>9710</v>
      </c>
      <c r="M38" s="58">
        <v>3.3</v>
      </c>
      <c r="N38" s="59">
        <v>0</v>
      </c>
      <c r="O38" s="58">
        <v>0</v>
      </c>
      <c r="P38" s="59">
        <v>830</v>
      </c>
      <c r="Q38" s="58">
        <v>0.3</v>
      </c>
      <c r="R38" s="59">
        <v>360</v>
      </c>
      <c r="S38" s="58">
        <v>0.1</v>
      </c>
      <c r="T38" s="59">
        <v>0</v>
      </c>
      <c r="U38" s="58">
        <v>0</v>
      </c>
      <c r="V38" s="59" t="s">
        <v>68</v>
      </c>
      <c r="W38" s="58" t="s">
        <v>68</v>
      </c>
      <c r="X38" s="59">
        <v>70</v>
      </c>
      <c r="Y38" s="58">
        <v>0</v>
      </c>
      <c r="Z38" s="63">
        <v>296840</v>
      </c>
    </row>
    <row r="39" spans="1:27">
      <c r="A39" s="19">
        <v>2002</v>
      </c>
      <c r="B39" s="59">
        <v>279810</v>
      </c>
      <c r="C39" s="58">
        <v>95.8</v>
      </c>
      <c r="D39" s="59">
        <v>161390</v>
      </c>
      <c r="E39" s="58">
        <v>55.3</v>
      </c>
      <c r="F39" s="59">
        <v>59010</v>
      </c>
      <c r="G39" s="58">
        <v>20.2</v>
      </c>
      <c r="H39" s="59">
        <v>59410</v>
      </c>
      <c r="I39" s="58">
        <v>20.3</v>
      </c>
      <c r="J39" s="59">
        <v>10900</v>
      </c>
      <c r="K39" s="58">
        <v>3.7</v>
      </c>
      <c r="L39" s="59">
        <v>10070</v>
      </c>
      <c r="M39" s="58">
        <v>3.4</v>
      </c>
      <c r="N39" s="59">
        <v>0</v>
      </c>
      <c r="O39" s="58">
        <v>0</v>
      </c>
      <c r="P39" s="59">
        <v>820</v>
      </c>
      <c r="Q39" s="58">
        <v>0.3</v>
      </c>
      <c r="R39" s="59">
        <v>1210</v>
      </c>
      <c r="S39" s="58">
        <v>0.4</v>
      </c>
      <c r="T39" s="59">
        <v>0</v>
      </c>
      <c r="U39" s="58">
        <v>0</v>
      </c>
      <c r="V39" s="59" t="s">
        <v>68</v>
      </c>
      <c r="W39" s="58" t="s">
        <v>68</v>
      </c>
      <c r="X39" s="59">
        <v>70</v>
      </c>
      <c r="Y39" s="58">
        <v>0</v>
      </c>
      <c r="Z39" s="63">
        <v>291990</v>
      </c>
    </row>
    <row r="40" spans="1:27">
      <c r="A40" s="19">
        <v>2003</v>
      </c>
      <c r="B40" s="59">
        <v>276640</v>
      </c>
      <c r="C40" s="58">
        <v>95.6</v>
      </c>
      <c r="D40" s="59">
        <v>160610</v>
      </c>
      <c r="E40" s="58">
        <v>55.5</v>
      </c>
      <c r="F40" s="59">
        <v>62590</v>
      </c>
      <c r="G40" s="58">
        <v>21.6</v>
      </c>
      <c r="H40" s="59">
        <v>53450</v>
      </c>
      <c r="I40" s="58">
        <v>18.5</v>
      </c>
      <c r="J40" s="59">
        <v>11560</v>
      </c>
      <c r="K40" s="58">
        <v>4</v>
      </c>
      <c r="L40" s="59">
        <v>10740</v>
      </c>
      <c r="M40" s="58">
        <v>3.7</v>
      </c>
      <c r="N40" s="59">
        <v>0</v>
      </c>
      <c r="O40" s="58">
        <v>0</v>
      </c>
      <c r="P40" s="59">
        <v>820</v>
      </c>
      <c r="Q40" s="58">
        <v>0.3</v>
      </c>
      <c r="R40" s="59">
        <v>1140</v>
      </c>
      <c r="S40" s="58">
        <v>0.4</v>
      </c>
      <c r="T40" s="59">
        <v>10</v>
      </c>
      <c r="U40" s="58">
        <v>0</v>
      </c>
      <c r="V40" s="59" t="s">
        <v>68</v>
      </c>
      <c r="W40" s="58" t="s">
        <v>68</v>
      </c>
      <c r="X40" s="59">
        <v>90</v>
      </c>
      <c r="Y40" s="58">
        <v>0</v>
      </c>
      <c r="Z40" s="63">
        <v>289440</v>
      </c>
    </row>
    <row r="41" spans="1:27">
      <c r="A41" s="19">
        <v>2004</v>
      </c>
      <c r="B41" s="59">
        <v>275420</v>
      </c>
      <c r="C41" s="58">
        <v>95.6</v>
      </c>
      <c r="D41" s="59">
        <v>157740</v>
      </c>
      <c r="E41" s="58">
        <v>54.7</v>
      </c>
      <c r="F41" s="59">
        <v>67240</v>
      </c>
      <c r="G41" s="58">
        <v>23.3</v>
      </c>
      <c r="H41" s="59">
        <v>50450</v>
      </c>
      <c r="I41" s="58">
        <v>17.5</v>
      </c>
      <c r="J41" s="59">
        <v>11400</v>
      </c>
      <c r="K41" s="58">
        <v>4</v>
      </c>
      <c r="L41" s="59">
        <v>10580</v>
      </c>
      <c r="M41" s="58">
        <v>3.7</v>
      </c>
      <c r="N41" s="59">
        <v>0</v>
      </c>
      <c r="O41" s="58">
        <v>0</v>
      </c>
      <c r="P41" s="59">
        <v>810</v>
      </c>
      <c r="Q41" s="58">
        <v>0.3</v>
      </c>
      <c r="R41" s="59">
        <v>1200</v>
      </c>
      <c r="S41" s="58">
        <v>0.4</v>
      </c>
      <c r="T41" s="59">
        <v>30</v>
      </c>
      <c r="U41" s="58">
        <v>0</v>
      </c>
      <c r="V41" s="59" t="s">
        <v>68</v>
      </c>
      <c r="W41" s="58" t="s">
        <v>68</v>
      </c>
      <c r="X41" s="59">
        <v>130</v>
      </c>
      <c r="Y41" s="58">
        <v>0</v>
      </c>
      <c r="Z41" s="63">
        <v>288180</v>
      </c>
    </row>
    <row r="42" spans="1:27">
      <c r="A42" s="19">
        <v>2005</v>
      </c>
      <c r="B42" s="59">
        <v>277500</v>
      </c>
      <c r="C42" s="58">
        <v>95.5</v>
      </c>
      <c r="D42" s="59">
        <v>152960</v>
      </c>
      <c r="E42" s="58">
        <v>52.7</v>
      </c>
      <c r="F42" s="59">
        <v>73430</v>
      </c>
      <c r="G42" s="58">
        <v>25.3</v>
      </c>
      <c r="H42" s="59">
        <v>51110</v>
      </c>
      <c r="I42" s="58">
        <v>17.600000000000001</v>
      </c>
      <c r="J42" s="59">
        <v>11550</v>
      </c>
      <c r="K42" s="58">
        <v>4</v>
      </c>
      <c r="L42" s="59">
        <v>10740</v>
      </c>
      <c r="M42" s="58">
        <v>3.7</v>
      </c>
      <c r="N42" s="59">
        <v>0</v>
      </c>
      <c r="O42" s="58">
        <v>0</v>
      </c>
      <c r="P42" s="59">
        <v>810</v>
      </c>
      <c r="Q42" s="58">
        <v>0.3</v>
      </c>
      <c r="R42" s="59">
        <v>1070</v>
      </c>
      <c r="S42" s="58">
        <v>0.4</v>
      </c>
      <c r="T42" s="59">
        <v>90</v>
      </c>
      <c r="U42" s="58">
        <v>0</v>
      </c>
      <c r="V42" s="59" t="s">
        <v>68</v>
      </c>
      <c r="W42" s="58" t="s">
        <v>68</v>
      </c>
      <c r="X42" s="59">
        <v>260</v>
      </c>
      <c r="Y42" s="58">
        <v>0.1</v>
      </c>
      <c r="Z42" s="63">
        <v>290470</v>
      </c>
    </row>
    <row r="43" spans="1:27">
      <c r="A43" s="19">
        <v>2006</v>
      </c>
      <c r="B43" s="59">
        <v>281300</v>
      </c>
      <c r="C43" s="58">
        <v>95.2</v>
      </c>
      <c r="D43" s="59">
        <v>148260</v>
      </c>
      <c r="E43" s="58">
        <v>50.2</v>
      </c>
      <c r="F43" s="59">
        <v>79460</v>
      </c>
      <c r="G43" s="58">
        <v>26.9</v>
      </c>
      <c r="H43" s="59">
        <v>53580</v>
      </c>
      <c r="I43" s="58">
        <v>18.100000000000001</v>
      </c>
      <c r="J43" s="59">
        <v>11940</v>
      </c>
      <c r="K43" s="58">
        <v>4</v>
      </c>
      <c r="L43" s="59">
        <v>11130</v>
      </c>
      <c r="M43" s="58">
        <v>3.8</v>
      </c>
      <c r="N43" s="59">
        <v>0</v>
      </c>
      <c r="O43" s="58">
        <v>0</v>
      </c>
      <c r="P43" s="59">
        <v>810</v>
      </c>
      <c r="Q43" s="58">
        <v>0.3</v>
      </c>
      <c r="R43" s="59">
        <v>1700</v>
      </c>
      <c r="S43" s="58">
        <v>0.6</v>
      </c>
      <c r="T43" s="59">
        <v>120</v>
      </c>
      <c r="U43" s="58">
        <v>0</v>
      </c>
      <c r="V43" s="59" t="s">
        <v>68</v>
      </c>
      <c r="W43" s="58" t="s">
        <v>68</v>
      </c>
      <c r="X43" s="59">
        <v>350</v>
      </c>
      <c r="Y43" s="58">
        <v>0.1</v>
      </c>
      <c r="Z43" s="63">
        <v>295410</v>
      </c>
    </row>
    <row r="44" spans="1:27">
      <c r="A44" s="19">
        <v>2007</v>
      </c>
      <c r="B44" s="59">
        <v>289330</v>
      </c>
      <c r="C44" s="58">
        <v>95.4</v>
      </c>
      <c r="D44" s="59">
        <v>146830</v>
      </c>
      <c r="E44" s="58">
        <v>48.4</v>
      </c>
      <c r="F44" s="59">
        <v>85320</v>
      </c>
      <c r="G44" s="58">
        <v>28.1</v>
      </c>
      <c r="H44" s="59">
        <v>57180</v>
      </c>
      <c r="I44" s="58">
        <v>18.8</v>
      </c>
      <c r="J44" s="59">
        <v>11880</v>
      </c>
      <c r="K44" s="58">
        <v>3.9</v>
      </c>
      <c r="L44" s="59">
        <v>11070</v>
      </c>
      <c r="M44" s="58">
        <v>3.6</v>
      </c>
      <c r="N44" s="59">
        <v>0</v>
      </c>
      <c r="O44" s="58">
        <v>0</v>
      </c>
      <c r="P44" s="59">
        <v>810</v>
      </c>
      <c r="Q44" s="58">
        <v>0.3</v>
      </c>
      <c r="R44" s="59">
        <v>1430</v>
      </c>
      <c r="S44" s="58">
        <v>0.5</v>
      </c>
      <c r="T44" s="59">
        <v>310</v>
      </c>
      <c r="U44" s="58">
        <v>0.1</v>
      </c>
      <c r="V44" s="59" t="s">
        <v>68</v>
      </c>
      <c r="W44" s="58" t="s">
        <v>68</v>
      </c>
      <c r="X44" s="59">
        <v>470</v>
      </c>
      <c r="Y44" s="58">
        <v>0.2</v>
      </c>
      <c r="Z44" s="63">
        <v>303420</v>
      </c>
    </row>
    <row r="45" spans="1:27">
      <c r="A45" s="19">
        <v>2008</v>
      </c>
      <c r="B45" s="59">
        <v>298420</v>
      </c>
      <c r="C45" s="58">
        <v>95.3</v>
      </c>
      <c r="D45" s="59">
        <v>143620</v>
      </c>
      <c r="E45" s="58">
        <v>45.9</v>
      </c>
      <c r="F45" s="59">
        <v>93640</v>
      </c>
      <c r="G45" s="58">
        <v>29.9</v>
      </c>
      <c r="H45" s="59">
        <v>61160</v>
      </c>
      <c r="I45" s="58">
        <v>19.5</v>
      </c>
      <c r="J45" s="59">
        <v>12120</v>
      </c>
      <c r="K45" s="58">
        <v>3.9</v>
      </c>
      <c r="L45" s="59">
        <v>11310</v>
      </c>
      <c r="M45" s="58">
        <v>3.6</v>
      </c>
      <c r="N45" s="59">
        <v>0</v>
      </c>
      <c r="O45" s="58">
        <v>0</v>
      </c>
      <c r="P45" s="59">
        <v>800</v>
      </c>
      <c r="Q45" s="58">
        <v>0.3</v>
      </c>
      <c r="R45" s="59">
        <v>1460</v>
      </c>
      <c r="S45" s="58">
        <v>0.5</v>
      </c>
      <c r="T45" s="59">
        <v>470</v>
      </c>
      <c r="U45" s="58">
        <v>0.2</v>
      </c>
      <c r="V45" s="59" t="s">
        <v>68</v>
      </c>
      <c r="W45" s="58" t="s">
        <v>68</v>
      </c>
      <c r="X45" s="59">
        <v>510</v>
      </c>
      <c r="Y45" s="58">
        <v>0.2</v>
      </c>
      <c r="Z45" s="63">
        <v>312980</v>
      </c>
    </row>
    <row r="46" spans="1:27">
      <c r="A46" s="19">
        <v>2009</v>
      </c>
      <c r="B46" s="59">
        <v>293450</v>
      </c>
      <c r="C46" s="58">
        <v>95.5</v>
      </c>
      <c r="D46" s="59">
        <v>139730</v>
      </c>
      <c r="E46" s="58">
        <v>45.5</v>
      </c>
      <c r="F46" s="59">
        <v>95040</v>
      </c>
      <c r="G46" s="58">
        <v>30.9</v>
      </c>
      <c r="H46" s="59">
        <v>58680</v>
      </c>
      <c r="I46" s="58">
        <v>19.100000000000001</v>
      </c>
      <c r="J46" s="59">
        <v>11830</v>
      </c>
      <c r="K46" s="58">
        <v>3.9</v>
      </c>
      <c r="L46" s="59">
        <v>11030</v>
      </c>
      <c r="M46" s="58">
        <v>3.6</v>
      </c>
      <c r="N46" s="59">
        <v>0</v>
      </c>
      <c r="O46" s="58">
        <v>0</v>
      </c>
      <c r="P46" s="59">
        <v>800</v>
      </c>
      <c r="Q46" s="58">
        <v>0.3</v>
      </c>
      <c r="R46" s="59">
        <v>950</v>
      </c>
      <c r="S46" s="58">
        <v>0.3</v>
      </c>
      <c r="T46" s="59">
        <v>600</v>
      </c>
      <c r="U46" s="58">
        <v>0.2</v>
      </c>
      <c r="V46" s="59" t="s">
        <v>68</v>
      </c>
      <c r="W46" s="58" t="s">
        <v>68</v>
      </c>
      <c r="X46" s="59">
        <v>360</v>
      </c>
      <c r="Y46" s="58">
        <v>0.1</v>
      </c>
      <c r="Z46" s="63">
        <v>307190</v>
      </c>
    </row>
    <row r="47" spans="1:27">
      <c r="A47" s="19">
        <v>2010</v>
      </c>
      <c r="B47" s="59">
        <v>295080</v>
      </c>
      <c r="C47" s="58">
        <v>95.4</v>
      </c>
      <c r="D47" s="59">
        <v>134720</v>
      </c>
      <c r="E47" s="58">
        <v>43.6</v>
      </c>
      <c r="F47" s="59">
        <v>98720</v>
      </c>
      <c r="G47" s="58">
        <v>31.9</v>
      </c>
      <c r="H47" s="59">
        <v>61630</v>
      </c>
      <c r="I47" s="58">
        <v>19.899999999999999</v>
      </c>
      <c r="J47" s="59">
        <v>12200</v>
      </c>
      <c r="K47" s="58">
        <v>3.9</v>
      </c>
      <c r="L47" s="59">
        <v>11390</v>
      </c>
      <c r="M47" s="58">
        <v>3.7</v>
      </c>
      <c r="N47" s="59">
        <v>10</v>
      </c>
      <c r="O47" s="58">
        <v>0</v>
      </c>
      <c r="P47" s="59">
        <v>800</v>
      </c>
      <c r="Q47" s="58">
        <v>0.3</v>
      </c>
      <c r="R47" s="59">
        <v>830</v>
      </c>
      <c r="S47" s="58">
        <v>0.3</v>
      </c>
      <c r="T47" s="59">
        <v>710</v>
      </c>
      <c r="U47" s="58">
        <v>0.2</v>
      </c>
      <c r="V47" s="59" t="s">
        <v>68</v>
      </c>
      <c r="W47" s="58" t="s">
        <v>68</v>
      </c>
      <c r="X47" s="59">
        <v>430</v>
      </c>
      <c r="Y47" s="58">
        <v>0.1</v>
      </c>
      <c r="Z47" s="63">
        <v>309250</v>
      </c>
      <c r="AA47" s="34"/>
    </row>
    <row r="48" spans="1:27">
      <c r="A48" s="19">
        <v>2011</v>
      </c>
      <c r="B48" s="59">
        <v>296590</v>
      </c>
      <c r="C48" s="58">
        <v>95.5</v>
      </c>
      <c r="D48" s="59">
        <v>129510</v>
      </c>
      <c r="E48" s="58">
        <v>41.7</v>
      </c>
      <c r="F48" s="59">
        <v>101370</v>
      </c>
      <c r="G48" s="58">
        <v>32.700000000000003</v>
      </c>
      <c r="H48" s="59">
        <v>65710</v>
      </c>
      <c r="I48" s="58">
        <v>21.2</v>
      </c>
      <c r="J48" s="59">
        <v>11850</v>
      </c>
      <c r="K48" s="58">
        <v>3.8</v>
      </c>
      <c r="L48" s="59">
        <v>11020</v>
      </c>
      <c r="M48" s="58">
        <v>3.5</v>
      </c>
      <c r="N48" s="59">
        <v>30</v>
      </c>
      <c r="O48" s="58">
        <v>0</v>
      </c>
      <c r="P48" s="59">
        <v>800</v>
      </c>
      <c r="Q48" s="58">
        <v>0.3</v>
      </c>
      <c r="R48" s="59">
        <v>840</v>
      </c>
      <c r="S48" s="58">
        <v>0.3</v>
      </c>
      <c r="T48" s="59">
        <v>700</v>
      </c>
      <c r="U48" s="58">
        <v>0.2</v>
      </c>
      <c r="V48" s="59" t="s">
        <v>68</v>
      </c>
      <c r="W48" s="58" t="s">
        <v>68</v>
      </c>
      <c r="X48" s="59">
        <v>450</v>
      </c>
      <c r="Y48" s="58">
        <v>0.1</v>
      </c>
      <c r="Z48" s="63">
        <v>310430</v>
      </c>
      <c r="AA48" s="34"/>
    </row>
    <row r="49" spans="1:27">
      <c r="A49" s="19">
        <v>2012</v>
      </c>
      <c r="B49" s="59">
        <v>299850</v>
      </c>
      <c r="C49" s="58">
        <v>95.5</v>
      </c>
      <c r="D49" s="59">
        <v>124970</v>
      </c>
      <c r="E49" s="58">
        <v>39.799999999999997</v>
      </c>
      <c r="F49" s="59">
        <v>107550</v>
      </c>
      <c r="G49" s="58">
        <v>34.299999999999997</v>
      </c>
      <c r="H49" s="59">
        <v>67330</v>
      </c>
      <c r="I49" s="58">
        <v>21.5</v>
      </c>
      <c r="J49" s="59">
        <v>11980</v>
      </c>
      <c r="K49" s="58">
        <v>3.8</v>
      </c>
      <c r="L49" s="59">
        <v>11140</v>
      </c>
      <c r="M49" s="58">
        <v>3.5</v>
      </c>
      <c r="N49" s="59">
        <v>30</v>
      </c>
      <c r="O49" s="58">
        <v>0</v>
      </c>
      <c r="P49" s="59">
        <v>810</v>
      </c>
      <c r="Q49" s="58">
        <v>0.3</v>
      </c>
      <c r="R49" s="59">
        <v>810</v>
      </c>
      <c r="S49" s="58">
        <v>0.3</v>
      </c>
      <c r="T49" s="59">
        <v>680</v>
      </c>
      <c r="U49" s="58">
        <v>0.2</v>
      </c>
      <c r="V49" s="59" t="s">
        <v>68</v>
      </c>
      <c r="W49" s="58" t="s">
        <v>68</v>
      </c>
      <c r="X49" s="59">
        <v>520</v>
      </c>
      <c r="Y49" s="58">
        <v>0.2</v>
      </c>
      <c r="Z49" s="63">
        <v>313840</v>
      </c>
      <c r="AA49" s="34"/>
    </row>
    <row r="50" spans="1:27">
      <c r="A50" s="19">
        <v>2013</v>
      </c>
      <c r="B50" s="59">
        <v>299770</v>
      </c>
      <c r="C50" s="58">
        <v>95.6</v>
      </c>
      <c r="D50" s="59">
        <v>119280</v>
      </c>
      <c r="E50" s="58">
        <v>38</v>
      </c>
      <c r="F50" s="59">
        <v>112400</v>
      </c>
      <c r="G50" s="58">
        <v>35.799999999999997</v>
      </c>
      <c r="H50" s="59">
        <v>68080</v>
      </c>
      <c r="I50" s="58">
        <v>21.7</v>
      </c>
      <c r="J50" s="59">
        <v>12180</v>
      </c>
      <c r="K50" s="58">
        <v>3.9</v>
      </c>
      <c r="L50" s="59">
        <v>11310</v>
      </c>
      <c r="M50" s="58">
        <v>3.6</v>
      </c>
      <c r="N50" s="59">
        <v>50</v>
      </c>
      <c r="O50" s="58">
        <v>0</v>
      </c>
      <c r="P50" s="59">
        <v>810</v>
      </c>
      <c r="Q50" s="58">
        <v>0.3</v>
      </c>
      <c r="R50" s="59">
        <v>410</v>
      </c>
      <c r="S50" s="58">
        <v>0.1</v>
      </c>
      <c r="T50" s="59">
        <v>700</v>
      </c>
      <c r="U50" s="58">
        <v>0.2</v>
      </c>
      <c r="V50" s="59" t="s">
        <v>68</v>
      </c>
      <c r="W50" s="58" t="s">
        <v>68</v>
      </c>
      <c r="X50" s="59">
        <v>480</v>
      </c>
      <c r="Y50" s="58">
        <v>0.2</v>
      </c>
      <c r="Z50" s="63">
        <v>313540</v>
      </c>
      <c r="AA50" s="34"/>
    </row>
    <row r="51" spans="1:27">
      <c r="A51" s="19">
        <v>2014</v>
      </c>
      <c r="B51" s="59">
        <v>298260</v>
      </c>
      <c r="C51" s="58">
        <v>95.4</v>
      </c>
      <c r="D51" s="59">
        <v>114470</v>
      </c>
      <c r="E51" s="58">
        <v>36.6</v>
      </c>
      <c r="F51" s="59">
        <v>115240</v>
      </c>
      <c r="G51" s="58">
        <v>36.9</v>
      </c>
      <c r="H51" s="59">
        <v>68560</v>
      </c>
      <c r="I51" s="58">
        <v>21.9</v>
      </c>
      <c r="J51" s="59">
        <v>11950</v>
      </c>
      <c r="K51" s="58">
        <v>3.8</v>
      </c>
      <c r="L51" s="59">
        <v>11050</v>
      </c>
      <c r="M51" s="58">
        <v>3.5</v>
      </c>
      <c r="N51" s="59">
        <v>80</v>
      </c>
      <c r="O51" s="58">
        <v>0</v>
      </c>
      <c r="P51" s="59">
        <v>820</v>
      </c>
      <c r="Q51" s="58">
        <v>0.3</v>
      </c>
      <c r="R51" s="59">
        <v>830</v>
      </c>
      <c r="S51" s="58">
        <v>0.3</v>
      </c>
      <c r="T51" s="59">
        <v>670</v>
      </c>
      <c r="U51" s="58">
        <v>0.2</v>
      </c>
      <c r="V51" s="59" t="s">
        <v>68</v>
      </c>
      <c r="W51" s="58" t="s">
        <v>68</v>
      </c>
      <c r="X51" s="59">
        <v>870</v>
      </c>
      <c r="Y51" s="58">
        <v>0.3</v>
      </c>
      <c r="Z51" s="63">
        <v>312580</v>
      </c>
      <c r="AA51" s="34"/>
    </row>
    <row r="52" spans="1:27">
      <c r="A52" s="19">
        <v>2015</v>
      </c>
      <c r="B52" s="59">
        <v>290530</v>
      </c>
      <c r="C52" s="58">
        <v>94.9</v>
      </c>
      <c r="D52" s="59">
        <v>106070</v>
      </c>
      <c r="E52" s="58">
        <v>34.6</v>
      </c>
      <c r="F52" s="59">
        <v>113650</v>
      </c>
      <c r="G52" s="58">
        <v>37.1</v>
      </c>
      <c r="H52" s="59">
        <v>70800</v>
      </c>
      <c r="I52" s="58">
        <v>23.1</v>
      </c>
      <c r="J52" s="59">
        <v>12240</v>
      </c>
      <c r="K52" s="58">
        <v>4</v>
      </c>
      <c r="L52" s="59">
        <v>11290</v>
      </c>
      <c r="M52" s="58">
        <v>3.7</v>
      </c>
      <c r="N52" s="59">
        <v>130</v>
      </c>
      <c r="O52" s="58">
        <v>0</v>
      </c>
      <c r="P52" s="59">
        <v>820</v>
      </c>
      <c r="Q52" s="58">
        <v>0.3</v>
      </c>
      <c r="R52" s="59">
        <v>760</v>
      </c>
      <c r="S52" s="58">
        <v>0.2</v>
      </c>
      <c r="T52" s="59">
        <v>630</v>
      </c>
      <c r="U52" s="58">
        <v>0.2</v>
      </c>
      <c r="V52" s="59" t="s">
        <v>68</v>
      </c>
      <c r="W52" s="58" t="s">
        <v>68</v>
      </c>
      <c r="X52" s="59">
        <v>2070</v>
      </c>
      <c r="Y52" s="58">
        <v>0.7</v>
      </c>
      <c r="Z52" s="63">
        <v>306230</v>
      </c>
      <c r="AA52" s="34"/>
    </row>
    <row r="53" spans="1:27" s="34" customFormat="1">
      <c r="A53" s="19">
        <v>2016</v>
      </c>
      <c r="B53" s="59">
        <v>291820</v>
      </c>
      <c r="C53" s="58">
        <v>94.5</v>
      </c>
      <c r="D53" s="59">
        <v>102750</v>
      </c>
      <c r="E53" s="58">
        <v>33.299999999999997</v>
      </c>
      <c r="F53" s="59">
        <v>114900</v>
      </c>
      <c r="G53" s="58">
        <v>37.200000000000003</v>
      </c>
      <c r="H53" s="59">
        <v>74170</v>
      </c>
      <c r="I53" s="58">
        <v>24</v>
      </c>
      <c r="J53" s="59">
        <v>12530</v>
      </c>
      <c r="K53" s="58">
        <v>4.0999999999999996</v>
      </c>
      <c r="L53" s="59">
        <v>11520</v>
      </c>
      <c r="M53" s="58">
        <v>3.7</v>
      </c>
      <c r="N53" s="59">
        <v>180</v>
      </c>
      <c r="O53" s="58">
        <v>0.1</v>
      </c>
      <c r="P53" s="59">
        <v>830</v>
      </c>
      <c r="Q53" s="58">
        <v>0.3</v>
      </c>
      <c r="R53" s="59">
        <v>340</v>
      </c>
      <c r="S53" s="58">
        <v>0.1</v>
      </c>
      <c r="T53" s="59">
        <v>600</v>
      </c>
      <c r="U53" s="58">
        <v>0.2</v>
      </c>
      <c r="V53" s="59" t="s">
        <v>68</v>
      </c>
      <c r="W53" s="58" t="s">
        <v>68</v>
      </c>
      <c r="X53" s="59">
        <v>3560</v>
      </c>
      <c r="Y53" s="58">
        <v>1.2</v>
      </c>
      <c r="Z53" s="63">
        <v>308850</v>
      </c>
    </row>
    <row r="54" spans="1:27" s="34" customFormat="1">
      <c r="A54" s="19">
        <v>2017</v>
      </c>
      <c r="B54" s="59">
        <v>290100</v>
      </c>
      <c r="C54" s="58">
        <v>93.9</v>
      </c>
      <c r="D54" s="59">
        <v>99600</v>
      </c>
      <c r="E54" s="58">
        <v>32.200000000000003</v>
      </c>
      <c r="F54" s="59">
        <v>114550</v>
      </c>
      <c r="G54" s="58">
        <v>37.1</v>
      </c>
      <c r="H54" s="59">
        <v>75950</v>
      </c>
      <c r="I54" s="58">
        <v>24.6</v>
      </c>
      <c r="J54" s="59">
        <v>12420</v>
      </c>
      <c r="K54" s="58">
        <v>4</v>
      </c>
      <c r="L54" s="59">
        <v>11340</v>
      </c>
      <c r="M54" s="58">
        <v>3.7</v>
      </c>
      <c r="N54" s="59">
        <v>250</v>
      </c>
      <c r="O54" s="58">
        <v>0.1</v>
      </c>
      <c r="P54" s="59">
        <v>840</v>
      </c>
      <c r="Q54" s="58">
        <v>0.3</v>
      </c>
      <c r="R54" s="59">
        <v>470</v>
      </c>
      <c r="S54" s="58">
        <v>0.2</v>
      </c>
      <c r="T54" s="59">
        <v>570</v>
      </c>
      <c r="U54" s="58">
        <v>0.2</v>
      </c>
      <c r="V54" s="59" t="s">
        <v>68</v>
      </c>
      <c r="W54" s="58" t="s">
        <v>68</v>
      </c>
      <c r="X54" s="59">
        <v>5520</v>
      </c>
      <c r="Y54" s="58">
        <v>1.8</v>
      </c>
      <c r="Z54" s="63">
        <v>309080</v>
      </c>
    </row>
    <row r="55" spans="1:27" s="34" customFormat="1">
      <c r="A55" s="19">
        <v>2018</v>
      </c>
      <c r="B55" s="59">
        <v>294300</v>
      </c>
      <c r="C55" s="58">
        <v>93.4</v>
      </c>
      <c r="D55" s="59">
        <v>98020</v>
      </c>
      <c r="E55" s="58">
        <v>31.1</v>
      </c>
      <c r="F55" s="59">
        <v>116010</v>
      </c>
      <c r="G55" s="58">
        <v>36.799999999999997</v>
      </c>
      <c r="H55" s="59">
        <v>80270</v>
      </c>
      <c r="I55" s="58">
        <v>25.5</v>
      </c>
      <c r="J55" s="59">
        <v>12290</v>
      </c>
      <c r="K55" s="58">
        <v>3.9</v>
      </c>
      <c r="L55" s="59">
        <v>11120</v>
      </c>
      <c r="M55" s="58">
        <v>3.5</v>
      </c>
      <c r="N55" s="59">
        <v>320</v>
      </c>
      <c r="O55" s="58">
        <v>0.1</v>
      </c>
      <c r="P55" s="59">
        <v>840</v>
      </c>
      <c r="Q55" s="58">
        <v>0.3</v>
      </c>
      <c r="R55" s="59">
        <v>490</v>
      </c>
      <c r="S55" s="58">
        <v>0.2</v>
      </c>
      <c r="T55" s="59">
        <v>590</v>
      </c>
      <c r="U55" s="58">
        <v>0.2</v>
      </c>
      <c r="V55" s="59" t="s">
        <v>68</v>
      </c>
      <c r="W55" s="58" t="s">
        <v>68</v>
      </c>
      <c r="X55" s="59">
        <v>7520</v>
      </c>
      <c r="Y55" s="58">
        <v>2.4</v>
      </c>
      <c r="Z55" s="63">
        <v>315190</v>
      </c>
    </row>
    <row r="56" spans="1:27" s="34" customFormat="1">
      <c r="A56" s="19">
        <v>2019</v>
      </c>
      <c r="B56" s="59">
        <v>294360</v>
      </c>
      <c r="C56" s="58">
        <v>93.3</v>
      </c>
      <c r="D56" s="59">
        <v>97210</v>
      </c>
      <c r="E56" s="58">
        <v>30.8</v>
      </c>
      <c r="F56" s="59">
        <v>116060</v>
      </c>
      <c r="G56" s="58">
        <v>36.799999999999997</v>
      </c>
      <c r="H56" s="59">
        <v>81090</v>
      </c>
      <c r="I56" s="58">
        <v>25.7</v>
      </c>
      <c r="J56" s="59">
        <v>12230</v>
      </c>
      <c r="K56" s="58">
        <v>3.9</v>
      </c>
      <c r="L56" s="59">
        <v>10950</v>
      </c>
      <c r="M56" s="58">
        <v>3.5</v>
      </c>
      <c r="N56" s="59">
        <v>420</v>
      </c>
      <c r="O56" s="58">
        <v>0.1</v>
      </c>
      <c r="P56" s="59">
        <v>850</v>
      </c>
      <c r="Q56" s="58">
        <v>0.3</v>
      </c>
      <c r="R56" s="59">
        <v>600</v>
      </c>
      <c r="S56" s="58">
        <v>0.2</v>
      </c>
      <c r="T56" s="59">
        <v>580</v>
      </c>
      <c r="U56" s="58">
        <v>0.2</v>
      </c>
      <c r="V56" s="59" t="s">
        <v>68</v>
      </c>
      <c r="W56" s="58" t="s">
        <v>68</v>
      </c>
      <c r="X56" s="59">
        <v>7800</v>
      </c>
      <c r="Y56" s="58">
        <v>2.5</v>
      </c>
      <c r="Z56" s="63">
        <v>315570</v>
      </c>
    </row>
    <row r="57" spans="1:27" s="34" customFormat="1">
      <c r="A57" s="19">
        <v>2020</v>
      </c>
      <c r="B57" s="59">
        <v>226720</v>
      </c>
      <c r="C57" s="58">
        <v>91.9</v>
      </c>
      <c r="D57" s="59">
        <v>86100</v>
      </c>
      <c r="E57" s="58">
        <v>34.9</v>
      </c>
      <c r="F57" s="59">
        <v>109990</v>
      </c>
      <c r="G57" s="58">
        <v>44.6</v>
      </c>
      <c r="H57" s="59">
        <v>30630</v>
      </c>
      <c r="I57" s="58">
        <v>12.4</v>
      </c>
      <c r="J57" s="59">
        <v>11520</v>
      </c>
      <c r="K57" s="58">
        <v>4.7</v>
      </c>
      <c r="L57" s="59">
        <v>10140</v>
      </c>
      <c r="M57" s="58">
        <v>4.0999999999999996</v>
      </c>
      <c r="N57" s="59">
        <v>520</v>
      </c>
      <c r="O57" s="58">
        <v>0.2</v>
      </c>
      <c r="P57" s="59">
        <v>850</v>
      </c>
      <c r="Q57" s="58">
        <v>0.3</v>
      </c>
      <c r="R57" s="59">
        <v>540</v>
      </c>
      <c r="S57" s="58">
        <v>0.2</v>
      </c>
      <c r="T57" s="59">
        <v>580</v>
      </c>
      <c r="U57" s="58">
        <v>0.2</v>
      </c>
      <c r="V57" s="59" t="s">
        <v>68</v>
      </c>
      <c r="W57" s="58" t="s">
        <v>68</v>
      </c>
      <c r="X57" s="59">
        <v>7260</v>
      </c>
      <c r="Y57" s="58">
        <v>2.9</v>
      </c>
      <c r="Z57" s="63">
        <v>246620</v>
      </c>
    </row>
    <row r="58" spans="1:27" s="34" customFormat="1">
      <c r="A58" s="19">
        <v>2021</v>
      </c>
      <c r="B58" s="59">
        <v>233210</v>
      </c>
      <c r="C58" s="58">
        <v>92.2</v>
      </c>
      <c r="D58" s="59">
        <v>87970</v>
      </c>
      <c r="E58" s="58">
        <v>34.799999999999997</v>
      </c>
      <c r="F58" s="59">
        <v>111240</v>
      </c>
      <c r="G58" s="58">
        <v>44</v>
      </c>
      <c r="H58" s="59">
        <v>34000</v>
      </c>
      <c r="I58" s="58">
        <v>13.4</v>
      </c>
      <c r="J58" s="59">
        <v>12460</v>
      </c>
      <c r="K58" s="58">
        <v>4.9000000000000004</v>
      </c>
      <c r="L58" s="59">
        <v>10680</v>
      </c>
      <c r="M58" s="58">
        <v>4.2</v>
      </c>
      <c r="N58" s="59">
        <v>930</v>
      </c>
      <c r="O58" s="58">
        <v>0.4</v>
      </c>
      <c r="P58" s="59">
        <v>850</v>
      </c>
      <c r="Q58" s="58">
        <v>0.3</v>
      </c>
      <c r="R58" s="59">
        <v>120</v>
      </c>
      <c r="S58" s="58">
        <v>0</v>
      </c>
      <c r="T58" s="59">
        <v>620</v>
      </c>
      <c r="U58" s="58">
        <v>0.2</v>
      </c>
      <c r="V58" s="59" t="s">
        <v>68</v>
      </c>
      <c r="W58" s="58" t="s">
        <v>68</v>
      </c>
      <c r="X58" s="59">
        <v>6590</v>
      </c>
      <c r="Y58" s="58">
        <v>2.6</v>
      </c>
      <c r="Z58" s="63">
        <v>253000</v>
      </c>
    </row>
    <row r="59" spans="1:27" s="34" customFormat="1">
      <c r="A59" s="19">
        <v>2022</v>
      </c>
      <c r="B59" s="59">
        <v>256310</v>
      </c>
      <c r="C59" s="58">
        <v>92.4</v>
      </c>
      <c r="D59" s="59">
        <v>85410</v>
      </c>
      <c r="E59" s="58">
        <v>30.8</v>
      </c>
      <c r="F59" s="59">
        <v>111030</v>
      </c>
      <c r="G59" s="58">
        <v>40</v>
      </c>
      <c r="H59" s="59">
        <v>59880</v>
      </c>
      <c r="I59" s="58">
        <v>21.6</v>
      </c>
      <c r="J59" s="59">
        <v>13330</v>
      </c>
      <c r="K59" s="58">
        <v>4.8</v>
      </c>
      <c r="L59" s="59">
        <v>10910</v>
      </c>
      <c r="M59" s="58">
        <v>3.9</v>
      </c>
      <c r="N59" s="59">
        <v>1580</v>
      </c>
      <c r="O59" s="58">
        <v>0.6</v>
      </c>
      <c r="P59" s="59">
        <v>850</v>
      </c>
      <c r="Q59" s="58">
        <v>0.3</v>
      </c>
      <c r="R59" s="59">
        <v>400</v>
      </c>
      <c r="S59" s="58">
        <v>0.1</v>
      </c>
      <c r="T59" s="59">
        <v>600</v>
      </c>
      <c r="U59" s="58">
        <v>0.2</v>
      </c>
      <c r="V59" s="59" t="s">
        <v>68</v>
      </c>
      <c r="W59" s="58" t="s">
        <v>68</v>
      </c>
      <c r="X59" s="59">
        <v>6730</v>
      </c>
      <c r="Y59" s="58">
        <v>2.4</v>
      </c>
      <c r="Z59" s="63">
        <v>277370</v>
      </c>
    </row>
    <row r="60" spans="1:27" s="34" customFormat="1">
      <c r="A60" s="19">
        <v>2023</v>
      </c>
      <c r="B60" s="59">
        <v>268250</v>
      </c>
      <c r="C60" s="58">
        <v>92.4</v>
      </c>
      <c r="D60" s="59">
        <v>88310</v>
      </c>
      <c r="E60" s="58">
        <v>30.4</v>
      </c>
      <c r="F60" s="59">
        <v>108700</v>
      </c>
      <c r="G60" s="58">
        <v>37.5</v>
      </c>
      <c r="H60" s="59">
        <v>71240</v>
      </c>
      <c r="I60" s="58">
        <v>24.5</v>
      </c>
      <c r="J60" s="59">
        <v>13970</v>
      </c>
      <c r="K60" s="58">
        <v>4.8</v>
      </c>
      <c r="L60" s="59">
        <v>10880</v>
      </c>
      <c r="M60" s="58">
        <v>3.7</v>
      </c>
      <c r="N60" s="59">
        <v>2250</v>
      </c>
      <c r="O60" s="58">
        <v>0.8</v>
      </c>
      <c r="P60" s="59">
        <v>840</v>
      </c>
      <c r="Q60" s="58">
        <v>0.3</v>
      </c>
      <c r="R60" s="59">
        <v>170</v>
      </c>
      <c r="S60" s="58">
        <v>0.1</v>
      </c>
      <c r="T60" s="59">
        <v>510</v>
      </c>
      <c r="U60" s="58">
        <v>0.2</v>
      </c>
      <c r="V60" s="59" t="s">
        <v>68</v>
      </c>
      <c r="W60" s="58" t="s">
        <v>68</v>
      </c>
      <c r="X60" s="59">
        <v>7350</v>
      </c>
      <c r="Y60" s="58">
        <v>2.5</v>
      </c>
      <c r="Z60" s="63">
        <v>290250</v>
      </c>
    </row>
    <row r="61" spans="1:27" s="34" customFormat="1" ht="13">
      <c r="A61" s="48">
        <v>2024</v>
      </c>
      <c r="B61" s="69">
        <v>270610</v>
      </c>
      <c r="C61" s="70">
        <v>91.6</v>
      </c>
      <c r="D61" s="69">
        <v>87330</v>
      </c>
      <c r="E61" s="70">
        <v>29.6</v>
      </c>
      <c r="F61" s="69">
        <v>105570</v>
      </c>
      <c r="G61" s="70">
        <v>35.700000000000003</v>
      </c>
      <c r="H61" s="69">
        <v>77720</v>
      </c>
      <c r="I61" s="70">
        <v>26.3</v>
      </c>
      <c r="J61" s="69">
        <v>15070</v>
      </c>
      <c r="K61" s="70">
        <v>5.0999999999999996</v>
      </c>
      <c r="L61" s="69">
        <v>11080</v>
      </c>
      <c r="M61" s="70">
        <v>3.8</v>
      </c>
      <c r="N61" s="69">
        <v>3160</v>
      </c>
      <c r="O61" s="70">
        <v>1.1000000000000001</v>
      </c>
      <c r="P61" s="69">
        <v>840</v>
      </c>
      <c r="Q61" s="70">
        <v>0.3</v>
      </c>
      <c r="R61" s="69">
        <v>10</v>
      </c>
      <c r="S61" s="70">
        <v>0</v>
      </c>
      <c r="T61" s="69">
        <v>470</v>
      </c>
      <c r="U61" s="70">
        <v>0.2</v>
      </c>
      <c r="V61" s="69" t="s">
        <v>68</v>
      </c>
      <c r="W61" s="70" t="s">
        <v>68</v>
      </c>
      <c r="X61" s="69">
        <v>9200</v>
      </c>
      <c r="Y61" s="70">
        <v>3.1</v>
      </c>
      <c r="Z61" s="71">
        <v>295360</v>
      </c>
    </row>
    <row r="62" spans="1:27" s="34" customFormat="1" ht="13">
      <c r="A62" s="31"/>
      <c r="B62" s="32"/>
      <c r="C62" s="76"/>
      <c r="D62" s="32"/>
      <c r="E62" s="76"/>
      <c r="F62" s="32"/>
      <c r="G62" s="76"/>
      <c r="H62" s="32"/>
      <c r="I62" s="76"/>
      <c r="J62" s="32"/>
      <c r="K62" s="76"/>
      <c r="L62" s="32"/>
      <c r="M62" s="76"/>
      <c r="N62" s="32"/>
      <c r="O62" s="76"/>
      <c r="P62" s="32"/>
      <c r="Q62" s="76"/>
      <c r="R62" s="32"/>
      <c r="S62" s="76"/>
      <c r="T62" s="32"/>
      <c r="U62" s="76"/>
      <c r="V62" s="32"/>
      <c r="W62" s="76"/>
      <c r="X62" s="32"/>
      <c r="Y62" s="76"/>
      <c r="Z62" s="32"/>
    </row>
    <row r="63" spans="1:27" s="34" customFormat="1">
      <c r="A63" s="304" t="s">
        <v>314</v>
      </c>
      <c r="B63" s="304"/>
      <c r="C63" s="304"/>
      <c r="D63" s="304"/>
      <c r="E63" s="304"/>
      <c r="F63" s="304"/>
      <c r="G63" s="304"/>
      <c r="H63" s="304"/>
      <c r="I63" s="304"/>
      <c r="J63" s="112"/>
      <c r="K63" s="4"/>
      <c r="L63" s="4"/>
      <c r="M63" s="77" t="s">
        <v>315</v>
      </c>
      <c r="N63" s="4"/>
      <c r="O63" s="4"/>
      <c r="P63" s="4"/>
      <c r="Q63" s="4"/>
      <c r="S63" s="77"/>
      <c r="T63" s="77"/>
      <c r="U63" s="77"/>
      <c r="V63" s="77"/>
      <c r="W63" s="77"/>
      <c r="X63" s="77"/>
      <c r="Y63" s="77"/>
      <c r="Z63" s="77"/>
    </row>
    <row r="64" spans="1:27" s="34" customFormat="1">
      <c r="A64" s="77" t="s">
        <v>316</v>
      </c>
      <c r="B64" s="113"/>
      <c r="C64" s="113"/>
      <c r="D64" s="113"/>
      <c r="E64" s="113"/>
      <c r="F64" s="113"/>
      <c r="G64" s="113"/>
      <c r="H64" s="113"/>
      <c r="I64" s="113"/>
      <c r="J64" s="112"/>
      <c r="K64" s="4"/>
      <c r="L64" s="4"/>
      <c r="M64" s="77" t="s">
        <v>317</v>
      </c>
      <c r="N64" s="4"/>
      <c r="O64" s="4"/>
      <c r="P64" s="4"/>
      <c r="Q64" s="4"/>
      <c r="S64" s="77"/>
      <c r="T64" s="77"/>
      <c r="U64" s="77"/>
      <c r="V64" s="77"/>
      <c r="W64" s="77"/>
      <c r="X64" s="77"/>
      <c r="Y64" s="77"/>
      <c r="Z64" s="77"/>
    </row>
    <row r="65" spans="1:26" s="34" customFormat="1">
      <c r="A65" s="77" t="s">
        <v>318</v>
      </c>
      <c r="B65" s="78"/>
      <c r="C65" s="78"/>
      <c r="D65" s="78"/>
      <c r="E65" s="78"/>
      <c r="F65" s="78"/>
      <c r="G65" s="78"/>
      <c r="H65" s="78"/>
      <c r="I65" s="78"/>
      <c r="J65" s="78"/>
      <c r="K65" s="4"/>
      <c r="L65" s="4"/>
      <c r="M65" s="77" t="s">
        <v>319</v>
      </c>
      <c r="N65" s="4"/>
      <c r="O65" s="4"/>
      <c r="P65" s="4"/>
      <c r="Q65" s="4"/>
      <c r="S65" s="4"/>
      <c r="T65" s="4"/>
      <c r="U65" s="4"/>
      <c r="V65" s="4"/>
      <c r="W65" s="77"/>
      <c r="X65" s="4"/>
      <c r="Y65" s="4"/>
      <c r="Z65" s="4"/>
    </row>
    <row r="66" spans="1:26" s="34" customFormat="1">
      <c r="A66" s="77" t="s">
        <v>320</v>
      </c>
      <c r="B66" s="78"/>
      <c r="C66" s="78"/>
      <c r="D66" s="78"/>
      <c r="E66" s="78"/>
      <c r="F66" s="78"/>
      <c r="G66" s="78"/>
      <c r="H66" s="78"/>
      <c r="I66" s="78"/>
      <c r="J66" s="78"/>
      <c r="K66" s="4"/>
      <c r="L66" s="4"/>
      <c r="M66" s="77" t="s">
        <v>321</v>
      </c>
      <c r="N66" s="4"/>
      <c r="O66" s="4"/>
      <c r="P66" s="4"/>
      <c r="Q66" s="4"/>
      <c r="S66" s="4"/>
      <c r="T66" s="4"/>
      <c r="U66" s="4"/>
      <c r="V66" s="4"/>
      <c r="W66" s="77"/>
      <c r="X66" s="4"/>
      <c r="Y66" s="4"/>
      <c r="Z66" s="4"/>
    </row>
    <row r="67" spans="1:26" s="34" customFormat="1" ht="12.75" customHeight="1">
      <c r="A67" s="77" t="s">
        <v>219</v>
      </c>
      <c r="B67" s="78"/>
      <c r="C67" s="78"/>
      <c r="D67" s="78"/>
      <c r="E67" s="78"/>
      <c r="F67" s="78"/>
      <c r="G67" s="78"/>
      <c r="H67" s="78"/>
      <c r="I67" s="78"/>
      <c r="J67" s="78"/>
      <c r="K67" s="4"/>
      <c r="L67" s="4"/>
      <c r="M67" s="77" t="s">
        <v>220</v>
      </c>
      <c r="N67" s="4"/>
      <c r="O67" s="4"/>
      <c r="P67" s="4"/>
      <c r="Q67" s="4"/>
      <c r="S67" s="4"/>
      <c r="T67" s="4"/>
      <c r="U67" s="4"/>
      <c r="V67" s="4"/>
      <c r="W67" s="77"/>
      <c r="X67" s="4"/>
      <c r="Y67" s="4"/>
    </row>
    <row r="68" spans="1:26" s="34" customFormat="1">
      <c r="A68" s="77" t="s">
        <v>322</v>
      </c>
      <c r="B68" s="78"/>
      <c r="C68" s="78"/>
      <c r="D68" s="78"/>
      <c r="E68" s="78"/>
      <c r="F68" s="78"/>
      <c r="G68" s="78"/>
      <c r="H68" s="78"/>
      <c r="I68" s="78"/>
      <c r="J68" s="78"/>
      <c r="K68" s="4"/>
      <c r="L68" s="4"/>
      <c r="M68" s="77" t="s">
        <v>323</v>
      </c>
      <c r="N68" s="4"/>
      <c r="O68" s="4"/>
      <c r="P68" s="4"/>
      <c r="Q68" s="4"/>
      <c r="S68" s="4"/>
      <c r="T68" s="4"/>
      <c r="U68" s="4"/>
      <c r="V68" s="4"/>
      <c r="W68" s="77"/>
      <c r="X68" s="4"/>
      <c r="Y68" s="4"/>
      <c r="Z68" s="4"/>
    </row>
    <row r="70" spans="1:26">
      <c r="C70" s="53"/>
    </row>
    <row r="71" spans="1:26">
      <c r="A71" s="35" t="s">
        <v>75</v>
      </c>
      <c r="U71" s="4"/>
    </row>
    <row r="72" spans="1:26">
      <c r="A72" s="35" t="s">
        <v>76</v>
      </c>
      <c r="U72" s="4"/>
    </row>
    <row r="73" spans="1:26">
      <c r="A73" s="35" t="s">
        <v>77</v>
      </c>
      <c r="U73" s="4"/>
    </row>
  </sheetData>
  <mergeCells count="32">
    <mergeCell ref="A7:A8"/>
    <mergeCell ref="B7:I7"/>
    <mergeCell ref="J7:Q7"/>
    <mergeCell ref="R7:S8"/>
    <mergeCell ref="T7:U8"/>
    <mergeCell ref="X7:Y8"/>
    <mergeCell ref="Z7:Z10"/>
    <mergeCell ref="B8:C8"/>
    <mergeCell ref="D8:E8"/>
    <mergeCell ref="F8:G8"/>
    <mergeCell ref="H8:I8"/>
    <mergeCell ref="J8:K8"/>
    <mergeCell ref="L8:M8"/>
    <mergeCell ref="N8:O8"/>
    <mergeCell ref="P8:Q8"/>
    <mergeCell ref="V7:W8"/>
    <mergeCell ref="A63:I63"/>
    <mergeCell ref="X9:Y10"/>
    <mergeCell ref="B10:C10"/>
    <mergeCell ref="D10:E10"/>
    <mergeCell ref="F10:G10"/>
    <mergeCell ref="H10:I10"/>
    <mergeCell ref="J10:K10"/>
    <mergeCell ref="L10:M10"/>
    <mergeCell ref="N10:O10"/>
    <mergeCell ref="P10:Q10"/>
    <mergeCell ref="A9:A11"/>
    <mergeCell ref="B9:I9"/>
    <mergeCell ref="J9:Q9"/>
    <mergeCell ref="R9:S10"/>
    <mergeCell ref="T9:U10"/>
    <mergeCell ref="V9:W10"/>
  </mergeCells>
  <conditionalFormatting sqref="B12:K46 R12:Z46">
    <cfRule type="expression" dxfId="36" priority="2">
      <formula>AH12&lt;&gt;0</formula>
    </cfRule>
  </conditionalFormatting>
  <conditionalFormatting sqref="B47:Z62">
    <cfRule type="expression" dxfId="35" priority="1">
      <formula>#REF!&lt;&gt;0</formula>
    </cfRule>
  </conditionalFormatting>
  <conditionalFormatting sqref="L12:Q46">
    <cfRule type="expression" dxfId="34" priority="3">
      <formula>AX12&lt;&gt;0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65CA9-FE8D-464A-9C64-34CD0B02FF7F}">
  <sheetPr codeName="Tabelle16">
    <tabColor rgb="FFFF0000"/>
  </sheetPr>
  <dimension ref="A1:H64"/>
  <sheetViews>
    <sheetView workbookViewId="0"/>
  </sheetViews>
  <sheetFormatPr defaultColWidth="11.54296875" defaultRowHeight="12.5"/>
  <cols>
    <col min="1" max="1" width="8.7265625" style="4" customWidth="1"/>
    <col min="2" max="6" width="14.7265625" style="4" customWidth="1"/>
    <col min="7" max="7" width="4.7265625" style="4" customWidth="1"/>
    <col min="8" max="8" width="16.7265625" style="4" customWidth="1"/>
    <col min="9" max="16384" width="11.54296875" style="4"/>
  </cols>
  <sheetData>
    <row r="1" spans="1:8" ht="13">
      <c r="A1" s="3" t="s">
        <v>170</v>
      </c>
      <c r="H1" s="5" t="s">
        <v>171</v>
      </c>
    </row>
    <row r="2" spans="1:8" ht="13">
      <c r="A2" s="3" t="s">
        <v>172</v>
      </c>
      <c r="H2" s="5" t="s">
        <v>173</v>
      </c>
    </row>
    <row r="4" spans="1:8" ht="22">
      <c r="A4" s="6" t="s">
        <v>55</v>
      </c>
      <c r="B4" s="87" t="s">
        <v>174</v>
      </c>
      <c r="C4" s="7" t="s">
        <v>175</v>
      </c>
      <c r="D4" s="7" t="s">
        <v>176</v>
      </c>
      <c r="E4" s="7" t="s">
        <v>177</v>
      </c>
      <c r="F4" s="6" t="s">
        <v>61</v>
      </c>
      <c r="H4" s="6" t="s">
        <v>178</v>
      </c>
    </row>
    <row r="5" spans="1:8" ht="22">
      <c r="A5" s="10" t="s">
        <v>62</v>
      </c>
      <c r="B5" s="89" t="s">
        <v>179</v>
      </c>
      <c r="C5" s="11" t="s">
        <v>180</v>
      </c>
      <c r="D5" s="11" t="s">
        <v>181</v>
      </c>
      <c r="E5" s="11" t="s">
        <v>182</v>
      </c>
      <c r="F5" s="10" t="s">
        <v>61</v>
      </c>
      <c r="H5" s="10" t="s">
        <v>183</v>
      </c>
    </row>
    <row r="6" spans="1:8">
      <c r="A6" s="19">
        <v>1975</v>
      </c>
      <c r="B6" s="15">
        <v>11640</v>
      </c>
      <c r="C6" s="83">
        <v>3610</v>
      </c>
      <c r="D6" s="83">
        <v>15720</v>
      </c>
      <c r="E6" s="84" t="s">
        <v>68</v>
      </c>
      <c r="F6" s="63">
        <v>30970</v>
      </c>
      <c r="H6" s="63">
        <v>27860</v>
      </c>
    </row>
    <row r="7" spans="1:8">
      <c r="A7" s="19">
        <v>1976</v>
      </c>
      <c r="B7" s="59">
        <v>10140</v>
      </c>
      <c r="C7" s="83">
        <v>2690</v>
      </c>
      <c r="D7" s="83">
        <v>15920</v>
      </c>
      <c r="E7" s="84" t="s">
        <v>68</v>
      </c>
      <c r="F7" s="63">
        <v>28750</v>
      </c>
      <c r="H7" s="63">
        <v>37460</v>
      </c>
    </row>
    <row r="8" spans="1:8">
      <c r="A8" s="19">
        <v>1977</v>
      </c>
      <c r="B8" s="59">
        <v>9890</v>
      </c>
      <c r="C8" s="83">
        <v>1820</v>
      </c>
      <c r="D8" s="83">
        <v>15950</v>
      </c>
      <c r="E8" s="84" t="s">
        <v>68</v>
      </c>
      <c r="F8" s="63">
        <v>27660</v>
      </c>
      <c r="H8" s="63">
        <v>24520</v>
      </c>
    </row>
    <row r="9" spans="1:8">
      <c r="A9" s="19">
        <v>1978</v>
      </c>
      <c r="B9" s="59">
        <v>9200</v>
      </c>
      <c r="C9" s="83">
        <v>2480</v>
      </c>
      <c r="D9" s="83">
        <v>16170</v>
      </c>
      <c r="E9" s="84">
        <v>870</v>
      </c>
      <c r="F9" s="63">
        <v>28720</v>
      </c>
      <c r="H9" s="63">
        <v>5310</v>
      </c>
    </row>
    <row r="10" spans="1:8">
      <c r="A10" s="19">
        <v>1979</v>
      </c>
      <c r="B10" s="59">
        <v>8000</v>
      </c>
      <c r="C10" s="83">
        <v>2260</v>
      </c>
      <c r="D10" s="83">
        <v>17050</v>
      </c>
      <c r="E10" s="84">
        <v>910</v>
      </c>
      <c r="F10" s="63">
        <v>28220</v>
      </c>
      <c r="H10" s="63">
        <v>7380</v>
      </c>
    </row>
    <row r="11" spans="1:8">
      <c r="A11" s="19">
        <v>1980</v>
      </c>
      <c r="B11" s="59">
        <v>8330</v>
      </c>
      <c r="C11" s="83">
        <v>2270</v>
      </c>
      <c r="D11" s="83">
        <v>17020</v>
      </c>
      <c r="E11" s="84">
        <v>1000</v>
      </c>
      <c r="F11" s="63">
        <v>28620</v>
      </c>
      <c r="H11" s="63">
        <v>6320</v>
      </c>
    </row>
    <row r="12" spans="1:8">
      <c r="A12" s="19">
        <v>1981</v>
      </c>
      <c r="B12" s="59">
        <v>7790</v>
      </c>
      <c r="C12" s="83">
        <v>2170</v>
      </c>
      <c r="D12" s="83">
        <v>16590</v>
      </c>
      <c r="E12" s="84">
        <v>1000</v>
      </c>
      <c r="F12" s="63">
        <v>27550</v>
      </c>
      <c r="H12" s="63">
        <v>27760</v>
      </c>
    </row>
    <row r="13" spans="1:8">
      <c r="A13" s="19">
        <v>1982</v>
      </c>
      <c r="B13" s="59">
        <v>7410</v>
      </c>
      <c r="C13" s="83">
        <v>1920</v>
      </c>
      <c r="D13" s="83">
        <v>17030</v>
      </c>
      <c r="E13" s="84">
        <v>980</v>
      </c>
      <c r="F13" s="63">
        <v>27340</v>
      </c>
      <c r="H13" s="63">
        <v>20680</v>
      </c>
    </row>
    <row r="14" spans="1:8">
      <c r="A14" s="19">
        <v>1983</v>
      </c>
      <c r="B14" s="59">
        <v>7620</v>
      </c>
      <c r="C14" s="83">
        <v>1970</v>
      </c>
      <c r="D14" s="83">
        <v>16580</v>
      </c>
      <c r="E14" s="84">
        <v>1000</v>
      </c>
      <c r="F14" s="63">
        <v>27170</v>
      </c>
      <c r="H14" s="63">
        <v>18970</v>
      </c>
    </row>
    <row r="15" spans="1:8">
      <c r="A15" s="19">
        <v>1984</v>
      </c>
      <c r="B15" s="59">
        <v>7330</v>
      </c>
      <c r="C15" s="83">
        <v>1840</v>
      </c>
      <c r="D15" s="83">
        <v>17260</v>
      </c>
      <c r="E15" s="84">
        <v>1000</v>
      </c>
      <c r="F15" s="63">
        <v>27430</v>
      </c>
      <c r="H15" s="63">
        <v>16450</v>
      </c>
    </row>
    <row r="16" spans="1:8">
      <c r="A16" s="19">
        <v>1985</v>
      </c>
      <c r="B16" s="59">
        <v>7120</v>
      </c>
      <c r="C16" s="83">
        <v>1820</v>
      </c>
      <c r="D16" s="83">
        <v>17300</v>
      </c>
      <c r="E16" s="84">
        <v>1000</v>
      </c>
      <c r="F16" s="63">
        <v>27240</v>
      </c>
      <c r="H16" s="63">
        <v>22940</v>
      </c>
    </row>
    <row r="17" spans="1:8">
      <c r="A17" s="19">
        <v>1986</v>
      </c>
      <c r="B17" s="59">
        <v>7700</v>
      </c>
      <c r="C17" s="83">
        <v>1760</v>
      </c>
      <c r="D17" s="83">
        <v>17810</v>
      </c>
      <c r="E17" s="84">
        <v>1060</v>
      </c>
      <c r="F17" s="63">
        <v>28330</v>
      </c>
      <c r="H17" s="63">
        <v>22230</v>
      </c>
    </row>
    <row r="18" spans="1:8">
      <c r="A18" s="19">
        <v>1987</v>
      </c>
      <c r="B18" s="59">
        <v>7290</v>
      </c>
      <c r="C18" s="83">
        <v>1470</v>
      </c>
      <c r="D18" s="83">
        <v>18420</v>
      </c>
      <c r="E18" s="84">
        <v>1100</v>
      </c>
      <c r="F18" s="63">
        <v>28280</v>
      </c>
      <c r="H18" s="63">
        <v>23490</v>
      </c>
    </row>
    <row r="19" spans="1:8">
      <c r="A19" s="19">
        <v>1988</v>
      </c>
      <c r="B19" s="59">
        <v>6790</v>
      </c>
      <c r="C19" s="83">
        <v>1190</v>
      </c>
      <c r="D19" s="83">
        <v>18050</v>
      </c>
      <c r="E19" s="84">
        <v>1070</v>
      </c>
      <c r="F19" s="63">
        <v>27100</v>
      </c>
      <c r="H19" s="63">
        <v>23700</v>
      </c>
    </row>
    <row r="20" spans="1:8">
      <c r="A20" s="19">
        <v>1989</v>
      </c>
      <c r="B20" s="59">
        <v>5360</v>
      </c>
      <c r="C20" s="83">
        <v>1280</v>
      </c>
      <c r="D20" s="83">
        <v>18330</v>
      </c>
      <c r="E20" s="84">
        <v>1090</v>
      </c>
      <c r="F20" s="63">
        <v>26060</v>
      </c>
      <c r="H20" s="63">
        <v>24160</v>
      </c>
    </row>
    <row r="21" spans="1:8">
      <c r="A21" s="19">
        <v>1990</v>
      </c>
      <c r="B21" s="59">
        <v>5900</v>
      </c>
      <c r="C21" s="83">
        <v>170</v>
      </c>
      <c r="D21" s="83">
        <v>19400</v>
      </c>
      <c r="E21" s="84">
        <v>1050</v>
      </c>
      <c r="F21" s="63">
        <v>26520</v>
      </c>
      <c r="H21" s="63">
        <v>24030</v>
      </c>
    </row>
    <row r="22" spans="1:8">
      <c r="A22" s="19">
        <v>1991</v>
      </c>
      <c r="B22" s="59">
        <v>8660</v>
      </c>
      <c r="C22" s="83">
        <v>180</v>
      </c>
      <c r="D22" s="83">
        <v>20510</v>
      </c>
      <c r="E22" s="84">
        <v>1170</v>
      </c>
      <c r="F22" s="63">
        <v>30520</v>
      </c>
      <c r="H22" s="63">
        <v>23780</v>
      </c>
    </row>
    <row r="23" spans="1:8">
      <c r="A23" s="19">
        <v>1992</v>
      </c>
      <c r="B23" s="59">
        <v>8120</v>
      </c>
      <c r="C23" s="83">
        <v>170</v>
      </c>
      <c r="D23" s="83">
        <v>18690</v>
      </c>
      <c r="E23" s="84">
        <v>1100</v>
      </c>
      <c r="F23" s="63">
        <v>28080</v>
      </c>
      <c r="H23" s="63">
        <v>22780</v>
      </c>
    </row>
    <row r="24" spans="1:8">
      <c r="A24" s="19">
        <v>1993</v>
      </c>
      <c r="B24" s="59">
        <v>9320</v>
      </c>
      <c r="C24" s="83">
        <v>180</v>
      </c>
      <c r="D24" s="83">
        <v>17550</v>
      </c>
      <c r="E24" s="84">
        <v>1070</v>
      </c>
      <c r="F24" s="63">
        <v>28120</v>
      </c>
      <c r="H24" s="63">
        <v>19890</v>
      </c>
    </row>
    <row r="25" spans="1:8">
      <c r="A25" s="19">
        <v>1994</v>
      </c>
      <c r="B25" s="59">
        <v>10710</v>
      </c>
      <c r="C25" s="83">
        <v>190</v>
      </c>
      <c r="D25" s="83">
        <v>17710</v>
      </c>
      <c r="E25" s="84">
        <v>1160</v>
      </c>
      <c r="F25" s="63">
        <v>29770</v>
      </c>
      <c r="H25" s="63">
        <v>21310</v>
      </c>
    </row>
    <row r="26" spans="1:8">
      <c r="A26" s="19">
        <v>1995</v>
      </c>
      <c r="B26" s="59">
        <v>10310</v>
      </c>
      <c r="C26" s="83">
        <v>190</v>
      </c>
      <c r="D26" s="83">
        <v>18730</v>
      </c>
      <c r="E26" s="84">
        <v>1190</v>
      </c>
      <c r="F26" s="63">
        <v>30420</v>
      </c>
      <c r="H26" s="63">
        <v>21350</v>
      </c>
    </row>
    <row r="27" spans="1:8">
      <c r="A27" s="19">
        <v>1996</v>
      </c>
      <c r="B27" s="59">
        <v>11070</v>
      </c>
      <c r="C27" s="83">
        <v>200</v>
      </c>
      <c r="D27" s="83">
        <v>19740</v>
      </c>
      <c r="E27" s="84">
        <v>1540</v>
      </c>
      <c r="F27" s="63">
        <v>32550</v>
      </c>
      <c r="H27" s="63">
        <v>20850</v>
      </c>
    </row>
    <row r="28" spans="1:8">
      <c r="A28" s="19">
        <v>1997</v>
      </c>
      <c r="B28" s="59">
        <v>10750</v>
      </c>
      <c r="C28" s="83">
        <v>190</v>
      </c>
      <c r="D28" s="83">
        <v>18850</v>
      </c>
      <c r="E28" s="84">
        <v>1200</v>
      </c>
      <c r="F28" s="63">
        <v>30990</v>
      </c>
      <c r="H28" s="63">
        <v>21310</v>
      </c>
    </row>
    <row r="29" spans="1:8">
      <c r="A29" s="19">
        <v>1998</v>
      </c>
      <c r="B29" s="59">
        <v>11120</v>
      </c>
      <c r="C29" s="83">
        <v>200</v>
      </c>
      <c r="D29" s="83">
        <v>19350</v>
      </c>
      <c r="E29" s="84">
        <v>1230</v>
      </c>
      <c r="F29" s="63">
        <v>31900</v>
      </c>
      <c r="H29" s="63">
        <v>20890</v>
      </c>
    </row>
    <row r="30" spans="1:8">
      <c r="A30" s="19">
        <v>1999</v>
      </c>
      <c r="B30" s="59">
        <v>11410</v>
      </c>
      <c r="C30" s="83">
        <v>200</v>
      </c>
      <c r="D30" s="83">
        <v>18900</v>
      </c>
      <c r="E30" s="84">
        <v>1370</v>
      </c>
      <c r="F30" s="63">
        <v>31880</v>
      </c>
      <c r="H30" s="63">
        <v>21730</v>
      </c>
    </row>
    <row r="31" spans="1:8">
      <c r="A31" s="19">
        <v>2000</v>
      </c>
      <c r="B31" s="59">
        <v>10110</v>
      </c>
      <c r="C31" s="83">
        <v>190</v>
      </c>
      <c r="D31" s="83">
        <v>21260</v>
      </c>
      <c r="E31" s="84">
        <v>1110</v>
      </c>
      <c r="F31" s="63">
        <v>32670</v>
      </c>
      <c r="H31" s="63">
        <v>22350</v>
      </c>
    </row>
    <row r="32" spans="1:8">
      <c r="A32" s="19">
        <v>2001</v>
      </c>
      <c r="B32" s="59">
        <v>10950</v>
      </c>
      <c r="C32" s="83">
        <v>200</v>
      </c>
      <c r="D32" s="83">
        <v>21540</v>
      </c>
      <c r="E32" s="84">
        <v>1450</v>
      </c>
      <c r="F32" s="63">
        <v>34140</v>
      </c>
      <c r="H32" s="63">
        <v>22230</v>
      </c>
    </row>
    <row r="33" spans="1:8">
      <c r="A33" s="19">
        <v>2002</v>
      </c>
      <c r="B33" s="59">
        <v>11510</v>
      </c>
      <c r="C33" s="83">
        <v>190</v>
      </c>
      <c r="D33" s="83">
        <v>23310</v>
      </c>
      <c r="E33" s="84">
        <v>950</v>
      </c>
      <c r="F33" s="63">
        <v>35960</v>
      </c>
      <c r="H33" s="63">
        <v>21340</v>
      </c>
    </row>
    <row r="34" spans="1:8">
      <c r="A34" s="19">
        <v>2003</v>
      </c>
      <c r="B34" s="59">
        <v>10590</v>
      </c>
      <c r="C34" s="83">
        <v>180</v>
      </c>
      <c r="D34" s="83">
        <v>25310</v>
      </c>
      <c r="E34" s="84">
        <v>1390</v>
      </c>
      <c r="F34" s="63">
        <v>37470</v>
      </c>
      <c r="H34" s="63">
        <v>21580</v>
      </c>
    </row>
    <row r="35" spans="1:8">
      <c r="A35" s="19">
        <v>2004</v>
      </c>
      <c r="B35" s="59">
        <v>14330</v>
      </c>
      <c r="C35" s="83">
        <v>190</v>
      </c>
      <c r="D35" s="83">
        <v>23930</v>
      </c>
      <c r="E35" s="84">
        <v>1750</v>
      </c>
      <c r="F35" s="63">
        <v>40200</v>
      </c>
      <c r="H35" s="63">
        <v>23270</v>
      </c>
    </row>
    <row r="36" spans="1:8">
      <c r="A36" s="19">
        <v>2005</v>
      </c>
      <c r="B36" s="59">
        <v>14480</v>
      </c>
      <c r="C36" s="83">
        <v>180</v>
      </c>
      <c r="D36" s="83">
        <v>24970</v>
      </c>
      <c r="E36" s="84">
        <v>1430</v>
      </c>
      <c r="F36" s="63">
        <v>41060</v>
      </c>
      <c r="H36" s="63">
        <v>22790</v>
      </c>
    </row>
    <row r="37" spans="1:8">
      <c r="A37" s="19">
        <v>2006</v>
      </c>
      <c r="B37" s="59">
        <v>15870</v>
      </c>
      <c r="C37" s="83">
        <v>190</v>
      </c>
      <c r="D37" s="83">
        <v>25420</v>
      </c>
      <c r="E37" s="84">
        <v>1240</v>
      </c>
      <c r="F37" s="63">
        <v>42720</v>
      </c>
      <c r="H37" s="63">
        <v>23950</v>
      </c>
    </row>
    <row r="38" spans="1:8">
      <c r="A38" s="19">
        <v>2007</v>
      </c>
      <c r="B38" s="59">
        <v>13580</v>
      </c>
      <c r="C38" s="83">
        <v>180</v>
      </c>
      <c r="D38" s="83">
        <v>23110</v>
      </c>
      <c r="E38" s="84">
        <v>1670</v>
      </c>
      <c r="F38" s="63">
        <v>38540</v>
      </c>
      <c r="H38" s="63">
        <v>22590</v>
      </c>
    </row>
    <row r="39" spans="1:8">
      <c r="A39" s="19">
        <v>2008</v>
      </c>
      <c r="B39" s="59">
        <v>14920</v>
      </c>
      <c r="C39" s="83">
        <v>180</v>
      </c>
      <c r="D39" s="83">
        <v>25570</v>
      </c>
      <c r="E39" s="84">
        <v>1610</v>
      </c>
      <c r="F39" s="63">
        <v>42280</v>
      </c>
      <c r="H39" s="63">
        <v>22910</v>
      </c>
    </row>
    <row r="40" spans="1:8">
      <c r="A40" s="19">
        <v>2009</v>
      </c>
      <c r="B40" s="59">
        <v>14270</v>
      </c>
      <c r="C40" s="83">
        <v>180</v>
      </c>
      <c r="D40" s="83">
        <v>24630</v>
      </c>
      <c r="E40" s="84">
        <v>1670</v>
      </c>
      <c r="F40" s="63">
        <v>40750</v>
      </c>
      <c r="H40" s="63">
        <v>20300</v>
      </c>
    </row>
    <row r="41" spans="1:8">
      <c r="A41" s="19">
        <v>2010</v>
      </c>
      <c r="B41" s="59">
        <v>13940</v>
      </c>
      <c r="C41" s="83">
        <v>220</v>
      </c>
      <c r="D41" s="83">
        <v>25150</v>
      </c>
      <c r="E41" s="84">
        <v>1670</v>
      </c>
      <c r="F41" s="63">
        <v>40980</v>
      </c>
      <c r="H41" s="63">
        <v>22100</v>
      </c>
    </row>
    <row r="42" spans="1:8">
      <c r="A42" s="19">
        <v>2011</v>
      </c>
      <c r="B42" s="59">
        <v>13010</v>
      </c>
      <c r="C42" s="83">
        <v>190</v>
      </c>
      <c r="D42" s="83">
        <v>24730</v>
      </c>
      <c r="E42" s="84">
        <v>1490</v>
      </c>
      <c r="F42" s="63">
        <v>39420</v>
      </c>
      <c r="H42" s="63">
        <v>22950</v>
      </c>
    </row>
    <row r="43" spans="1:8">
      <c r="A43" s="19">
        <v>2012</v>
      </c>
      <c r="B43" s="59">
        <v>11140</v>
      </c>
      <c r="C43" s="83">
        <v>170</v>
      </c>
      <c r="D43" s="83">
        <v>24650</v>
      </c>
      <c r="E43" s="84">
        <v>1490</v>
      </c>
      <c r="F43" s="63">
        <v>37450</v>
      </c>
      <c r="H43" s="63">
        <v>20050</v>
      </c>
    </row>
    <row r="44" spans="1:8">
      <c r="A44" s="19">
        <v>2013</v>
      </c>
      <c r="B44" s="59">
        <v>13780</v>
      </c>
      <c r="C44" s="83">
        <v>180</v>
      </c>
      <c r="D44" s="83">
        <v>23740</v>
      </c>
      <c r="E44" s="84">
        <v>1800</v>
      </c>
      <c r="F44" s="63">
        <v>39500</v>
      </c>
      <c r="H44" s="63">
        <v>20380</v>
      </c>
    </row>
    <row r="45" spans="1:8">
      <c r="A45" s="19">
        <v>2014</v>
      </c>
      <c r="B45" s="59">
        <v>14200</v>
      </c>
      <c r="C45" s="83">
        <v>160</v>
      </c>
      <c r="D45" s="83">
        <v>24030</v>
      </c>
      <c r="E45" s="84">
        <v>1550</v>
      </c>
      <c r="F45" s="63">
        <v>39940</v>
      </c>
      <c r="H45" s="63">
        <v>20780</v>
      </c>
    </row>
    <row r="46" spans="1:8">
      <c r="A46" s="19">
        <v>2015</v>
      </c>
      <c r="B46" s="59">
        <v>7040</v>
      </c>
      <c r="C46" s="83">
        <v>160</v>
      </c>
      <c r="D46" s="83">
        <v>24040</v>
      </c>
      <c r="E46" s="84">
        <v>1800</v>
      </c>
      <c r="F46" s="63">
        <v>33040</v>
      </c>
      <c r="H46" s="63">
        <v>20900</v>
      </c>
    </row>
    <row r="47" spans="1:8">
      <c r="A47" s="19">
        <v>2016</v>
      </c>
      <c r="B47" s="59">
        <v>6530</v>
      </c>
      <c r="C47" s="83">
        <v>170</v>
      </c>
      <c r="D47" s="83">
        <v>26290</v>
      </c>
      <c r="E47" s="84">
        <v>1820</v>
      </c>
      <c r="F47" s="63">
        <v>34810</v>
      </c>
      <c r="H47" s="63">
        <v>16760</v>
      </c>
    </row>
    <row r="48" spans="1:8">
      <c r="A48" s="19">
        <v>2017</v>
      </c>
      <c r="B48" s="59">
        <v>6100</v>
      </c>
      <c r="C48" s="83">
        <v>160</v>
      </c>
      <c r="D48" s="83">
        <v>30790</v>
      </c>
      <c r="E48" s="84">
        <v>1850</v>
      </c>
      <c r="F48" s="63">
        <v>38900</v>
      </c>
      <c r="H48" s="63">
        <v>20460</v>
      </c>
    </row>
    <row r="49" spans="1:8">
      <c r="A49" s="19">
        <v>2018</v>
      </c>
      <c r="B49" s="59">
        <v>6410</v>
      </c>
      <c r="C49" s="83">
        <v>150</v>
      </c>
      <c r="D49" s="83">
        <v>29960</v>
      </c>
      <c r="E49" s="84">
        <v>1930</v>
      </c>
      <c r="F49" s="63">
        <v>38450</v>
      </c>
      <c r="H49" s="63">
        <v>19450</v>
      </c>
    </row>
    <row r="50" spans="1:8">
      <c r="A50" s="19">
        <v>2019</v>
      </c>
      <c r="B50" s="59">
        <v>5830</v>
      </c>
      <c r="C50" s="83">
        <v>150</v>
      </c>
      <c r="D50" s="83">
        <v>30380</v>
      </c>
      <c r="E50" s="84">
        <v>2020</v>
      </c>
      <c r="F50" s="63">
        <v>38380</v>
      </c>
      <c r="H50" s="63">
        <v>19290</v>
      </c>
    </row>
    <row r="51" spans="1:8">
      <c r="A51" s="19">
        <v>2020</v>
      </c>
      <c r="B51" s="59">
        <v>5890</v>
      </c>
      <c r="C51" s="83">
        <v>160</v>
      </c>
      <c r="D51" s="83">
        <v>31230</v>
      </c>
      <c r="E51" s="84">
        <v>2210</v>
      </c>
      <c r="F51" s="63">
        <v>39490</v>
      </c>
      <c r="H51" s="63">
        <v>18610</v>
      </c>
    </row>
    <row r="52" spans="1:8">
      <c r="A52" s="19">
        <v>2021</v>
      </c>
      <c r="B52" s="59">
        <v>5040</v>
      </c>
      <c r="C52" s="83">
        <v>160</v>
      </c>
      <c r="D52" s="83">
        <v>30850</v>
      </c>
      <c r="E52" s="84">
        <v>2730</v>
      </c>
      <c r="F52" s="63">
        <v>38780</v>
      </c>
      <c r="H52" s="63">
        <v>18490</v>
      </c>
    </row>
    <row r="53" spans="1:8">
      <c r="A53" s="19">
        <v>2022</v>
      </c>
      <c r="B53" s="59">
        <v>6320</v>
      </c>
      <c r="C53" s="83">
        <v>140</v>
      </c>
      <c r="D53" s="83">
        <v>35740</v>
      </c>
      <c r="E53" s="84">
        <v>2350</v>
      </c>
      <c r="F53" s="63">
        <v>44550</v>
      </c>
      <c r="H53" s="63">
        <v>18890</v>
      </c>
    </row>
    <row r="54" spans="1:8">
      <c r="A54" s="19">
        <v>2023</v>
      </c>
      <c r="B54" s="59">
        <v>6030</v>
      </c>
      <c r="C54" s="83">
        <v>120</v>
      </c>
      <c r="D54" s="83">
        <v>34700</v>
      </c>
      <c r="E54" s="84">
        <v>2220</v>
      </c>
      <c r="F54" s="63">
        <v>43070</v>
      </c>
      <c r="H54" s="63">
        <v>17360</v>
      </c>
    </row>
    <row r="55" spans="1:8" ht="13">
      <c r="A55" s="48">
        <v>2024</v>
      </c>
      <c r="B55" s="69">
        <v>5490</v>
      </c>
      <c r="C55" s="50">
        <v>130</v>
      </c>
      <c r="D55" s="50">
        <v>32920</v>
      </c>
      <c r="E55" s="86">
        <v>2730</v>
      </c>
      <c r="F55" s="71">
        <v>41270</v>
      </c>
      <c r="G55" s="94"/>
      <c r="H55" s="71">
        <v>16920</v>
      </c>
    </row>
    <row r="56" spans="1:8" ht="13">
      <c r="A56" s="31"/>
      <c r="B56" s="32"/>
      <c r="C56" s="32"/>
      <c r="D56" s="32"/>
      <c r="E56" s="32"/>
      <c r="F56" s="32"/>
      <c r="G56" s="94"/>
      <c r="H56" s="32"/>
    </row>
    <row r="57" spans="1:8">
      <c r="A57" s="77" t="s">
        <v>184</v>
      </c>
      <c r="D57" s="77" t="s">
        <v>185</v>
      </c>
    </row>
    <row r="58" spans="1:8">
      <c r="A58" s="77" t="s">
        <v>186</v>
      </c>
      <c r="D58" s="77" t="s">
        <v>187</v>
      </c>
    </row>
    <row r="62" spans="1:8">
      <c r="A62" s="35" t="s">
        <v>75</v>
      </c>
    </row>
    <row r="63" spans="1:8">
      <c r="A63" s="35" t="s">
        <v>76</v>
      </c>
    </row>
    <row r="64" spans="1:8">
      <c r="A64" s="35" t="s">
        <v>77</v>
      </c>
    </row>
  </sheetData>
  <conditionalFormatting sqref="B6:F50 H6:H50">
    <cfRule type="expression" dxfId="33" priority="2">
      <formula>N6&lt;&gt;0</formula>
    </cfRule>
  </conditionalFormatting>
  <conditionalFormatting sqref="B51:F55 H51:H55">
    <cfRule type="expression" dxfId="32" priority="1">
      <formula>#REF!&lt;&gt;0</formula>
    </cfRule>
  </conditionalFormatting>
  <conditionalFormatting sqref="B56:F56 H56">
    <cfRule type="expression" dxfId="31" priority="3">
      <formula>N56&lt;&gt;0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57AAD-534B-46B9-BFFC-F7AA1CFA4253}">
  <sheetPr codeName="Tabelle8"/>
  <dimension ref="A1:H70"/>
  <sheetViews>
    <sheetView workbookViewId="0"/>
  </sheetViews>
  <sheetFormatPr defaultColWidth="11.54296875" defaultRowHeight="12.5"/>
  <cols>
    <col min="1" max="1" width="8.7265625" style="4" customWidth="1"/>
    <col min="2" max="7" width="14.7265625" style="4" customWidth="1"/>
    <col min="8" max="16384" width="11.54296875" style="4"/>
  </cols>
  <sheetData>
    <row r="1" spans="1:7" ht="13">
      <c r="A1" s="3" t="s">
        <v>51</v>
      </c>
      <c r="G1" s="5" t="s">
        <v>52</v>
      </c>
    </row>
    <row r="2" spans="1:7" ht="13">
      <c r="A2" s="3" t="s">
        <v>53</v>
      </c>
      <c r="G2" s="5" t="s">
        <v>54</v>
      </c>
    </row>
    <row r="4" spans="1:7" ht="22.5" customHeight="1">
      <c r="A4" s="6" t="s">
        <v>55</v>
      </c>
      <c r="B4" s="7" t="s">
        <v>56</v>
      </c>
      <c r="C4" s="8" t="s">
        <v>57</v>
      </c>
      <c r="D4" s="8" t="s">
        <v>58</v>
      </c>
      <c r="E4" s="8" t="s">
        <v>59</v>
      </c>
      <c r="F4" s="9" t="s">
        <v>60</v>
      </c>
      <c r="G4" s="6" t="s">
        <v>61</v>
      </c>
    </row>
    <row r="5" spans="1:7" ht="35.25" customHeight="1">
      <c r="A5" s="10" t="s">
        <v>62</v>
      </c>
      <c r="B5" s="11" t="s">
        <v>63</v>
      </c>
      <c r="C5" s="12" t="s">
        <v>64</v>
      </c>
      <c r="D5" s="12" t="s">
        <v>65</v>
      </c>
      <c r="E5" s="12" t="s">
        <v>66</v>
      </c>
      <c r="F5" s="13" t="s">
        <v>67</v>
      </c>
      <c r="G5" s="10" t="s">
        <v>61</v>
      </c>
    </row>
    <row r="6" spans="1:7">
      <c r="A6" s="14">
        <v>1970</v>
      </c>
      <c r="B6" s="15">
        <v>9990</v>
      </c>
      <c r="C6" s="16">
        <v>112580</v>
      </c>
      <c r="D6" s="16" t="s">
        <v>68</v>
      </c>
      <c r="E6" s="16" t="s">
        <v>68</v>
      </c>
      <c r="F6" s="17" t="s">
        <v>68</v>
      </c>
      <c r="G6" s="18">
        <v>122570</v>
      </c>
    </row>
    <row r="7" spans="1:7">
      <c r="A7" s="19">
        <v>1971</v>
      </c>
      <c r="B7" s="20">
        <v>9670</v>
      </c>
      <c r="C7" s="21">
        <v>99230</v>
      </c>
      <c r="D7" s="21" t="s">
        <v>68</v>
      </c>
      <c r="E7" s="21" t="s">
        <v>68</v>
      </c>
      <c r="F7" s="22" t="s">
        <v>68</v>
      </c>
      <c r="G7" s="23">
        <v>108900</v>
      </c>
    </row>
    <row r="8" spans="1:7">
      <c r="A8" s="19">
        <v>1972</v>
      </c>
      <c r="B8" s="20">
        <v>9230</v>
      </c>
      <c r="C8" s="21">
        <v>91000</v>
      </c>
      <c r="D8" s="21" t="s">
        <v>68</v>
      </c>
      <c r="E8" s="21" t="s">
        <v>68</v>
      </c>
      <c r="F8" s="22" t="s">
        <v>68</v>
      </c>
      <c r="G8" s="23">
        <v>100230</v>
      </c>
    </row>
    <row r="9" spans="1:7">
      <c r="A9" s="19">
        <v>1973</v>
      </c>
      <c r="B9" s="20">
        <v>9890</v>
      </c>
      <c r="C9" s="21">
        <v>103770</v>
      </c>
      <c r="D9" s="21" t="s">
        <v>68</v>
      </c>
      <c r="E9" s="21" t="s">
        <v>68</v>
      </c>
      <c r="F9" s="22" t="s">
        <v>68</v>
      </c>
      <c r="G9" s="23">
        <v>113660</v>
      </c>
    </row>
    <row r="10" spans="1:7">
      <c r="A10" s="19">
        <v>1974</v>
      </c>
      <c r="B10" s="20">
        <v>8350</v>
      </c>
      <c r="C10" s="21">
        <v>102830</v>
      </c>
      <c r="D10" s="21" t="s">
        <v>68</v>
      </c>
      <c r="E10" s="21" t="s">
        <v>68</v>
      </c>
      <c r="F10" s="22" t="s">
        <v>68</v>
      </c>
      <c r="G10" s="23">
        <v>111180</v>
      </c>
    </row>
    <row r="11" spans="1:7">
      <c r="A11" s="19">
        <v>1975</v>
      </c>
      <c r="B11" s="20">
        <v>8350</v>
      </c>
      <c r="C11" s="21">
        <v>122310</v>
      </c>
      <c r="D11" s="21" t="s">
        <v>68</v>
      </c>
      <c r="E11" s="21" t="s">
        <v>68</v>
      </c>
      <c r="F11" s="22" t="s">
        <v>68</v>
      </c>
      <c r="G11" s="23">
        <v>130660</v>
      </c>
    </row>
    <row r="12" spans="1:7">
      <c r="A12" s="19">
        <v>1976</v>
      </c>
      <c r="B12" s="20">
        <v>8350</v>
      </c>
      <c r="C12" s="21">
        <v>95840</v>
      </c>
      <c r="D12" s="21" t="s">
        <v>68</v>
      </c>
      <c r="E12" s="21" t="s">
        <v>68</v>
      </c>
      <c r="F12" s="22" t="s">
        <v>68</v>
      </c>
      <c r="G12" s="23">
        <v>104190</v>
      </c>
    </row>
    <row r="13" spans="1:7">
      <c r="A13" s="19">
        <v>1977</v>
      </c>
      <c r="B13" s="20">
        <v>7910</v>
      </c>
      <c r="C13" s="21">
        <v>130640</v>
      </c>
      <c r="D13" s="21" t="s">
        <v>68</v>
      </c>
      <c r="E13" s="21" t="s">
        <v>68</v>
      </c>
      <c r="F13" s="22" t="s">
        <v>68</v>
      </c>
      <c r="G13" s="23">
        <v>138550</v>
      </c>
    </row>
    <row r="14" spans="1:7">
      <c r="A14" s="19">
        <v>1978</v>
      </c>
      <c r="B14" s="20">
        <v>7910</v>
      </c>
      <c r="C14" s="21">
        <v>117040</v>
      </c>
      <c r="D14" s="21">
        <v>8400</v>
      </c>
      <c r="E14" s="21" t="s">
        <v>68</v>
      </c>
      <c r="F14" s="22" t="s">
        <v>68</v>
      </c>
      <c r="G14" s="23">
        <v>133350</v>
      </c>
    </row>
    <row r="15" spans="1:7">
      <c r="A15" s="19">
        <v>1979</v>
      </c>
      <c r="B15" s="20">
        <v>9010</v>
      </c>
      <c r="C15" s="21">
        <v>116440</v>
      </c>
      <c r="D15" s="21">
        <v>10060</v>
      </c>
      <c r="E15" s="21" t="s">
        <v>68</v>
      </c>
      <c r="F15" s="22" t="s">
        <v>68</v>
      </c>
      <c r="G15" s="23">
        <v>135510</v>
      </c>
    </row>
    <row r="16" spans="1:7">
      <c r="A16" s="19">
        <v>1980</v>
      </c>
      <c r="B16" s="20">
        <v>26060</v>
      </c>
      <c r="C16" s="21">
        <v>120750</v>
      </c>
      <c r="D16" s="21">
        <v>10100</v>
      </c>
      <c r="E16" s="21" t="s">
        <v>68</v>
      </c>
      <c r="F16" s="22" t="s">
        <v>68</v>
      </c>
      <c r="G16" s="23">
        <v>156910</v>
      </c>
    </row>
    <row r="17" spans="1:8">
      <c r="A17" s="19">
        <v>1981</v>
      </c>
      <c r="B17" s="20">
        <v>25260</v>
      </c>
      <c r="C17" s="21">
        <v>129950</v>
      </c>
      <c r="D17" s="21">
        <v>14040</v>
      </c>
      <c r="E17" s="21" t="s">
        <v>68</v>
      </c>
      <c r="F17" s="22" t="s">
        <v>68</v>
      </c>
      <c r="G17" s="23">
        <v>169250</v>
      </c>
    </row>
    <row r="18" spans="1:8">
      <c r="A18" s="19">
        <v>1982</v>
      </c>
      <c r="B18" s="20">
        <v>24650</v>
      </c>
      <c r="C18" s="21">
        <v>133330</v>
      </c>
      <c r="D18" s="21">
        <v>16200</v>
      </c>
      <c r="E18" s="21" t="s">
        <v>68</v>
      </c>
      <c r="F18" s="22" t="s">
        <v>68</v>
      </c>
      <c r="G18" s="23">
        <v>174180</v>
      </c>
    </row>
    <row r="19" spans="1:8">
      <c r="A19" s="19">
        <v>1983</v>
      </c>
      <c r="B19" s="20">
        <v>25090</v>
      </c>
      <c r="C19" s="21">
        <v>129610</v>
      </c>
      <c r="D19" s="21">
        <v>16040</v>
      </c>
      <c r="E19" s="21" t="s">
        <v>68</v>
      </c>
      <c r="F19" s="22" t="s">
        <v>68</v>
      </c>
      <c r="G19" s="23">
        <v>170740</v>
      </c>
    </row>
    <row r="20" spans="1:8">
      <c r="A20" s="19">
        <v>1984</v>
      </c>
      <c r="B20" s="20">
        <v>26300</v>
      </c>
      <c r="C20" s="21">
        <v>111140</v>
      </c>
      <c r="D20" s="21">
        <v>17920</v>
      </c>
      <c r="E20" s="21" t="s">
        <v>68</v>
      </c>
      <c r="F20" s="22" t="s">
        <v>68</v>
      </c>
      <c r="G20" s="23">
        <v>155360</v>
      </c>
    </row>
    <row r="21" spans="1:8">
      <c r="A21" s="19">
        <v>1985</v>
      </c>
      <c r="B21" s="20">
        <v>26680</v>
      </c>
      <c r="C21" s="21">
        <v>117640</v>
      </c>
      <c r="D21" s="21">
        <v>20390</v>
      </c>
      <c r="E21" s="21">
        <v>630</v>
      </c>
      <c r="F21" s="22" t="s">
        <v>68</v>
      </c>
      <c r="G21" s="23">
        <v>165340</v>
      </c>
    </row>
    <row r="22" spans="1:8">
      <c r="A22" s="19">
        <v>1986</v>
      </c>
      <c r="B22" s="20">
        <v>25630</v>
      </c>
      <c r="C22" s="21">
        <v>120920</v>
      </c>
      <c r="D22" s="21">
        <v>22570</v>
      </c>
      <c r="E22" s="21">
        <v>540</v>
      </c>
      <c r="F22" s="22" t="s">
        <v>68</v>
      </c>
      <c r="G22" s="23">
        <v>169660</v>
      </c>
    </row>
    <row r="23" spans="1:8">
      <c r="A23" s="19">
        <v>1987</v>
      </c>
      <c r="B23" s="20">
        <v>25880</v>
      </c>
      <c r="C23" s="21">
        <v>127480</v>
      </c>
      <c r="D23" s="21">
        <v>22680</v>
      </c>
      <c r="E23" s="21">
        <v>300</v>
      </c>
      <c r="F23" s="22" t="s">
        <v>68</v>
      </c>
      <c r="G23" s="23">
        <v>176340</v>
      </c>
    </row>
    <row r="24" spans="1:8">
      <c r="A24" s="19">
        <v>1988</v>
      </c>
      <c r="B24" s="20">
        <v>24460</v>
      </c>
      <c r="C24" s="21">
        <v>131180</v>
      </c>
      <c r="D24" s="21">
        <v>22790</v>
      </c>
      <c r="E24" s="21">
        <v>250</v>
      </c>
      <c r="F24" s="22" t="s">
        <v>68</v>
      </c>
      <c r="G24" s="23">
        <v>178680</v>
      </c>
    </row>
    <row r="25" spans="1:8">
      <c r="A25" s="19">
        <v>1989</v>
      </c>
      <c r="B25" s="20">
        <v>24280</v>
      </c>
      <c r="C25" s="21">
        <v>109750</v>
      </c>
      <c r="D25" s="21">
        <v>22970</v>
      </c>
      <c r="E25" s="21">
        <v>150</v>
      </c>
      <c r="F25" s="22" t="s">
        <v>68</v>
      </c>
      <c r="G25" s="23">
        <v>157150</v>
      </c>
    </row>
    <row r="26" spans="1:8">
      <c r="A26" s="19">
        <v>1990</v>
      </c>
      <c r="B26" s="20">
        <v>28420</v>
      </c>
      <c r="C26" s="21">
        <v>110430</v>
      </c>
      <c r="D26" s="21">
        <v>23200</v>
      </c>
      <c r="E26" s="21">
        <v>130</v>
      </c>
      <c r="F26" s="22">
        <v>4580</v>
      </c>
      <c r="G26" s="23">
        <v>166760</v>
      </c>
      <c r="H26" s="24"/>
    </row>
    <row r="27" spans="1:8">
      <c r="A27" s="19">
        <v>1991</v>
      </c>
      <c r="B27" s="20">
        <v>31570</v>
      </c>
      <c r="C27" s="21">
        <v>119100</v>
      </c>
      <c r="D27" s="21">
        <v>24430</v>
      </c>
      <c r="E27" s="21">
        <v>100</v>
      </c>
      <c r="F27" s="22">
        <v>5140</v>
      </c>
      <c r="G27" s="23">
        <v>180340</v>
      </c>
      <c r="H27" s="24"/>
    </row>
    <row r="28" spans="1:8">
      <c r="A28" s="19">
        <v>1992</v>
      </c>
      <c r="B28" s="20">
        <v>30550</v>
      </c>
      <c r="C28" s="21">
        <v>121410</v>
      </c>
      <c r="D28" s="21">
        <v>24640</v>
      </c>
      <c r="E28" s="21">
        <v>90</v>
      </c>
      <c r="F28" s="22">
        <v>5270</v>
      </c>
      <c r="G28" s="23">
        <v>181960</v>
      </c>
      <c r="H28" s="24"/>
    </row>
    <row r="29" spans="1:8">
      <c r="A29" s="19">
        <v>1993</v>
      </c>
      <c r="B29" s="20">
        <v>30550</v>
      </c>
      <c r="C29" s="21">
        <v>130510</v>
      </c>
      <c r="D29" s="21">
        <v>29330</v>
      </c>
      <c r="E29" s="21">
        <v>80</v>
      </c>
      <c r="F29" s="22">
        <v>5620</v>
      </c>
      <c r="G29" s="23">
        <v>196090</v>
      </c>
      <c r="H29" s="24"/>
    </row>
    <row r="30" spans="1:8">
      <c r="A30" s="19">
        <v>1994</v>
      </c>
      <c r="B30" s="20">
        <v>28620</v>
      </c>
      <c r="C30" s="21">
        <v>142400</v>
      </c>
      <c r="D30" s="21">
        <v>29530</v>
      </c>
      <c r="E30" s="21">
        <v>40</v>
      </c>
      <c r="F30" s="22">
        <v>5730</v>
      </c>
      <c r="G30" s="23">
        <v>206320</v>
      </c>
      <c r="H30" s="24"/>
    </row>
    <row r="31" spans="1:8">
      <c r="A31" s="19">
        <v>1995</v>
      </c>
      <c r="B31" s="20">
        <v>30470</v>
      </c>
      <c r="C31" s="21">
        <v>128150</v>
      </c>
      <c r="D31" s="21">
        <v>32820</v>
      </c>
      <c r="E31" s="21" t="s">
        <v>68</v>
      </c>
      <c r="F31" s="22">
        <v>6160</v>
      </c>
      <c r="G31" s="23">
        <v>197600</v>
      </c>
      <c r="H31" s="24"/>
    </row>
    <row r="32" spans="1:8">
      <c r="A32" s="19">
        <v>1996</v>
      </c>
      <c r="B32" s="20">
        <v>33590</v>
      </c>
      <c r="C32" s="21">
        <v>106910</v>
      </c>
      <c r="D32" s="21">
        <v>33590</v>
      </c>
      <c r="E32" s="21" t="s">
        <v>68</v>
      </c>
      <c r="F32" s="22">
        <v>6670</v>
      </c>
      <c r="G32" s="23">
        <v>180760</v>
      </c>
      <c r="H32" s="24"/>
    </row>
    <row r="33" spans="1:8">
      <c r="A33" s="19">
        <v>1997</v>
      </c>
      <c r="B33" s="20">
        <v>29510</v>
      </c>
      <c r="C33" s="21">
        <v>125260</v>
      </c>
      <c r="D33" s="21">
        <v>35630</v>
      </c>
      <c r="E33" s="21" t="s">
        <v>68</v>
      </c>
      <c r="F33" s="22">
        <v>6630</v>
      </c>
      <c r="G33" s="23">
        <v>197030</v>
      </c>
      <c r="H33" s="24"/>
    </row>
    <row r="34" spans="1:8">
      <c r="A34" s="19">
        <v>1998</v>
      </c>
      <c r="B34" s="20">
        <v>30010</v>
      </c>
      <c r="C34" s="21">
        <v>123460</v>
      </c>
      <c r="D34" s="21">
        <v>37660</v>
      </c>
      <c r="E34" s="21" t="s">
        <v>68</v>
      </c>
      <c r="F34" s="22">
        <v>7080</v>
      </c>
      <c r="G34" s="23">
        <v>198210</v>
      </c>
      <c r="H34" s="24"/>
    </row>
    <row r="35" spans="1:8">
      <c r="A35" s="19">
        <v>1999</v>
      </c>
      <c r="B35" s="20">
        <v>29980</v>
      </c>
      <c r="C35" s="21">
        <v>146220</v>
      </c>
      <c r="D35" s="21">
        <v>41670</v>
      </c>
      <c r="E35" s="21" t="s">
        <v>68</v>
      </c>
      <c r="F35" s="22">
        <v>7360</v>
      </c>
      <c r="G35" s="23">
        <v>225230</v>
      </c>
      <c r="H35" s="24"/>
    </row>
    <row r="36" spans="1:8">
      <c r="A36" s="19">
        <v>2000</v>
      </c>
      <c r="B36" s="20">
        <v>28390</v>
      </c>
      <c r="C36" s="21">
        <v>136260</v>
      </c>
      <c r="D36" s="21">
        <v>45560</v>
      </c>
      <c r="E36" s="21" t="s">
        <v>68</v>
      </c>
      <c r="F36" s="22">
        <v>7440</v>
      </c>
      <c r="G36" s="23">
        <v>217650</v>
      </c>
      <c r="H36" s="24"/>
    </row>
    <row r="37" spans="1:8">
      <c r="A37" s="19">
        <v>2001</v>
      </c>
      <c r="B37" s="20">
        <v>30160</v>
      </c>
      <c r="C37" s="21">
        <v>152140</v>
      </c>
      <c r="D37" s="21">
        <v>46360</v>
      </c>
      <c r="E37" s="21" t="s">
        <v>68</v>
      </c>
      <c r="F37" s="22">
        <v>7920</v>
      </c>
      <c r="G37" s="23">
        <v>236580</v>
      </c>
      <c r="H37" s="24"/>
    </row>
    <row r="38" spans="1:8">
      <c r="A38" s="19">
        <v>2002</v>
      </c>
      <c r="B38" s="20">
        <v>29000</v>
      </c>
      <c r="C38" s="21">
        <v>131450</v>
      </c>
      <c r="D38" s="21">
        <v>48150</v>
      </c>
      <c r="E38" s="21" t="s">
        <v>68</v>
      </c>
      <c r="F38" s="22">
        <v>8010</v>
      </c>
      <c r="G38" s="23">
        <v>216610</v>
      </c>
      <c r="H38" s="24"/>
    </row>
    <row r="39" spans="1:8">
      <c r="A39" s="19">
        <v>2003</v>
      </c>
      <c r="B39" s="20">
        <v>31220</v>
      </c>
      <c r="C39" s="21">
        <v>131200</v>
      </c>
      <c r="D39" s="21">
        <v>48650</v>
      </c>
      <c r="E39" s="21" t="s">
        <v>68</v>
      </c>
      <c r="F39" s="22">
        <v>8520</v>
      </c>
      <c r="G39" s="23">
        <v>219590</v>
      </c>
      <c r="H39" s="24"/>
    </row>
    <row r="40" spans="1:8">
      <c r="A40" s="19">
        <v>2004</v>
      </c>
      <c r="B40" s="20">
        <v>31200</v>
      </c>
      <c r="C40" s="21">
        <v>126420</v>
      </c>
      <c r="D40" s="21">
        <v>49120</v>
      </c>
      <c r="E40" s="21" t="s">
        <v>68</v>
      </c>
      <c r="F40" s="22">
        <v>8800</v>
      </c>
      <c r="G40" s="23">
        <v>215540</v>
      </c>
      <c r="H40" s="24"/>
    </row>
    <row r="41" spans="1:8">
      <c r="A41" s="19">
        <v>2005</v>
      </c>
      <c r="B41" s="20">
        <v>32490</v>
      </c>
      <c r="C41" s="21">
        <v>117930</v>
      </c>
      <c r="D41" s="21">
        <v>51260</v>
      </c>
      <c r="E41" s="21" t="s">
        <v>68</v>
      </c>
      <c r="F41" s="22">
        <v>9550</v>
      </c>
      <c r="G41" s="23">
        <v>211230</v>
      </c>
      <c r="H41" s="24"/>
    </row>
    <row r="42" spans="1:8">
      <c r="A42" s="19">
        <v>2006</v>
      </c>
      <c r="B42" s="20">
        <v>33220</v>
      </c>
      <c r="C42" s="21">
        <v>117210</v>
      </c>
      <c r="D42" s="21">
        <v>55090</v>
      </c>
      <c r="E42" s="21" t="s">
        <v>68</v>
      </c>
      <c r="F42" s="22">
        <v>10080</v>
      </c>
      <c r="G42" s="23">
        <v>215600</v>
      </c>
      <c r="H42" s="24"/>
    </row>
    <row r="43" spans="1:8">
      <c r="A43" s="19">
        <v>2007</v>
      </c>
      <c r="B43" s="20">
        <v>32160</v>
      </c>
      <c r="C43" s="21">
        <v>130940</v>
      </c>
      <c r="D43" s="21">
        <v>55260</v>
      </c>
      <c r="E43" s="21" t="s">
        <v>68</v>
      </c>
      <c r="F43" s="22">
        <v>10950</v>
      </c>
      <c r="G43" s="23">
        <v>229310</v>
      </c>
      <c r="H43" s="24"/>
    </row>
    <row r="44" spans="1:8">
      <c r="A44" s="19">
        <v>2008</v>
      </c>
      <c r="B44" s="20">
        <v>37030</v>
      </c>
      <c r="C44" s="21">
        <v>135210</v>
      </c>
      <c r="D44" s="21">
        <v>54690</v>
      </c>
      <c r="E44" s="21" t="s">
        <v>68</v>
      </c>
      <c r="F44" s="22">
        <v>12600</v>
      </c>
      <c r="G44" s="23">
        <v>239530</v>
      </c>
      <c r="H44" s="24"/>
    </row>
    <row r="45" spans="1:8">
      <c r="A45" s="19">
        <v>2009</v>
      </c>
      <c r="B45" s="20">
        <v>38750</v>
      </c>
      <c r="C45" s="21">
        <v>133690</v>
      </c>
      <c r="D45" s="21">
        <v>52770</v>
      </c>
      <c r="E45" s="21" t="s">
        <v>68</v>
      </c>
      <c r="F45" s="22">
        <v>13560</v>
      </c>
      <c r="G45" s="23">
        <v>238770</v>
      </c>
      <c r="H45" s="24"/>
    </row>
    <row r="46" spans="1:8">
      <c r="A46" s="19">
        <v>2010</v>
      </c>
      <c r="B46" s="20">
        <v>42140</v>
      </c>
      <c r="C46" s="21">
        <v>134820</v>
      </c>
      <c r="D46" s="21">
        <v>54690</v>
      </c>
      <c r="E46" s="21" t="s">
        <v>68</v>
      </c>
      <c r="F46" s="22">
        <v>16130</v>
      </c>
      <c r="G46" s="23">
        <v>247780</v>
      </c>
      <c r="H46" s="24"/>
    </row>
    <row r="47" spans="1:8">
      <c r="A47" s="19">
        <v>2011</v>
      </c>
      <c r="B47" s="20">
        <v>37180</v>
      </c>
      <c r="C47" s="21">
        <v>121660</v>
      </c>
      <c r="D47" s="21">
        <v>55570</v>
      </c>
      <c r="E47" s="21" t="s">
        <v>68</v>
      </c>
      <c r="F47" s="22">
        <v>16610</v>
      </c>
      <c r="G47" s="23">
        <v>231020</v>
      </c>
      <c r="H47" s="24"/>
    </row>
    <row r="48" spans="1:8">
      <c r="A48" s="19">
        <v>2012</v>
      </c>
      <c r="B48" s="20">
        <v>42040</v>
      </c>
      <c r="C48" s="21">
        <v>143660</v>
      </c>
      <c r="D48" s="21">
        <v>56810</v>
      </c>
      <c r="E48" s="21" t="s">
        <v>68</v>
      </c>
      <c r="F48" s="22">
        <v>19430</v>
      </c>
      <c r="G48" s="23">
        <v>261940</v>
      </c>
      <c r="H48" s="24"/>
    </row>
    <row r="49" spans="1:8">
      <c r="A49" s="19">
        <v>2013</v>
      </c>
      <c r="B49" s="20">
        <v>45400</v>
      </c>
      <c r="C49" s="21">
        <v>142460</v>
      </c>
      <c r="D49" s="21">
        <v>55230</v>
      </c>
      <c r="E49" s="21" t="s">
        <v>68</v>
      </c>
      <c r="F49" s="22">
        <v>22000</v>
      </c>
      <c r="G49" s="23">
        <v>265090</v>
      </c>
      <c r="H49" s="24"/>
    </row>
    <row r="50" spans="1:8">
      <c r="A50" s="19">
        <v>2014</v>
      </c>
      <c r="B50" s="20">
        <v>39110</v>
      </c>
      <c r="C50" s="21">
        <v>141510</v>
      </c>
      <c r="D50" s="21">
        <v>57480</v>
      </c>
      <c r="E50" s="21" t="s">
        <v>68</v>
      </c>
      <c r="F50" s="22">
        <v>22720</v>
      </c>
      <c r="G50" s="23">
        <v>260820</v>
      </c>
      <c r="H50" s="24"/>
    </row>
    <row r="51" spans="1:8">
      <c r="A51" s="19">
        <v>2015</v>
      </c>
      <c r="B51" s="20">
        <v>40260</v>
      </c>
      <c r="C51" s="21">
        <v>142150</v>
      </c>
      <c r="D51" s="21">
        <v>52680</v>
      </c>
      <c r="E51" s="21" t="s">
        <v>68</v>
      </c>
      <c r="F51" s="22">
        <v>25960</v>
      </c>
      <c r="G51" s="23">
        <v>261050</v>
      </c>
      <c r="H51" s="24"/>
    </row>
    <row r="52" spans="1:8">
      <c r="A52" s="19">
        <v>2016</v>
      </c>
      <c r="B52" s="20">
        <v>44090</v>
      </c>
      <c r="C52" s="21">
        <v>130770</v>
      </c>
      <c r="D52" s="21">
        <v>54370</v>
      </c>
      <c r="E52" s="21" t="s">
        <v>68</v>
      </c>
      <c r="F52" s="22">
        <v>28710</v>
      </c>
      <c r="G52" s="23">
        <v>257940</v>
      </c>
      <c r="H52" s="24"/>
    </row>
    <row r="53" spans="1:8">
      <c r="A53" s="19">
        <v>2017</v>
      </c>
      <c r="B53" s="20">
        <v>44620</v>
      </c>
      <c r="C53" s="21">
        <v>132000</v>
      </c>
      <c r="D53" s="21">
        <v>54360</v>
      </c>
      <c r="E53" s="21" t="s">
        <v>68</v>
      </c>
      <c r="F53" s="22">
        <v>31070</v>
      </c>
      <c r="G53" s="23">
        <v>262050</v>
      </c>
      <c r="H53" s="24"/>
    </row>
    <row r="54" spans="1:8">
      <c r="A54" s="19">
        <v>2018</v>
      </c>
      <c r="B54" s="20">
        <v>42140</v>
      </c>
      <c r="C54" s="21">
        <v>134740</v>
      </c>
      <c r="D54" s="21">
        <v>55060</v>
      </c>
      <c r="E54" s="21" t="s">
        <v>68</v>
      </c>
      <c r="F54" s="22">
        <v>32000</v>
      </c>
      <c r="G54" s="23">
        <v>263940</v>
      </c>
      <c r="H54" s="24"/>
    </row>
    <row r="55" spans="1:8">
      <c r="A55" s="19">
        <v>2019</v>
      </c>
      <c r="B55" s="20">
        <v>44390</v>
      </c>
      <c r="C55" s="21">
        <v>146000</v>
      </c>
      <c r="D55" s="21">
        <v>55800</v>
      </c>
      <c r="E55" s="21" t="s">
        <v>68</v>
      </c>
      <c r="F55" s="22">
        <v>35020</v>
      </c>
      <c r="G55" s="23">
        <v>281210</v>
      </c>
      <c r="H55" s="24"/>
    </row>
    <row r="56" spans="1:8">
      <c r="A56" s="19">
        <v>2020</v>
      </c>
      <c r="B56" s="20">
        <v>43650</v>
      </c>
      <c r="C56" s="21">
        <v>146220</v>
      </c>
      <c r="D56" s="21">
        <v>55890</v>
      </c>
      <c r="E56" s="21" t="s">
        <v>68</v>
      </c>
      <c r="F56" s="22">
        <v>38030</v>
      </c>
      <c r="G56" s="23">
        <v>283790</v>
      </c>
    </row>
    <row r="57" spans="1:8">
      <c r="A57" s="19">
        <v>2021</v>
      </c>
      <c r="B57" s="20">
        <v>51390</v>
      </c>
      <c r="C57" s="21">
        <v>142200</v>
      </c>
      <c r="D57" s="21">
        <v>56260</v>
      </c>
      <c r="E57" s="21" t="s">
        <v>68</v>
      </c>
      <c r="F57" s="22">
        <v>42330</v>
      </c>
      <c r="G57" s="23">
        <v>292180</v>
      </c>
    </row>
    <row r="58" spans="1:8">
      <c r="A58" s="19">
        <v>2022</v>
      </c>
      <c r="B58" s="20">
        <v>45940</v>
      </c>
      <c r="C58" s="21">
        <v>120600</v>
      </c>
      <c r="D58" s="21">
        <v>54290</v>
      </c>
      <c r="E58" s="21" t="s">
        <v>68</v>
      </c>
      <c r="F58" s="22">
        <v>45670</v>
      </c>
      <c r="G58" s="23">
        <v>266500</v>
      </c>
    </row>
    <row r="59" spans="1:8">
      <c r="A59" s="19">
        <v>2023</v>
      </c>
      <c r="B59" s="20">
        <v>48520</v>
      </c>
      <c r="C59" s="21">
        <v>146810</v>
      </c>
      <c r="D59" s="21">
        <v>54180</v>
      </c>
      <c r="E59" s="21" t="s">
        <v>68</v>
      </c>
      <c r="F59" s="22">
        <v>50930</v>
      </c>
      <c r="G59" s="23">
        <v>300440</v>
      </c>
    </row>
    <row r="60" spans="1:8" s="30" customFormat="1" ht="13">
      <c r="A60" s="25">
        <v>2024</v>
      </c>
      <c r="B60" s="26">
        <v>48860</v>
      </c>
      <c r="C60" s="27">
        <v>174010</v>
      </c>
      <c r="D60" s="27">
        <v>55440</v>
      </c>
      <c r="E60" s="27" t="s">
        <v>68</v>
      </c>
      <c r="F60" s="28">
        <v>56320</v>
      </c>
      <c r="G60" s="29">
        <v>334630</v>
      </c>
    </row>
    <row r="61" spans="1:8" ht="13">
      <c r="A61" s="31"/>
      <c r="B61" s="32"/>
      <c r="C61" s="32"/>
      <c r="D61" s="32"/>
      <c r="E61" s="32"/>
      <c r="F61" s="32"/>
      <c r="G61" s="32"/>
    </row>
    <row r="62" spans="1:8" s="34" customFormat="1" ht="12.75" customHeight="1">
      <c r="A62" s="274" t="s">
        <v>69</v>
      </c>
      <c r="B62" s="262"/>
      <c r="C62" s="262"/>
      <c r="D62" s="262"/>
      <c r="E62" s="274" t="s">
        <v>70</v>
      </c>
      <c r="F62" s="262"/>
      <c r="G62" s="262"/>
      <c r="H62" s="33"/>
    </row>
    <row r="63" spans="1:8" s="34" customFormat="1" ht="12.75" customHeight="1">
      <c r="A63" s="274" t="s">
        <v>71</v>
      </c>
      <c r="B63" s="262"/>
      <c r="C63" s="262"/>
      <c r="D63" s="262"/>
      <c r="E63" s="274" t="s">
        <v>72</v>
      </c>
      <c r="F63" s="262"/>
      <c r="G63" s="262"/>
      <c r="H63" s="4"/>
    </row>
    <row r="64" spans="1:8" s="34" customFormat="1" ht="25.5" customHeight="1">
      <c r="A64" s="274" t="s">
        <v>73</v>
      </c>
      <c r="B64" s="262"/>
      <c r="C64" s="262"/>
      <c r="D64" s="262"/>
      <c r="E64" s="274" t="s">
        <v>74</v>
      </c>
      <c r="F64" s="262"/>
      <c r="G64" s="262"/>
      <c r="H64" s="4"/>
    </row>
    <row r="68" spans="1:1">
      <c r="A68" s="35" t="s">
        <v>75</v>
      </c>
    </row>
    <row r="69" spans="1:1">
      <c r="A69" s="35" t="s">
        <v>76</v>
      </c>
    </row>
    <row r="70" spans="1:1">
      <c r="A70" s="35" t="s">
        <v>77</v>
      </c>
    </row>
  </sheetData>
  <mergeCells count="6">
    <mergeCell ref="A62:D62"/>
    <mergeCell ref="E62:G62"/>
    <mergeCell ref="A63:D63"/>
    <mergeCell ref="E63:G63"/>
    <mergeCell ref="A64:D64"/>
    <mergeCell ref="E64:G64"/>
  </mergeCells>
  <conditionalFormatting sqref="B6:G26 B27:F43 G27:G53 E44:F53 B44:D58 E54:G58">
    <cfRule type="expression" dxfId="30" priority="2">
      <formula>#REF!&lt;&gt;0</formula>
    </cfRule>
  </conditionalFormatting>
  <conditionalFormatting sqref="B59:G60">
    <cfRule type="expression" dxfId="29" priority="1">
      <formula>#REF!&lt;&gt;0</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78537-8264-468A-9C7B-59018D34E30E}">
  <sheetPr codeName="Tabelle13"/>
  <dimension ref="A1:Z130"/>
  <sheetViews>
    <sheetView topLeftCell="J3" workbookViewId="0">
      <selection activeCell="T10" sqref="T10"/>
    </sheetView>
  </sheetViews>
  <sheetFormatPr defaultColWidth="11.54296875" defaultRowHeight="12.5"/>
  <cols>
    <col min="1" max="1" width="10.54296875" style="4" customWidth="1"/>
    <col min="2" max="2" width="10.7265625" style="4" customWidth="1"/>
    <col min="3" max="3" width="7.1796875" style="4" customWidth="1"/>
    <col min="4" max="4" width="10.7265625" style="4" customWidth="1"/>
    <col min="5" max="5" width="7.1796875" style="4" customWidth="1"/>
    <col min="6" max="6" width="10.7265625" style="4" customWidth="1"/>
    <col min="7" max="7" width="7.1796875" style="4" customWidth="1"/>
    <col min="8" max="8" width="10.7265625" style="4" customWidth="1"/>
    <col min="9" max="9" width="7.1796875" style="4" customWidth="1"/>
    <col min="10" max="10" width="9" style="4" bestFit="1" customWidth="1"/>
    <col min="11" max="11" width="7.1796875" style="4" customWidth="1"/>
    <col min="12" max="12" width="10.7265625" style="4" customWidth="1"/>
    <col min="13" max="13" width="7.1796875" style="4" customWidth="1"/>
    <col min="14" max="14" width="10.7265625" style="4" customWidth="1"/>
    <col min="15" max="15" width="7.1796875" style="4" customWidth="1"/>
    <col min="16" max="16" width="10.7265625" style="4" customWidth="1"/>
    <col min="17" max="17" width="7.1796875" style="4" customWidth="1"/>
    <col min="18" max="18" width="10.7265625" style="4" customWidth="1"/>
    <col min="19" max="19" width="7.1796875" style="4" customWidth="1"/>
    <col min="20" max="20" width="11.7265625" style="4" customWidth="1"/>
    <col min="21" max="21" width="7.7265625" style="4" customWidth="1"/>
    <col min="22" max="22" width="10.7265625" style="4" customWidth="1"/>
    <col min="23" max="23" width="7.1796875" style="4" customWidth="1"/>
    <col min="24" max="24" width="11.7265625" style="4" customWidth="1"/>
    <col min="25" max="16384" width="11.54296875" style="4"/>
  </cols>
  <sheetData>
    <row r="1" spans="1:26" ht="13">
      <c r="A1" s="3" t="s">
        <v>125</v>
      </c>
      <c r="Z1" s="5" t="s">
        <v>126</v>
      </c>
    </row>
    <row r="2" spans="1:26" ht="13">
      <c r="A2" s="3" t="s">
        <v>127</v>
      </c>
      <c r="L2" s="53"/>
      <c r="Z2" s="5" t="s">
        <v>128</v>
      </c>
    </row>
    <row r="4" spans="1:26" ht="45" customHeight="1">
      <c r="A4" s="54" t="s">
        <v>55</v>
      </c>
      <c r="B4" s="289" t="s">
        <v>115</v>
      </c>
      <c r="C4" s="296"/>
      <c r="D4" s="289" t="s">
        <v>57</v>
      </c>
      <c r="E4" s="296"/>
      <c r="F4" s="289" t="s">
        <v>58</v>
      </c>
      <c r="G4" s="296"/>
      <c r="H4" s="289" t="s">
        <v>83</v>
      </c>
      <c r="I4" s="296"/>
      <c r="J4" s="289" t="s">
        <v>85</v>
      </c>
      <c r="K4" s="296"/>
      <c r="L4" s="319" t="s">
        <v>86</v>
      </c>
      <c r="M4" s="320"/>
      <c r="N4" s="319" t="s">
        <v>87</v>
      </c>
      <c r="O4" s="320"/>
      <c r="P4" s="289" t="s">
        <v>59</v>
      </c>
      <c r="Q4" s="296"/>
      <c r="R4" s="289" t="s">
        <v>129</v>
      </c>
      <c r="S4" s="296"/>
      <c r="T4" s="289" t="s">
        <v>60</v>
      </c>
      <c r="U4" s="296"/>
      <c r="V4" s="289" t="s">
        <v>130</v>
      </c>
      <c r="W4" s="296"/>
      <c r="X4" s="289" t="s">
        <v>131</v>
      </c>
      <c r="Y4" s="296"/>
      <c r="Z4" s="6" t="s">
        <v>132</v>
      </c>
    </row>
    <row r="5" spans="1:26" ht="45" customHeight="1">
      <c r="A5" s="285" t="s">
        <v>62</v>
      </c>
      <c r="B5" s="285" t="s">
        <v>118</v>
      </c>
      <c r="C5" s="299"/>
      <c r="D5" s="285" t="s">
        <v>64</v>
      </c>
      <c r="E5" s="299"/>
      <c r="F5" s="285" t="s">
        <v>65</v>
      </c>
      <c r="G5" s="299"/>
      <c r="H5" s="285" t="s">
        <v>92</v>
      </c>
      <c r="I5" s="299"/>
      <c r="J5" s="285" t="s">
        <v>133</v>
      </c>
      <c r="K5" s="299"/>
      <c r="L5" s="317" t="s">
        <v>95</v>
      </c>
      <c r="M5" s="318"/>
      <c r="N5" s="317" t="s">
        <v>96</v>
      </c>
      <c r="O5" s="318"/>
      <c r="P5" s="285" t="s">
        <v>66</v>
      </c>
      <c r="Q5" s="299"/>
      <c r="R5" s="285" t="s">
        <v>134</v>
      </c>
      <c r="S5" s="299"/>
      <c r="T5" s="285" t="s">
        <v>67</v>
      </c>
      <c r="U5" s="299"/>
      <c r="V5" s="285" t="s">
        <v>135</v>
      </c>
      <c r="W5" s="299"/>
      <c r="X5" s="285" t="s">
        <v>136</v>
      </c>
      <c r="Y5" s="299"/>
      <c r="Z5" s="55" t="s">
        <v>137</v>
      </c>
    </row>
    <row r="6" spans="1:26">
      <c r="A6" s="286"/>
      <c r="B6" s="56" t="s">
        <v>100</v>
      </c>
      <c r="C6" s="45" t="s">
        <v>138</v>
      </c>
      <c r="D6" s="56" t="s">
        <v>100</v>
      </c>
      <c r="E6" s="45" t="s">
        <v>138</v>
      </c>
      <c r="F6" s="56" t="s">
        <v>100</v>
      </c>
      <c r="G6" s="45" t="s">
        <v>138</v>
      </c>
      <c r="H6" s="56" t="s">
        <v>100</v>
      </c>
      <c r="I6" s="45" t="s">
        <v>138</v>
      </c>
      <c r="J6" s="56" t="s">
        <v>100</v>
      </c>
      <c r="K6" s="45" t="s">
        <v>138</v>
      </c>
      <c r="L6" s="56" t="s">
        <v>100</v>
      </c>
      <c r="M6" s="45" t="s">
        <v>138</v>
      </c>
      <c r="N6" s="56" t="s">
        <v>100</v>
      </c>
      <c r="O6" s="45" t="s">
        <v>138</v>
      </c>
      <c r="P6" s="56" t="s">
        <v>100</v>
      </c>
      <c r="Q6" s="45" t="s">
        <v>138</v>
      </c>
      <c r="R6" s="56" t="s">
        <v>100</v>
      </c>
      <c r="S6" s="45" t="s">
        <v>138</v>
      </c>
      <c r="T6" s="56" t="s">
        <v>100</v>
      </c>
      <c r="U6" s="45" t="s">
        <v>138</v>
      </c>
      <c r="V6" s="56" t="s">
        <v>100</v>
      </c>
      <c r="W6" s="45" t="s">
        <v>138</v>
      </c>
      <c r="X6" s="56" t="s">
        <v>100</v>
      </c>
      <c r="Y6" s="45" t="s">
        <v>138</v>
      </c>
      <c r="Z6" s="57" t="s">
        <v>100</v>
      </c>
    </row>
    <row r="7" spans="1:26">
      <c r="A7" s="19">
        <v>1910</v>
      </c>
      <c r="B7" s="15">
        <v>17190</v>
      </c>
      <c r="C7" s="58">
        <v>16.3</v>
      </c>
      <c r="D7" s="59">
        <v>4500</v>
      </c>
      <c r="E7" s="58">
        <v>4.3</v>
      </c>
      <c r="F7" s="59" t="s">
        <v>68</v>
      </c>
      <c r="G7" s="58" t="s">
        <v>68</v>
      </c>
      <c r="H7" s="59">
        <v>83570</v>
      </c>
      <c r="I7" s="58">
        <v>79.099999999999994</v>
      </c>
      <c r="J7" s="59">
        <v>740</v>
      </c>
      <c r="K7" s="58">
        <v>0.7</v>
      </c>
      <c r="L7" s="60"/>
      <c r="M7" s="61"/>
      <c r="N7" s="62"/>
      <c r="O7" s="62"/>
      <c r="P7" s="59" t="s">
        <v>68</v>
      </c>
      <c r="Q7" s="58" t="s">
        <v>68</v>
      </c>
      <c r="R7" s="59" t="s">
        <v>68</v>
      </c>
      <c r="S7" s="58" t="s">
        <v>68</v>
      </c>
      <c r="T7" s="59" t="s">
        <v>68</v>
      </c>
      <c r="U7" s="58" t="s">
        <v>68</v>
      </c>
      <c r="V7" s="59">
        <v>106000</v>
      </c>
      <c r="W7" s="58">
        <v>100.3</v>
      </c>
      <c r="X7" s="59">
        <v>-360</v>
      </c>
      <c r="Y7" s="58">
        <v>-0.3</v>
      </c>
      <c r="Z7" s="63">
        <v>105640</v>
      </c>
    </row>
    <row r="8" spans="1:26">
      <c r="A8" s="19">
        <v>1911</v>
      </c>
      <c r="B8" s="59">
        <v>17190</v>
      </c>
      <c r="C8" s="58">
        <v>14.9</v>
      </c>
      <c r="D8" s="59">
        <v>5400</v>
      </c>
      <c r="E8" s="58">
        <v>4.7</v>
      </c>
      <c r="F8" s="59" t="s">
        <v>68</v>
      </c>
      <c r="G8" s="58" t="s">
        <v>68</v>
      </c>
      <c r="H8" s="59">
        <v>92020</v>
      </c>
      <c r="I8" s="58">
        <v>79.900000000000006</v>
      </c>
      <c r="J8" s="59">
        <v>960</v>
      </c>
      <c r="K8" s="58">
        <v>0.8</v>
      </c>
      <c r="L8" s="64"/>
      <c r="M8" s="65"/>
      <c r="N8" s="62"/>
      <c r="O8" s="62"/>
      <c r="P8" s="59" t="s">
        <v>68</v>
      </c>
      <c r="Q8" s="58" t="s">
        <v>68</v>
      </c>
      <c r="R8" s="59" t="s">
        <v>68</v>
      </c>
      <c r="S8" s="58" t="s">
        <v>68</v>
      </c>
      <c r="T8" s="59" t="s">
        <v>68</v>
      </c>
      <c r="U8" s="58" t="s">
        <v>68</v>
      </c>
      <c r="V8" s="59">
        <v>115570</v>
      </c>
      <c r="W8" s="58">
        <v>100.4</v>
      </c>
      <c r="X8" s="59">
        <v>-430</v>
      </c>
      <c r="Y8" s="58">
        <v>-0.4</v>
      </c>
      <c r="Z8" s="63">
        <v>115140</v>
      </c>
    </row>
    <row r="9" spans="1:26">
      <c r="A9" s="19">
        <v>1912</v>
      </c>
      <c r="B9" s="59">
        <v>17190</v>
      </c>
      <c r="C9" s="58">
        <v>14.6</v>
      </c>
      <c r="D9" s="59">
        <v>6120</v>
      </c>
      <c r="E9" s="58">
        <v>5.2</v>
      </c>
      <c r="F9" s="59" t="s">
        <v>68</v>
      </c>
      <c r="G9" s="58" t="s">
        <v>68</v>
      </c>
      <c r="H9" s="59">
        <v>93490</v>
      </c>
      <c r="I9" s="58">
        <v>79.599999999999994</v>
      </c>
      <c r="J9" s="59">
        <v>1010</v>
      </c>
      <c r="K9" s="58">
        <v>0.9</v>
      </c>
      <c r="L9" s="64"/>
      <c r="M9" s="65"/>
      <c r="N9" s="62"/>
      <c r="O9" s="62"/>
      <c r="P9" s="59" t="s">
        <v>68</v>
      </c>
      <c r="Q9" s="58" t="s">
        <v>68</v>
      </c>
      <c r="R9" s="59" t="s">
        <v>68</v>
      </c>
      <c r="S9" s="58" t="s">
        <v>68</v>
      </c>
      <c r="T9" s="59" t="s">
        <v>68</v>
      </c>
      <c r="U9" s="58" t="s">
        <v>68</v>
      </c>
      <c r="V9" s="59">
        <v>117810</v>
      </c>
      <c r="W9" s="58">
        <v>100.4</v>
      </c>
      <c r="X9" s="59">
        <v>-430</v>
      </c>
      <c r="Y9" s="58">
        <v>-0.4</v>
      </c>
      <c r="Z9" s="63">
        <v>117380</v>
      </c>
    </row>
    <row r="10" spans="1:26">
      <c r="A10" s="19">
        <v>1913</v>
      </c>
      <c r="B10" s="59">
        <v>17190</v>
      </c>
      <c r="C10" s="58">
        <v>14.1</v>
      </c>
      <c r="D10" s="59">
        <v>6660</v>
      </c>
      <c r="E10" s="58">
        <v>5.4</v>
      </c>
      <c r="F10" s="59" t="s">
        <v>68</v>
      </c>
      <c r="G10" s="58" t="s">
        <v>68</v>
      </c>
      <c r="H10" s="59">
        <v>97890</v>
      </c>
      <c r="I10" s="58">
        <v>80</v>
      </c>
      <c r="J10" s="59">
        <v>1030</v>
      </c>
      <c r="K10" s="58">
        <v>0.8</v>
      </c>
      <c r="L10" s="64"/>
      <c r="M10" s="65"/>
      <c r="N10" s="62"/>
      <c r="O10" s="62"/>
      <c r="P10" s="59" t="s">
        <v>68</v>
      </c>
      <c r="Q10" s="58" t="s">
        <v>68</v>
      </c>
      <c r="R10" s="59" t="s">
        <v>68</v>
      </c>
      <c r="S10" s="58" t="s">
        <v>68</v>
      </c>
      <c r="T10" s="59" t="s">
        <v>68</v>
      </c>
      <c r="U10" s="58" t="s">
        <v>68</v>
      </c>
      <c r="V10" s="59">
        <v>122770</v>
      </c>
      <c r="W10" s="58">
        <v>100.4</v>
      </c>
      <c r="X10" s="59">
        <v>-470</v>
      </c>
      <c r="Y10" s="58">
        <v>-0.4</v>
      </c>
      <c r="Z10" s="63">
        <v>122300</v>
      </c>
    </row>
    <row r="11" spans="1:26">
      <c r="A11" s="19">
        <v>1914</v>
      </c>
      <c r="B11" s="59">
        <v>16830</v>
      </c>
      <c r="C11" s="58">
        <v>14.1</v>
      </c>
      <c r="D11" s="59">
        <v>7020</v>
      </c>
      <c r="E11" s="58">
        <v>5.9</v>
      </c>
      <c r="F11" s="59" t="s">
        <v>68</v>
      </c>
      <c r="G11" s="58" t="s">
        <v>68</v>
      </c>
      <c r="H11" s="59">
        <v>95410</v>
      </c>
      <c r="I11" s="58">
        <v>79.900000000000006</v>
      </c>
      <c r="J11" s="59">
        <v>670</v>
      </c>
      <c r="K11" s="58">
        <v>0.6</v>
      </c>
      <c r="L11" s="64"/>
      <c r="M11" s="65"/>
      <c r="N11" s="62"/>
      <c r="O11" s="62"/>
      <c r="P11" s="59" t="s">
        <v>68</v>
      </c>
      <c r="Q11" s="58" t="s">
        <v>68</v>
      </c>
      <c r="R11" s="59" t="s">
        <v>68</v>
      </c>
      <c r="S11" s="58" t="s">
        <v>68</v>
      </c>
      <c r="T11" s="59" t="s">
        <v>68</v>
      </c>
      <c r="U11" s="58" t="s">
        <v>68</v>
      </c>
      <c r="V11" s="59">
        <v>119930</v>
      </c>
      <c r="W11" s="58">
        <v>100.5</v>
      </c>
      <c r="X11" s="59">
        <v>-580</v>
      </c>
      <c r="Y11" s="58">
        <v>-0.5</v>
      </c>
      <c r="Z11" s="63">
        <v>119350</v>
      </c>
    </row>
    <row r="12" spans="1:26">
      <c r="A12" s="19">
        <v>1915</v>
      </c>
      <c r="B12" s="59">
        <v>14930</v>
      </c>
      <c r="C12" s="58">
        <v>12.6</v>
      </c>
      <c r="D12" s="59">
        <v>8100</v>
      </c>
      <c r="E12" s="58">
        <v>6.8</v>
      </c>
      <c r="F12" s="59" t="s">
        <v>68</v>
      </c>
      <c r="G12" s="58" t="s">
        <v>68</v>
      </c>
      <c r="H12" s="59">
        <v>96070</v>
      </c>
      <c r="I12" s="58">
        <v>81</v>
      </c>
      <c r="J12" s="59">
        <v>500</v>
      </c>
      <c r="K12" s="58">
        <v>0.4</v>
      </c>
      <c r="L12" s="64"/>
      <c r="M12" s="65"/>
      <c r="N12" s="62"/>
      <c r="O12" s="62"/>
      <c r="P12" s="59" t="s">
        <v>68</v>
      </c>
      <c r="Q12" s="58" t="s">
        <v>68</v>
      </c>
      <c r="R12" s="59" t="s">
        <v>68</v>
      </c>
      <c r="S12" s="58" t="s">
        <v>68</v>
      </c>
      <c r="T12" s="59" t="s">
        <v>68</v>
      </c>
      <c r="U12" s="58" t="s">
        <v>68</v>
      </c>
      <c r="V12" s="59">
        <v>119600</v>
      </c>
      <c r="W12" s="58">
        <v>100.9</v>
      </c>
      <c r="X12" s="59">
        <v>-1010</v>
      </c>
      <c r="Y12" s="58">
        <v>-0.9</v>
      </c>
      <c r="Z12" s="63">
        <v>118590</v>
      </c>
    </row>
    <row r="13" spans="1:26">
      <c r="A13" s="19">
        <v>1916</v>
      </c>
      <c r="B13" s="59">
        <v>12590</v>
      </c>
      <c r="C13" s="58">
        <v>11.2</v>
      </c>
      <c r="D13" s="59">
        <v>8820</v>
      </c>
      <c r="E13" s="58">
        <v>7.8</v>
      </c>
      <c r="F13" s="59" t="s">
        <v>68</v>
      </c>
      <c r="G13" s="58" t="s">
        <v>68</v>
      </c>
      <c r="H13" s="59">
        <v>92390</v>
      </c>
      <c r="I13" s="58">
        <v>81.8</v>
      </c>
      <c r="J13" s="59">
        <v>180</v>
      </c>
      <c r="K13" s="58">
        <v>0.2</v>
      </c>
      <c r="L13" s="64"/>
      <c r="M13" s="65"/>
      <c r="N13" s="62"/>
      <c r="O13" s="62"/>
      <c r="P13" s="59" t="s">
        <v>68</v>
      </c>
      <c r="Q13" s="58" t="s">
        <v>68</v>
      </c>
      <c r="R13" s="59" t="s">
        <v>68</v>
      </c>
      <c r="S13" s="58" t="s">
        <v>68</v>
      </c>
      <c r="T13" s="59" t="s">
        <v>68</v>
      </c>
      <c r="U13" s="58" t="s">
        <v>68</v>
      </c>
      <c r="V13" s="59">
        <v>113980</v>
      </c>
      <c r="W13" s="58">
        <v>100.9</v>
      </c>
      <c r="X13" s="59">
        <v>-1070</v>
      </c>
      <c r="Y13" s="58">
        <v>-0.9</v>
      </c>
      <c r="Z13" s="63">
        <v>112910</v>
      </c>
    </row>
    <row r="14" spans="1:26">
      <c r="A14" s="19">
        <v>1917</v>
      </c>
      <c r="B14" s="59">
        <v>13580</v>
      </c>
      <c r="C14" s="58">
        <v>13.9</v>
      </c>
      <c r="D14" s="59">
        <v>9720</v>
      </c>
      <c r="E14" s="58">
        <v>9.9</v>
      </c>
      <c r="F14" s="59" t="s">
        <v>68</v>
      </c>
      <c r="G14" s="58" t="s">
        <v>68</v>
      </c>
      <c r="H14" s="59">
        <v>75450</v>
      </c>
      <c r="I14" s="58">
        <v>77.099999999999994</v>
      </c>
      <c r="J14" s="59">
        <v>310</v>
      </c>
      <c r="K14" s="58">
        <v>0.3</v>
      </c>
      <c r="L14" s="64"/>
      <c r="M14" s="65"/>
      <c r="N14" s="62"/>
      <c r="O14" s="62"/>
      <c r="P14" s="59" t="s">
        <v>68</v>
      </c>
      <c r="Q14" s="58" t="s">
        <v>68</v>
      </c>
      <c r="R14" s="59" t="s">
        <v>68</v>
      </c>
      <c r="S14" s="58" t="s">
        <v>68</v>
      </c>
      <c r="T14" s="59" t="s">
        <v>68</v>
      </c>
      <c r="U14" s="58" t="s">
        <v>68</v>
      </c>
      <c r="V14" s="59">
        <v>99060</v>
      </c>
      <c r="W14" s="58">
        <v>101.2</v>
      </c>
      <c r="X14" s="59">
        <v>-1140</v>
      </c>
      <c r="Y14" s="58">
        <v>-1.2</v>
      </c>
      <c r="Z14" s="63">
        <v>97920</v>
      </c>
    </row>
    <row r="15" spans="1:26">
      <c r="A15" s="19">
        <v>1918</v>
      </c>
      <c r="B15" s="59">
        <v>18330</v>
      </c>
      <c r="C15" s="58">
        <v>18.7</v>
      </c>
      <c r="D15" s="59">
        <v>10620</v>
      </c>
      <c r="E15" s="58">
        <v>10.8</v>
      </c>
      <c r="F15" s="59" t="s">
        <v>68</v>
      </c>
      <c r="G15" s="58" t="s">
        <v>68</v>
      </c>
      <c r="H15" s="59">
        <v>70020</v>
      </c>
      <c r="I15" s="58">
        <v>71.400000000000006</v>
      </c>
      <c r="J15" s="59">
        <v>300</v>
      </c>
      <c r="K15" s="58">
        <v>0.3</v>
      </c>
      <c r="L15" s="64"/>
      <c r="M15" s="65"/>
      <c r="N15" s="62"/>
      <c r="O15" s="62"/>
      <c r="P15" s="59" t="s">
        <v>68</v>
      </c>
      <c r="Q15" s="58" t="s">
        <v>68</v>
      </c>
      <c r="R15" s="59" t="s">
        <v>68</v>
      </c>
      <c r="S15" s="58" t="s">
        <v>68</v>
      </c>
      <c r="T15" s="59" t="s">
        <v>68</v>
      </c>
      <c r="U15" s="58" t="s">
        <v>68</v>
      </c>
      <c r="V15" s="59">
        <v>99270</v>
      </c>
      <c r="W15" s="58">
        <v>101.2</v>
      </c>
      <c r="X15" s="59">
        <v>-1180</v>
      </c>
      <c r="Y15" s="58">
        <v>-1.2</v>
      </c>
      <c r="Z15" s="63">
        <v>98090</v>
      </c>
    </row>
    <row r="16" spans="1:26">
      <c r="A16" s="19">
        <v>1919</v>
      </c>
      <c r="B16" s="59">
        <v>19750</v>
      </c>
      <c r="C16" s="58">
        <v>23.8</v>
      </c>
      <c r="D16" s="59">
        <v>10440</v>
      </c>
      <c r="E16" s="58">
        <v>12.6</v>
      </c>
      <c r="F16" s="59" t="s">
        <v>68</v>
      </c>
      <c r="G16" s="58" t="s">
        <v>68</v>
      </c>
      <c r="H16" s="59">
        <v>53180</v>
      </c>
      <c r="I16" s="58">
        <v>64.2</v>
      </c>
      <c r="J16" s="59">
        <v>640</v>
      </c>
      <c r="K16" s="58">
        <v>0.8</v>
      </c>
      <c r="L16" s="64"/>
      <c r="M16" s="65"/>
      <c r="N16" s="62"/>
      <c r="O16" s="62"/>
      <c r="P16" s="59" t="s">
        <v>68</v>
      </c>
      <c r="Q16" s="58" t="s">
        <v>68</v>
      </c>
      <c r="R16" s="59" t="s">
        <v>68</v>
      </c>
      <c r="S16" s="58" t="s">
        <v>68</v>
      </c>
      <c r="T16" s="59" t="s">
        <v>68</v>
      </c>
      <c r="U16" s="58" t="s">
        <v>68</v>
      </c>
      <c r="V16" s="59">
        <v>84010</v>
      </c>
      <c r="W16" s="58">
        <v>101.4</v>
      </c>
      <c r="X16" s="59">
        <v>-1170</v>
      </c>
      <c r="Y16" s="58">
        <v>-1.4</v>
      </c>
      <c r="Z16" s="63">
        <v>82840</v>
      </c>
    </row>
    <row r="17" spans="1:26">
      <c r="A17" s="19">
        <v>1920</v>
      </c>
      <c r="B17" s="59">
        <v>17490</v>
      </c>
      <c r="C17" s="58">
        <v>17.8</v>
      </c>
      <c r="D17" s="59">
        <v>10080</v>
      </c>
      <c r="E17" s="58">
        <v>10.3</v>
      </c>
      <c r="F17" s="59" t="s">
        <v>68</v>
      </c>
      <c r="G17" s="58" t="s">
        <v>68</v>
      </c>
      <c r="H17" s="59">
        <v>70220</v>
      </c>
      <c r="I17" s="58">
        <v>71.400000000000006</v>
      </c>
      <c r="J17" s="59">
        <v>1860</v>
      </c>
      <c r="K17" s="58">
        <v>1.9</v>
      </c>
      <c r="L17" s="64"/>
      <c r="M17" s="65"/>
      <c r="N17" s="62"/>
      <c r="O17" s="62"/>
      <c r="P17" s="59" t="s">
        <v>68</v>
      </c>
      <c r="Q17" s="58" t="s">
        <v>68</v>
      </c>
      <c r="R17" s="59" t="s">
        <v>68</v>
      </c>
      <c r="S17" s="58" t="s">
        <v>68</v>
      </c>
      <c r="T17" s="59" t="s">
        <v>68</v>
      </c>
      <c r="U17" s="58" t="s">
        <v>68</v>
      </c>
      <c r="V17" s="59">
        <v>99650</v>
      </c>
      <c r="W17" s="58">
        <v>101.4</v>
      </c>
      <c r="X17" s="59">
        <v>-1360</v>
      </c>
      <c r="Y17" s="58">
        <v>-1.4</v>
      </c>
      <c r="Z17" s="63">
        <v>98290</v>
      </c>
    </row>
    <row r="18" spans="1:26">
      <c r="A18" s="19">
        <v>1921</v>
      </c>
      <c r="B18" s="59">
        <v>16760</v>
      </c>
      <c r="C18" s="58">
        <v>20.7</v>
      </c>
      <c r="D18" s="59">
        <v>9540</v>
      </c>
      <c r="E18" s="58">
        <v>11.8</v>
      </c>
      <c r="F18" s="59" t="s">
        <v>68</v>
      </c>
      <c r="G18" s="58" t="s">
        <v>68</v>
      </c>
      <c r="H18" s="59">
        <v>54570</v>
      </c>
      <c r="I18" s="58">
        <v>67.3</v>
      </c>
      <c r="J18" s="59">
        <v>1350</v>
      </c>
      <c r="K18" s="58">
        <v>1.7</v>
      </c>
      <c r="L18" s="64"/>
      <c r="M18" s="65"/>
      <c r="N18" s="62"/>
      <c r="O18" s="62"/>
      <c r="P18" s="59" t="s">
        <v>68</v>
      </c>
      <c r="Q18" s="58" t="s">
        <v>68</v>
      </c>
      <c r="R18" s="59" t="s">
        <v>68</v>
      </c>
      <c r="S18" s="58" t="s">
        <v>68</v>
      </c>
      <c r="T18" s="59" t="s">
        <v>68</v>
      </c>
      <c r="U18" s="58" t="s">
        <v>68</v>
      </c>
      <c r="V18" s="59">
        <v>82220</v>
      </c>
      <c r="W18" s="58">
        <v>101.5</v>
      </c>
      <c r="X18" s="59">
        <v>-1180</v>
      </c>
      <c r="Y18" s="58">
        <v>-1.5</v>
      </c>
      <c r="Z18" s="63">
        <v>81040</v>
      </c>
    </row>
    <row r="19" spans="1:26">
      <c r="A19" s="19">
        <v>1922</v>
      </c>
      <c r="B19" s="59">
        <v>18990</v>
      </c>
      <c r="C19" s="58">
        <v>19.7</v>
      </c>
      <c r="D19" s="59">
        <v>10800</v>
      </c>
      <c r="E19" s="58">
        <v>11.2</v>
      </c>
      <c r="F19" s="59" t="s">
        <v>68</v>
      </c>
      <c r="G19" s="58" t="s">
        <v>68</v>
      </c>
      <c r="H19" s="59">
        <v>65730</v>
      </c>
      <c r="I19" s="58">
        <v>68.099999999999994</v>
      </c>
      <c r="J19" s="59">
        <v>2650</v>
      </c>
      <c r="K19" s="58">
        <v>2.7</v>
      </c>
      <c r="L19" s="64"/>
      <c r="M19" s="65"/>
      <c r="N19" s="62"/>
      <c r="O19" s="62"/>
      <c r="P19" s="59" t="s">
        <v>68</v>
      </c>
      <c r="Q19" s="58" t="s">
        <v>68</v>
      </c>
      <c r="R19" s="59" t="s">
        <v>68</v>
      </c>
      <c r="S19" s="58" t="s">
        <v>68</v>
      </c>
      <c r="T19" s="59" t="s">
        <v>68</v>
      </c>
      <c r="U19" s="58" t="s">
        <v>68</v>
      </c>
      <c r="V19" s="59">
        <v>98170</v>
      </c>
      <c r="W19" s="58">
        <v>101.7</v>
      </c>
      <c r="X19" s="59">
        <v>-1670</v>
      </c>
      <c r="Y19" s="58">
        <v>-1.7</v>
      </c>
      <c r="Z19" s="63">
        <v>96500</v>
      </c>
    </row>
    <row r="20" spans="1:26">
      <c r="A20" s="19">
        <v>1923</v>
      </c>
      <c r="B20" s="59">
        <v>21880</v>
      </c>
      <c r="C20" s="58">
        <v>18.7</v>
      </c>
      <c r="D20" s="59">
        <v>11880</v>
      </c>
      <c r="E20" s="58">
        <v>10.199999999999999</v>
      </c>
      <c r="F20" s="59" t="s">
        <v>68</v>
      </c>
      <c r="G20" s="58" t="s">
        <v>68</v>
      </c>
      <c r="H20" s="59">
        <v>81870</v>
      </c>
      <c r="I20" s="58">
        <v>70.099999999999994</v>
      </c>
      <c r="J20" s="59">
        <v>3070</v>
      </c>
      <c r="K20" s="58">
        <v>2.6</v>
      </c>
      <c r="L20" s="64"/>
      <c r="M20" s="65"/>
      <c r="N20" s="62"/>
      <c r="O20" s="62"/>
      <c r="P20" s="59" t="s">
        <v>68</v>
      </c>
      <c r="Q20" s="58" t="s">
        <v>68</v>
      </c>
      <c r="R20" s="59" t="s">
        <v>68</v>
      </c>
      <c r="S20" s="58" t="s">
        <v>68</v>
      </c>
      <c r="T20" s="59" t="s">
        <v>68</v>
      </c>
      <c r="U20" s="58" t="s">
        <v>68</v>
      </c>
      <c r="V20" s="59">
        <v>118700</v>
      </c>
      <c r="W20" s="58">
        <v>101.6</v>
      </c>
      <c r="X20" s="59">
        <v>-1880</v>
      </c>
      <c r="Y20" s="58">
        <v>-1.6</v>
      </c>
      <c r="Z20" s="63">
        <v>116820</v>
      </c>
    </row>
    <row r="21" spans="1:26">
      <c r="A21" s="19">
        <v>1924</v>
      </c>
      <c r="B21" s="59">
        <v>21070</v>
      </c>
      <c r="C21" s="58">
        <v>18.7</v>
      </c>
      <c r="D21" s="59">
        <v>13320</v>
      </c>
      <c r="E21" s="58">
        <v>11.9</v>
      </c>
      <c r="F21" s="59" t="s">
        <v>68</v>
      </c>
      <c r="G21" s="58" t="s">
        <v>68</v>
      </c>
      <c r="H21" s="59">
        <v>76530</v>
      </c>
      <c r="I21" s="58">
        <v>68.099999999999994</v>
      </c>
      <c r="J21" s="59">
        <v>3520</v>
      </c>
      <c r="K21" s="58">
        <v>3.1</v>
      </c>
      <c r="L21" s="64"/>
      <c r="M21" s="65"/>
      <c r="N21" s="62"/>
      <c r="O21" s="62"/>
      <c r="P21" s="59" t="s">
        <v>68</v>
      </c>
      <c r="Q21" s="58" t="s">
        <v>68</v>
      </c>
      <c r="R21" s="59" t="s">
        <v>68</v>
      </c>
      <c r="S21" s="58" t="s">
        <v>68</v>
      </c>
      <c r="T21" s="59" t="s">
        <v>68</v>
      </c>
      <c r="U21" s="58" t="s">
        <v>68</v>
      </c>
      <c r="V21" s="59">
        <v>114440</v>
      </c>
      <c r="W21" s="58">
        <v>101.8</v>
      </c>
      <c r="X21" s="59">
        <v>-2040</v>
      </c>
      <c r="Y21" s="58">
        <v>-1.8</v>
      </c>
      <c r="Z21" s="63">
        <v>112400</v>
      </c>
    </row>
    <row r="22" spans="1:26">
      <c r="A22" s="19">
        <v>1925</v>
      </c>
      <c r="B22" s="59">
        <v>19930</v>
      </c>
      <c r="C22" s="58">
        <v>17.2</v>
      </c>
      <c r="D22" s="59">
        <v>14400</v>
      </c>
      <c r="E22" s="58">
        <v>12.4</v>
      </c>
      <c r="F22" s="59" t="s">
        <v>68</v>
      </c>
      <c r="G22" s="58" t="s">
        <v>68</v>
      </c>
      <c r="H22" s="59">
        <v>79590</v>
      </c>
      <c r="I22" s="58">
        <v>68.599999999999994</v>
      </c>
      <c r="J22" s="59">
        <v>4480</v>
      </c>
      <c r="K22" s="58">
        <v>3.9</v>
      </c>
      <c r="L22" s="64"/>
      <c r="M22" s="65"/>
      <c r="N22" s="62"/>
      <c r="O22" s="62"/>
      <c r="P22" s="59" t="s">
        <v>68</v>
      </c>
      <c r="Q22" s="58" t="s">
        <v>68</v>
      </c>
      <c r="R22" s="59" t="s">
        <v>68</v>
      </c>
      <c r="S22" s="58" t="s">
        <v>68</v>
      </c>
      <c r="T22" s="59" t="s">
        <v>68</v>
      </c>
      <c r="U22" s="58" t="s">
        <v>68</v>
      </c>
      <c r="V22" s="59">
        <v>118400</v>
      </c>
      <c r="W22" s="58">
        <v>102</v>
      </c>
      <c r="X22" s="59">
        <v>-2350</v>
      </c>
      <c r="Y22" s="58">
        <v>-2</v>
      </c>
      <c r="Z22" s="63">
        <v>116050</v>
      </c>
    </row>
    <row r="23" spans="1:26">
      <c r="A23" s="19">
        <v>1926</v>
      </c>
      <c r="B23" s="59">
        <v>20010</v>
      </c>
      <c r="C23" s="58">
        <v>17.100000000000001</v>
      </c>
      <c r="D23" s="59">
        <v>15840</v>
      </c>
      <c r="E23" s="58">
        <v>13.5</v>
      </c>
      <c r="F23" s="59" t="s">
        <v>68</v>
      </c>
      <c r="G23" s="58" t="s">
        <v>68</v>
      </c>
      <c r="H23" s="59">
        <v>79260</v>
      </c>
      <c r="I23" s="58">
        <v>67.7</v>
      </c>
      <c r="J23" s="59">
        <v>4950</v>
      </c>
      <c r="K23" s="58">
        <v>4.2</v>
      </c>
      <c r="L23" s="64"/>
      <c r="M23" s="65"/>
      <c r="N23" s="62"/>
      <c r="O23" s="62"/>
      <c r="P23" s="59" t="s">
        <v>68</v>
      </c>
      <c r="Q23" s="58" t="s">
        <v>68</v>
      </c>
      <c r="R23" s="59" t="s">
        <v>68</v>
      </c>
      <c r="S23" s="58" t="s">
        <v>68</v>
      </c>
      <c r="T23" s="59" t="s">
        <v>68</v>
      </c>
      <c r="U23" s="58" t="s">
        <v>68</v>
      </c>
      <c r="V23" s="59">
        <v>120060</v>
      </c>
      <c r="W23" s="58">
        <v>102.6</v>
      </c>
      <c r="X23" s="59">
        <v>-3070</v>
      </c>
      <c r="Y23" s="58">
        <v>-2.6</v>
      </c>
      <c r="Z23" s="63">
        <v>116990</v>
      </c>
    </row>
    <row r="24" spans="1:26">
      <c r="A24" s="19">
        <v>1927</v>
      </c>
      <c r="B24" s="59">
        <v>19110</v>
      </c>
      <c r="C24" s="58">
        <v>14.9</v>
      </c>
      <c r="D24" s="59">
        <v>17100</v>
      </c>
      <c r="E24" s="58">
        <v>13.3</v>
      </c>
      <c r="F24" s="59" t="s">
        <v>68</v>
      </c>
      <c r="G24" s="58" t="s">
        <v>68</v>
      </c>
      <c r="H24" s="59">
        <v>89590</v>
      </c>
      <c r="I24" s="58">
        <v>69.8</v>
      </c>
      <c r="J24" s="59">
        <v>5990</v>
      </c>
      <c r="K24" s="58">
        <v>4.7</v>
      </c>
      <c r="L24" s="64"/>
      <c r="M24" s="65"/>
      <c r="N24" s="62"/>
      <c r="O24" s="62"/>
      <c r="P24" s="59" t="s">
        <v>68</v>
      </c>
      <c r="Q24" s="58" t="s">
        <v>68</v>
      </c>
      <c r="R24" s="59" t="s">
        <v>68</v>
      </c>
      <c r="S24" s="58" t="s">
        <v>68</v>
      </c>
      <c r="T24" s="59" t="s">
        <v>68</v>
      </c>
      <c r="U24" s="58" t="s">
        <v>68</v>
      </c>
      <c r="V24" s="59">
        <v>131790</v>
      </c>
      <c r="W24" s="58">
        <v>102.7</v>
      </c>
      <c r="X24" s="59">
        <v>-3460</v>
      </c>
      <c r="Y24" s="58">
        <v>-2.7</v>
      </c>
      <c r="Z24" s="63">
        <v>128330</v>
      </c>
    </row>
    <row r="25" spans="1:26">
      <c r="A25" s="19">
        <v>1928</v>
      </c>
      <c r="B25" s="59">
        <v>19420</v>
      </c>
      <c r="C25" s="58">
        <v>14.9</v>
      </c>
      <c r="D25" s="59">
        <v>18180</v>
      </c>
      <c r="E25" s="58">
        <v>14</v>
      </c>
      <c r="F25" s="59" t="s">
        <v>68</v>
      </c>
      <c r="G25" s="58" t="s">
        <v>68</v>
      </c>
      <c r="H25" s="59">
        <v>89060</v>
      </c>
      <c r="I25" s="58">
        <v>68.400000000000006</v>
      </c>
      <c r="J25" s="59">
        <v>7320</v>
      </c>
      <c r="K25" s="58">
        <v>5.6</v>
      </c>
      <c r="L25" s="64"/>
      <c r="M25" s="65"/>
      <c r="N25" s="62"/>
      <c r="O25" s="62"/>
      <c r="P25" s="59" t="s">
        <v>68</v>
      </c>
      <c r="Q25" s="58" t="s">
        <v>68</v>
      </c>
      <c r="R25" s="59" t="s">
        <v>68</v>
      </c>
      <c r="S25" s="58" t="s">
        <v>68</v>
      </c>
      <c r="T25" s="59" t="s">
        <v>68</v>
      </c>
      <c r="U25" s="58" t="s">
        <v>68</v>
      </c>
      <c r="V25" s="59">
        <v>133980</v>
      </c>
      <c r="W25" s="58">
        <v>102.9</v>
      </c>
      <c r="X25" s="59">
        <v>-3720</v>
      </c>
      <c r="Y25" s="58">
        <v>-2.9</v>
      </c>
      <c r="Z25" s="63">
        <v>130260</v>
      </c>
    </row>
    <row r="26" spans="1:26">
      <c r="A26" s="19">
        <v>1929</v>
      </c>
      <c r="B26" s="59">
        <v>20060</v>
      </c>
      <c r="C26" s="58">
        <v>13.7</v>
      </c>
      <c r="D26" s="59">
        <v>19080</v>
      </c>
      <c r="E26" s="58">
        <v>13</v>
      </c>
      <c r="F26" s="59" t="s">
        <v>68</v>
      </c>
      <c r="G26" s="58" t="s">
        <v>68</v>
      </c>
      <c r="H26" s="59">
        <v>102530</v>
      </c>
      <c r="I26" s="58">
        <v>69.8</v>
      </c>
      <c r="J26" s="59">
        <v>8840</v>
      </c>
      <c r="K26" s="58">
        <v>6</v>
      </c>
      <c r="L26" s="64"/>
      <c r="M26" s="65"/>
      <c r="N26" s="62"/>
      <c r="O26" s="62"/>
      <c r="P26" s="59" t="s">
        <v>68</v>
      </c>
      <c r="Q26" s="58" t="s">
        <v>68</v>
      </c>
      <c r="R26" s="59" t="s">
        <v>68</v>
      </c>
      <c r="S26" s="58" t="s">
        <v>68</v>
      </c>
      <c r="T26" s="59" t="s">
        <v>68</v>
      </c>
      <c r="U26" s="58" t="s">
        <v>68</v>
      </c>
      <c r="V26" s="59">
        <v>150510</v>
      </c>
      <c r="W26" s="58">
        <v>102.4</v>
      </c>
      <c r="X26" s="59">
        <v>-3560</v>
      </c>
      <c r="Y26" s="58">
        <v>-2.4</v>
      </c>
      <c r="Z26" s="63">
        <v>146950</v>
      </c>
    </row>
    <row r="27" spans="1:26">
      <c r="A27" s="19">
        <v>1930</v>
      </c>
      <c r="B27" s="59">
        <v>19310</v>
      </c>
      <c r="C27" s="58">
        <v>14</v>
      </c>
      <c r="D27" s="59">
        <v>18720</v>
      </c>
      <c r="E27" s="58">
        <v>13.5</v>
      </c>
      <c r="F27" s="59" t="s">
        <v>68</v>
      </c>
      <c r="G27" s="58" t="s">
        <v>68</v>
      </c>
      <c r="H27" s="59">
        <v>93780</v>
      </c>
      <c r="I27" s="58">
        <v>67.8</v>
      </c>
      <c r="J27" s="59">
        <v>10000</v>
      </c>
      <c r="K27" s="58">
        <v>7.2</v>
      </c>
      <c r="L27" s="64"/>
      <c r="M27" s="65"/>
      <c r="N27" s="62"/>
      <c r="O27" s="62"/>
      <c r="P27" s="59" t="s">
        <v>68</v>
      </c>
      <c r="Q27" s="58" t="s">
        <v>68</v>
      </c>
      <c r="R27" s="59" t="s">
        <v>68</v>
      </c>
      <c r="S27" s="58" t="s">
        <v>68</v>
      </c>
      <c r="T27" s="59" t="s">
        <v>68</v>
      </c>
      <c r="U27" s="58" t="s">
        <v>68</v>
      </c>
      <c r="V27" s="59">
        <v>141810</v>
      </c>
      <c r="W27" s="58">
        <v>102.5</v>
      </c>
      <c r="X27" s="59">
        <v>-3440</v>
      </c>
      <c r="Y27" s="58">
        <v>-2.5</v>
      </c>
      <c r="Z27" s="63">
        <v>138370</v>
      </c>
    </row>
    <row r="28" spans="1:26">
      <c r="A28" s="19">
        <v>1931</v>
      </c>
      <c r="B28" s="59">
        <v>20390</v>
      </c>
      <c r="C28" s="58">
        <v>14.3</v>
      </c>
      <c r="D28" s="59">
        <v>17740</v>
      </c>
      <c r="E28" s="58">
        <v>12.4</v>
      </c>
      <c r="F28" s="59" t="s">
        <v>68</v>
      </c>
      <c r="G28" s="58" t="s">
        <v>68</v>
      </c>
      <c r="H28" s="59">
        <v>96590</v>
      </c>
      <c r="I28" s="58">
        <v>67.5</v>
      </c>
      <c r="J28" s="59">
        <v>11810</v>
      </c>
      <c r="K28" s="58">
        <v>8.3000000000000007</v>
      </c>
      <c r="L28" s="64"/>
      <c r="M28" s="65"/>
      <c r="N28" s="62"/>
      <c r="O28" s="62"/>
      <c r="P28" s="59" t="s">
        <v>68</v>
      </c>
      <c r="Q28" s="58" t="s">
        <v>68</v>
      </c>
      <c r="R28" s="59" t="s">
        <v>68</v>
      </c>
      <c r="S28" s="58" t="s">
        <v>68</v>
      </c>
      <c r="T28" s="59" t="s">
        <v>68</v>
      </c>
      <c r="U28" s="58" t="s">
        <v>68</v>
      </c>
      <c r="V28" s="59">
        <v>146530</v>
      </c>
      <c r="W28" s="58">
        <v>102.4</v>
      </c>
      <c r="X28" s="59">
        <v>-3480</v>
      </c>
      <c r="Y28" s="58">
        <v>-2.4</v>
      </c>
      <c r="Z28" s="63">
        <v>143050</v>
      </c>
    </row>
    <row r="29" spans="1:26">
      <c r="A29" s="19">
        <v>1932</v>
      </c>
      <c r="B29" s="59">
        <v>19260</v>
      </c>
      <c r="C29" s="58">
        <v>13.5</v>
      </c>
      <c r="D29" s="59">
        <v>17110</v>
      </c>
      <c r="E29" s="58">
        <v>12</v>
      </c>
      <c r="F29" s="59" t="s">
        <v>68</v>
      </c>
      <c r="G29" s="58" t="s">
        <v>68</v>
      </c>
      <c r="H29" s="59">
        <v>95580</v>
      </c>
      <c r="I29" s="58">
        <v>66.900000000000006</v>
      </c>
      <c r="J29" s="59">
        <v>14280</v>
      </c>
      <c r="K29" s="58">
        <v>10</v>
      </c>
      <c r="L29" s="64"/>
      <c r="M29" s="65"/>
      <c r="N29" s="62"/>
      <c r="O29" s="62"/>
      <c r="P29" s="59" t="s">
        <v>68</v>
      </c>
      <c r="Q29" s="58" t="s">
        <v>68</v>
      </c>
      <c r="R29" s="59" t="s">
        <v>68</v>
      </c>
      <c r="S29" s="58" t="s">
        <v>68</v>
      </c>
      <c r="T29" s="59" t="s">
        <v>68</v>
      </c>
      <c r="U29" s="58" t="s">
        <v>68</v>
      </c>
      <c r="V29" s="59">
        <v>146230</v>
      </c>
      <c r="W29" s="58">
        <v>102.3</v>
      </c>
      <c r="X29" s="59">
        <v>-3340</v>
      </c>
      <c r="Y29" s="58">
        <v>-2.2999999999999998</v>
      </c>
      <c r="Z29" s="63">
        <v>142890</v>
      </c>
    </row>
    <row r="30" spans="1:26">
      <c r="A30" s="19">
        <v>1933</v>
      </c>
      <c r="B30" s="59">
        <v>19000</v>
      </c>
      <c r="C30" s="58">
        <v>13.6</v>
      </c>
      <c r="D30" s="59">
        <v>18020</v>
      </c>
      <c r="E30" s="58">
        <v>12.9</v>
      </c>
      <c r="F30" s="59" t="s">
        <v>68</v>
      </c>
      <c r="G30" s="58" t="s">
        <v>68</v>
      </c>
      <c r="H30" s="59">
        <v>91430</v>
      </c>
      <c r="I30" s="58">
        <v>65.400000000000006</v>
      </c>
      <c r="J30" s="59">
        <v>14850</v>
      </c>
      <c r="K30" s="58">
        <v>10.6</v>
      </c>
      <c r="L30" s="64"/>
      <c r="M30" s="65"/>
      <c r="N30" s="62"/>
      <c r="O30" s="62"/>
      <c r="P30" s="59" t="s">
        <v>68</v>
      </c>
      <c r="Q30" s="58" t="s">
        <v>68</v>
      </c>
      <c r="R30" s="59" t="s">
        <v>68</v>
      </c>
      <c r="S30" s="58" t="s">
        <v>68</v>
      </c>
      <c r="T30" s="59" t="s">
        <v>68</v>
      </c>
      <c r="U30" s="58" t="s">
        <v>68</v>
      </c>
      <c r="V30" s="59">
        <v>143300</v>
      </c>
      <c r="W30" s="58">
        <v>102.5</v>
      </c>
      <c r="X30" s="59">
        <v>-3540</v>
      </c>
      <c r="Y30" s="58">
        <v>-2.5</v>
      </c>
      <c r="Z30" s="63">
        <v>139760</v>
      </c>
    </row>
    <row r="31" spans="1:26">
      <c r="A31" s="19">
        <v>1934</v>
      </c>
      <c r="B31" s="59">
        <v>19060</v>
      </c>
      <c r="C31" s="58">
        <v>13.5</v>
      </c>
      <c r="D31" s="59">
        <v>19300</v>
      </c>
      <c r="E31" s="58">
        <v>13.7</v>
      </c>
      <c r="F31" s="59" t="s">
        <v>68</v>
      </c>
      <c r="G31" s="58" t="s">
        <v>68</v>
      </c>
      <c r="H31" s="59">
        <v>90880</v>
      </c>
      <c r="I31" s="58">
        <v>64.3</v>
      </c>
      <c r="J31" s="59">
        <v>16340</v>
      </c>
      <c r="K31" s="58">
        <v>11.6</v>
      </c>
      <c r="L31" s="64"/>
      <c r="M31" s="65"/>
      <c r="N31" s="62"/>
      <c r="O31" s="62"/>
      <c r="P31" s="59" t="s">
        <v>68</v>
      </c>
      <c r="Q31" s="58" t="s">
        <v>68</v>
      </c>
      <c r="R31" s="59" t="s">
        <v>68</v>
      </c>
      <c r="S31" s="58" t="s">
        <v>68</v>
      </c>
      <c r="T31" s="59" t="s">
        <v>68</v>
      </c>
      <c r="U31" s="58" t="s">
        <v>68</v>
      </c>
      <c r="V31" s="59">
        <v>145580</v>
      </c>
      <c r="W31" s="58">
        <v>103</v>
      </c>
      <c r="X31" s="59">
        <v>-4230</v>
      </c>
      <c r="Y31" s="58">
        <v>-3</v>
      </c>
      <c r="Z31" s="63">
        <v>141350</v>
      </c>
    </row>
    <row r="32" spans="1:26">
      <c r="A32" s="19">
        <v>1935</v>
      </c>
      <c r="B32" s="59">
        <v>19830</v>
      </c>
      <c r="C32" s="58">
        <v>14</v>
      </c>
      <c r="D32" s="59">
        <v>20940</v>
      </c>
      <c r="E32" s="58">
        <v>14.8</v>
      </c>
      <c r="F32" s="59" t="s">
        <v>68</v>
      </c>
      <c r="G32" s="58" t="s">
        <v>68</v>
      </c>
      <c r="H32" s="59">
        <v>89210</v>
      </c>
      <c r="I32" s="58">
        <v>63.2</v>
      </c>
      <c r="J32" s="59">
        <v>16350</v>
      </c>
      <c r="K32" s="58">
        <v>11.6</v>
      </c>
      <c r="L32" s="64"/>
      <c r="M32" s="65"/>
      <c r="N32" s="62"/>
      <c r="O32" s="62"/>
      <c r="P32" s="59" t="s">
        <v>68</v>
      </c>
      <c r="Q32" s="58" t="s">
        <v>68</v>
      </c>
      <c r="R32" s="59" t="s">
        <v>68</v>
      </c>
      <c r="S32" s="58" t="s">
        <v>68</v>
      </c>
      <c r="T32" s="59" t="s">
        <v>68</v>
      </c>
      <c r="U32" s="58" t="s">
        <v>68</v>
      </c>
      <c r="V32" s="59">
        <v>146330</v>
      </c>
      <c r="W32" s="58">
        <v>103.6</v>
      </c>
      <c r="X32" s="59">
        <v>-5090</v>
      </c>
      <c r="Y32" s="58">
        <v>-3.6</v>
      </c>
      <c r="Z32" s="63">
        <v>141240</v>
      </c>
    </row>
    <row r="33" spans="1:26">
      <c r="A33" s="19">
        <v>1936</v>
      </c>
      <c r="B33" s="59">
        <v>18100</v>
      </c>
      <c r="C33" s="58">
        <v>12.7</v>
      </c>
      <c r="D33" s="59">
        <v>22220</v>
      </c>
      <c r="E33" s="58">
        <v>15.6</v>
      </c>
      <c r="F33" s="59" t="s">
        <v>68</v>
      </c>
      <c r="G33" s="58" t="s">
        <v>68</v>
      </c>
      <c r="H33" s="59">
        <v>91970</v>
      </c>
      <c r="I33" s="58">
        <v>64.5</v>
      </c>
      <c r="J33" s="59">
        <v>15740</v>
      </c>
      <c r="K33" s="58">
        <v>11</v>
      </c>
      <c r="L33" s="64"/>
      <c r="M33" s="65"/>
      <c r="N33" s="62"/>
      <c r="O33" s="62"/>
      <c r="P33" s="59" t="s">
        <v>68</v>
      </c>
      <c r="Q33" s="58" t="s">
        <v>68</v>
      </c>
      <c r="R33" s="59" t="s">
        <v>68</v>
      </c>
      <c r="S33" s="58" t="s">
        <v>68</v>
      </c>
      <c r="T33" s="59" t="s">
        <v>68</v>
      </c>
      <c r="U33" s="58" t="s">
        <v>68</v>
      </c>
      <c r="V33" s="59">
        <v>148030</v>
      </c>
      <c r="W33" s="58">
        <v>103.8</v>
      </c>
      <c r="X33" s="59">
        <v>-5440</v>
      </c>
      <c r="Y33" s="58">
        <v>-3.8</v>
      </c>
      <c r="Z33" s="63">
        <v>142590</v>
      </c>
    </row>
    <row r="34" spans="1:26">
      <c r="A34" s="19">
        <v>1937</v>
      </c>
      <c r="B34" s="59">
        <v>18020</v>
      </c>
      <c r="C34" s="58">
        <v>12.1</v>
      </c>
      <c r="D34" s="59">
        <v>24870</v>
      </c>
      <c r="E34" s="58">
        <v>16.7</v>
      </c>
      <c r="F34" s="59" t="s">
        <v>68</v>
      </c>
      <c r="G34" s="58" t="s">
        <v>68</v>
      </c>
      <c r="H34" s="59">
        <v>95520</v>
      </c>
      <c r="I34" s="58">
        <v>64.3</v>
      </c>
      <c r="J34" s="59">
        <v>15490</v>
      </c>
      <c r="K34" s="58">
        <v>10.4</v>
      </c>
      <c r="L34" s="64"/>
      <c r="M34" s="65"/>
      <c r="N34" s="62"/>
      <c r="O34" s="62"/>
      <c r="P34" s="59" t="s">
        <v>68</v>
      </c>
      <c r="Q34" s="58" t="s">
        <v>68</v>
      </c>
      <c r="R34" s="59" t="s">
        <v>68</v>
      </c>
      <c r="S34" s="58" t="s">
        <v>68</v>
      </c>
      <c r="T34" s="59" t="s">
        <v>68</v>
      </c>
      <c r="U34" s="58" t="s">
        <v>68</v>
      </c>
      <c r="V34" s="59">
        <v>153900</v>
      </c>
      <c r="W34" s="58">
        <v>103.6</v>
      </c>
      <c r="X34" s="59">
        <v>-5400</v>
      </c>
      <c r="Y34" s="58">
        <v>-3.6</v>
      </c>
      <c r="Z34" s="63">
        <v>148500</v>
      </c>
    </row>
    <row r="35" spans="1:26">
      <c r="A35" s="19">
        <v>1938</v>
      </c>
      <c r="B35" s="59">
        <v>17950</v>
      </c>
      <c r="C35" s="58">
        <v>12</v>
      </c>
      <c r="D35" s="59">
        <v>24830</v>
      </c>
      <c r="E35" s="58">
        <v>16.600000000000001</v>
      </c>
      <c r="F35" s="59" t="s">
        <v>68</v>
      </c>
      <c r="G35" s="58" t="s">
        <v>68</v>
      </c>
      <c r="H35" s="59">
        <v>96210</v>
      </c>
      <c r="I35" s="58">
        <v>64.2</v>
      </c>
      <c r="J35" s="59">
        <v>16310</v>
      </c>
      <c r="K35" s="58">
        <v>10.9</v>
      </c>
      <c r="L35" s="64"/>
      <c r="M35" s="65"/>
      <c r="N35" s="62"/>
      <c r="O35" s="62"/>
      <c r="P35" s="59" t="s">
        <v>68</v>
      </c>
      <c r="Q35" s="58" t="s">
        <v>68</v>
      </c>
      <c r="R35" s="59" t="s">
        <v>68</v>
      </c>
      <c r="S35" s="58" t="s">
        <v>68</v>
      </c>
      <c r="T35" s="59" t="s">
        <v>68</v>
      </c>
      <c r="U35" s="58" t="s">
        <v>68</v>
      </c>
      <c r="V35" s="59">
        <v>155300</v>
      </c>
      <c r="W35" s="58">
        <v>103.6</v>
      </c>
      <c r="X35" s="59">
        <v>-5440</v>
      </c>
      <c r="Y35" s="58">
        <v>-3.6</v>
      </c>
      <c r="Z35" s="63">
        <v>149860</v>
      </c>
    </row>
    <row r="36" spans="1:26">
      <c r="A36" s="19">
        <v>1939</v>
      </c>
      <c r="B36" s="59">
        <v>18160</v>
      </c>
      <c r="C36" s="58">
        <v>11.9</v>
      </c>
      <c r="D36" s="59">
        <v>26830</v>
      </c>
      <c r="E36" s="58">
        <v>17.600000000000001</v>
      </c>
      <c r="F36" s="59" t="s">
        <v>68</v>
      </c>
      <c r="G36" s="58" t="s">
        <v>68</v>
      </c>
      <c r="H36" s="59">
        <v>96250</v>
      </c>
      <c r="I36" s="58">
        <v>63.3</v>
      </c>
      <c r="J36" s="59">
        <v>16730</v>
      </c>
      <c r="K36" s="58">
        <v>11</v>
      </c>
      <c r="L36" s="64"/>
      <c r="M36" s="65"/>
      <c r="N36" s="62"/>
      <c r="O36" s="62"/>
      <c r="P36" s="59" t="s">
        <v>68</v>
      </c>
      <c r="Q36" s="58" t="s">
        <v>68</v>
      </c>
      <c r="R36" s="59" t="s">
        <v>68</v>
      </c>
      <c r="S36" s="58" t="s">
        <v>68</v>
      </c>
      <c r="T36" s="59" t="s">
        <v>68</v>
      </c>
      <c r="U36" s="58" t="s">
        <v>68</v>
      </c>
      <c r="V36" s="59">
        <v>157970</v>
      </c>
      <c r="W36" s="58">
        <v>103.8</v>
      </c>
      <c r="X36" s="59">
        <v>-5810</v>
      </c>
      <c r="Y36" s="58">
        <v>-3.8</v>
      </c>
      <c r="Z36" s="63">
        <v>152160</v>
      </c>
    </row>
    <row r="37" spans="1:26">
      <c r="A37" s="19">
        <v>1940</v>
      </c>
      <c r="B37" s="59">
        <v>23120</v>
      </c>
      <c r="C37" s="58">
        <v>16.7</v>
      </c>
      <c r="D37" s="59">
        <v>28760</v>
      </c>
      <c r="E37" s="58">
        <v>20.8</v>
      </c>
      <c r="F37" s="59" t="s">
        <v>68</v>
      </c>
      <c r="G37" s="58" t="s">
        <v>68</v>
      </c>
      <c r="H37" s="59">
        <v>81470</v>
      </c>
      <c r="I37" s="58">
        <v>59</v>
      </c>
      <c r="J37" s="59">
        <v>10940</v>
      </c>
      <c r="K37" s="58">
        <v>7.9</v>
      </c>
      <c r="L37" s="64"/>
      <c r="M37" s="65"/>
      <c r="N37" s="62"/>
      <c r="O37" s="62"/>
      <c r="P37" s="59" t="s">
        <v>68</v>
      </c>
      <c r="Q37" s="58" t="s">
        <v>68</v>
      </c>
      <c r="R37" s="59" t="s">
        <v>68</v>
      </c>
      <c r="S37" s="58" t="s">
        <v>68</v>
      </c>
      <c r="T37" s="59" t="s">
        <v>68</v>
      </c>
      <c r="U37" s="58" t="s">
        <v>68</v>
      </c>
      <c r="V37" s="59">
        <v>144290</v>
      </c>
      <c r="W37" s="58">
        <v>104.5</v>
      </c>
      <c r="X37" s="59">
        <v>-6240</v>
      </c>
      <c r="Y37" s="58">
        <v>-4.5</v>
      </c>
      <c r="Z37" s="63">
        <v>138050</v>
      </c>
    </row>
    <row r="38" spans="1:26">
      <c r="A38" s="19">
        <v>1941</v>
      </c>
      <c r="B38" s="59">
        <v>31270</v>
      </c>
      <c r="C38" s="58">
        <v>23.9</v>
      </c>
      <c r="D38" s="59">
        <v>29300</v>
      </c>
      <c r="E38" s="58">
        <v>22.4</v>
      </c>
      <c r="F38" s="59" t="s">
        <v>68</v>
      </c>
      <c r="G38" s="58" t="s">
        <v>68</v>
      </c>
      <c r="H38" s="59">
        <v>71610</v>
      </c>
      <c r="I38" s="58">
        <v>54.7</v>
      </c>
      <c r="J38" s="59">
        <v>4210</v>
      </c>
      <c r="K38" s="58">
        <v>3.2</v>
      </c>
      <c r="L38" s="64"/>
      <c r="M38" s="65"/>
      <c r="N38" s="62"/>
      <c r="O38" s="62"/>
      <c r="P38" s="59" t="s">
        <v>68</v>
      </c>
      <c r="Q38" s="58" t="s">
        <v>68</v>
      </c>
      <c r="R38" s="59" t="s">
        <v>68</v>
      </c>
      <c r="S38" s="58" t="s">
        <v>68</v>
      </c>
      <c r="T38" s="59" t="s">
        <v>68</v>
      </c>
      <c r="U38" s="58" t="s">
        <v>68</v>
      </c>
      <c r="V38" s="59">
        <v>136390</v>
      </c>
      <c r="W38" s="58">
        <v>104.2</v>
      </c>
      <c r="X38" s="59">
        <v>-5550</v>
      </c>
      <c r="Y38" s="58">
        <v>-4.2</v>
      </c>
      <c r="Z38" s="63">
        <v>130840</v>
      </c>
    </row>
    <row r="39" spans="1:26">
      <c r="A39" s="19">
        <v>1942</v>
      </c>
      <c r="B39" s="59">
        <v>30830</v>
      </c>
      <c r="C39" s="58">
        <v>24.7</v>
      </c>
      <c r="D39" s="59">
        <v>29060</v>
      </c>
      <c r="E39" s="58">
        <v>23.3</v>
      </c>
      <c r="F39" s="59" t="s">
        <v>68</v>
      </c>
      <c r="G39" s="58" t="s">
        <v>68</v>
      </c>
      <c r="H39" s="59">
        <v>66790</v>
      </c>
      <c r="I39" s="58">
        <v>53.6</v>
      </c>
      <c r="J39" s="59">
        <v>3210</v>
      </c>
      <c r="K39" s="58">
        <v>2.6</v>
      </c>
      <c r="L39" s="64"/>
      <c r="M39" s="65"/>
      <c r="N39" s="62"/>
      <c r="O39" s="62"/>
      <c r="P39" s="59" t="s">
        <v>68</v>
      </c>
      <c r="Q39" s="58" t="s">
        <v>68</v>
      </c>
      <c r="R39" s="59" t="s">
        <v>68</v>
      </c>
      <c r="S39" s="58" t="s">
        <v>68</v>
      </c>
      <c r="T39" s="59" t="s">
        <v>68</v>
      </c>
      <c r="U39" s="58" t="s">
        <v>68</v>
      </c>
      <c r="V39" s="59">
        <v>129890</v>
      </c>
      <c r="W39" s="58">
        <v>104.3</v>
      </c>
      <c r="X39" s="59">
        <v>-5300</v>
      </c>
      <c r="Y39" s="58">
        <v>-4.3</v>
      </c>
      <c r="Z39" s="63">
        <v>124590</v>
      </c>
    </row>
    <row r="40" spans="1:26">
      <c r="A40" s="19">
        <v>1943</v>
      </c>
      <c r="B40" s="59">
        <v>31270</v>
      </c>
      <c r="C40" s="58">
        <v>26.2</v>
      </c>
      <c r="D40" s="59">
        <v>30930</v>
      </c>
      <c r="E40" s="58">
        <v>25.9</v>
      </c>
      <c r="F40" s="59" t="s">
        <v>68</v>
      </c>
      <c r="G40" s="58" t="s">
        <v>68</v>
      </c>
      <c r="H40" s="59">
        <v>59450</v>
      </c>
      <c r="I40" s="58">
        <v>49.8</v>
      </c>
      <c r="J40" s="59">
        <v>2700</v>
      </c>
      <c r="K40" s="58">
        <v>2.2999999999999998</v>
      </c>
      <c r="L40" s="64"/>
      <c r="M40" s="65"/>
      <c r="N40" s="62"/>
      <c r="O40" s="62"/>
      <c r="P40" s="59" t="s">
        <v>68</v>
      </c>
      <c r="Q40" s="58" t="s">
        <v>68</v>
      </c>
      <c r="R40" s="59" t="s">
        <v>68</v>
      </c>
      <c r="S40" s="58" t="s">
        <v>68</v>
      </c>
      <c r="T40" s="59" t="s">
        <v>68</v>
      </c>
      <c r="U40" s="58" t="s">
        <v>68</v>
      </c>
      <c r="V40" s="59">
        <v>124350</v>
      </c>
      <c r="W40" s="58">
        <v>104.1</v>
      </c>
      <c r="X40" s="59">
        <v>-4890</v>
      </c>
      <c r="Y40" s="58">
        <v>-4.0999999999999996</v>
      </c>
      <c r="Z40" s="63">
        <v>119460</v>
      </c>
    </row>
    <row r="41" spans="1:26">
      <c r="A41" s="19">
        <v>1944</v>
      </c>
      <c r="B41" s="59">
        <v>30260</v>
      </c>
      <c r="C41" s="58">
        <v>27.5</v>
      </c>
      <c r="D41" s="59">
        <v>32140</v>
      </c>
      <c r="E41" s="58">
        <v>29.2</v>
      </c>
      <c r="F41" s="59" t="s">
        <v>68</v>
      </c>
      <c r="G41" s="58" t="s">
        <v>68</v>
      </c>
      <c r="H41" s="59">
        <v>49650</v>
      </c>
      <c r="I41" s="58">
        <v>45</v>
      </c>
      <c r="J41" s="59">
        <v>2280</v>
      </c>
      <c r="K41" s="58">
        <v>2.1</v>
      </c>
      <c r="L41" s="64"/>
      <c r="M41" s="65"/>
      <c r="N41" s="62"/>
      <c r="O41" s="62"/>
      <c r="P41" s="59" t="s">
        <v>68</v>
      </c>
      <c r="Q41" s="58" t="s">
        <v>68</v>
      </c>
      <c r="R41" s="59" t="s">
        <v>68</v>
      </c>
      <c r="S41" s="58" t="s">
        <v>68</v>
      </c>
      <c r="T41" s="59" t="s">
        <v>68</v>
      </c>
      <c r="U41" s="58" t="s">
        <v>68</v>
      </c>
      <c r="V41" s="59">
        <v>114330</v>
      </c>
      <c r="W41" s="58">
        <v>103.7</v>
      </c>
      <c r="X41" s="59">
        <v>-4110</v>
      </c>
      <c r="Y41" s="58">
        <v>-3.7</v>
      </c>
      <c r="Z41" s="63">
        <v>110220</v>
      </c>
    </row>
    <row r="42" spans="1:26">
      <c r="A42" s="19">
        <v>1945</v>
      </c>
      <c r="B42" s="59">
        <v>32920</v>
      </c>
      <c r="C42" s="58">
        <v>29.1</v>
      </c>
      <c r="D42" s="59">
        <v>34280</v>
      </c>
      <c r="E42" s="58">
        <v>30.3</v>
      </c>
      <c r="F42" s="59" t="s">
        <v>68</v>
      </c>
      <c r="G42" s="58" t="s">
        <v>68</v>
      </c>
      <c r="H42" s="59">
        <v>47010</v>
      </c>
      <c r="I42" s="58">
        <v>41.6</v>
      </c>
      <c r="J42" s="59">
        <v>1260</v>
      </c>
      <c r="K42" s="58">
        <v>1.1000000000000001</v>
      </c>
      <c r="L42" s="64"/>
      <c r="M42" s="65"/>
      <c r="N42" s="62"/>
      <c r="O42" s="62"/>
      <c r="P42" s="59" t="s">
        <v>68</v>
      </c>
      <c r="Q42" s="58" t="s">
        <v>68</v>
      </c>
      <c r="R42" s="59" t="s">
        <v>68</v>
      </c>
      <c r="S42" s="58" t="s">
        <v>68</v>
      </c>
      <c r="T42" s="59" t="s">
        <v>68</v>
      </c>
      <c r="U42" s="58" t="s">
        <v>68</v>
      </c>
      <c r="V42" s="59">
        <v>115470</v>
      </c>
      <c r="W42" s="58">
        <v>102.1</v>
      </c>
      <c r="X42" s="59">
        <v>-2370</v>
      </c>
      <c r="Y42" s="58">
        <v>-2.1</v>
      </c>
      <c r="Z42" s="63">
        <v>113100</v>
      </c>
    </row>
    <row r="43" spans="1:26">
      <c r="A43" s="19">
        <v>1946</v>
      </c>
      <c r="B43" s="59">
        <v>34230</v>
      </c>
      <c r="C43" s="58">
        <v>24.7</v>
      </c>
      <c r="D43" s="59">
        <v>36150</v>
      </c>
      <c r="E43" s="58">
        <v>26.1</v>
      </c>
      <c r="F43" s="59" t="s">
        <v>68</v>
      </c>
      <c r="G43" s="58" t="s">
        <v>68</v>
      </c>
      <c r="H43" s="59">
        <v>54940</v>
      </c>
      <c r="I43" s="58">
        <v>39.6</v>
      </c>
      <c r="J43" s="59">
        <v>15520</v>
      </c>
      <c r="K43" s="58">
        <v>11.2</v>
      </c>
      <c r="L43" s="64"/>
      <c r="M43" s="65"/>
      <c r="N43" s="62"/>
      <c r="O43" s="62"/>
      <c r="P43" s="59" t="s">
        <v>68</v>
      </c>
      <c r="Q43" s="58" t="s">
        <v>68</v>
      </c>
      <c r="R43" s="59" t="s">
        <v>68</v>
      </c>
      <c r="S43" s="58" t="s">
        <v>68</v>
      </c>
      <c r="T43" s="59" t="s">
        <v>68</v>
      </c>
      <c r="U43" s="58" t="s">
        <v>68</v>
      </c>
      <c r="V43" s="59">
        <v>140840</v>
      </c>
      <c r="W43" s="58">
        <v>101.5</v>
      </c>
      <c r="X43" s="59">
        <v>-2130</v>
      </c>
      <c r="Y43" s="58">
        <v>-1.5</v>
      </c>
      <c r="Z43" s="63">
        <v>138710</v>
      </c>
    </row>
    <row r="44" spans="1:26">
      <c r="A44" s="19">
        <v>1947</v>
      </c>
      <c r="B44" s="59">
        <v>22310</v>
      </c>
      <c r="C44" s="58">
        <v>15</v>
      </c>
      <c r="D44" s="59">
        <v>34120</v>
      </c>
      <c r="E44" s="58">
        <v>22.9</v>
      </c>
      <c r="F44" s="59" t="s">
        <v>68</v>
      </c>
      <c r="G44" s="58" t="s">
        <v>68</v>
      </c>
      <c r="H44" s="59">
        <v>64830</v>
      </c>
      <c r="I44" s="58">
        <v>43.4</v>
      </c>
      <c r="J44" s="59">
        <v>29530</v>
      </c>
      <c r="K44" s="58">
        <v>19.8</v>
      </c>
      <c r="L44" s="64"/>
      <c r="M44" s="65"/>
      <c r="N44" s="62"/>
      <c r="O44" s="62"/>
      <c r="P44" s="59" t="s">
        <v>68</v>
      </c>
      <c r="Q44" s="58" t="s">
        <v>68</v>
      </c>
      <c r="R44" s="59" t="s">
        <v>68</v>
      </c>
      <c r="S44" s="58" t="s">
        <v>68</v>
      </c>
      <c r="T44" s="59" t="s">
        <v>68</v>
      </c>
      <c r="U44" s="58" t="s">
        <v>68</v>
      </c>
      <c r="V44" s="59">
        <v>150790</v>
      </c>
      <c r="W44" s="58">
        <v>101</v>
      </c>
      <c r="X44" s="59">
        <v>-1560</v>
      </c>
      <c r="Y44" s="58">
        <v>-1</v>
      </c>
      <c r="Z44" s="63">
        <v>149230</v>
      </c>
    </row>
    <row r="45" spans="1:26">
      <c r="A45" s="19">
        <v>1948</v>
      </c>
      <c r="B45" s="59">
        <v>23030</v>
      </c>
      <c r="C45" s="58">
        <v>14.4</v>
      </c>
      <c r="D45" s="59">
        <v>38170</v>
      </c>
      <c r="E45" s="58">
        <v>23.9</v>
      </c>
      <c r="F45" s="59" t="s">
        <v>68</v>
      </c>
      <c r="G45" s="58" t="s">
        <v>68</v>
      </c>
      <c r="H45" s="59">
        <v>69400</v>
      </c>
      <c r="I45" s="58">
        <v>43.4</v>
      </c>
      <c r="J45" s="59">
        <v>30540</v>
      </c>
      <c r="K45" s="58">
        <v>19.100000000000001</v>
      </c>
      <c r="L45" s="64"/>
      <c r="M45" s="65"/>
      <c r="N45" s="62"/>
      <c r="O45" s="62"/>
      <c r="P45" s="59" t="s">
        <v>68</v>
      </c>
      <c r="Q45" s="58" t="s">
        <v>68</v>
      </c>
      <c r="R45" s="59" t="s">
        <v>68</v>
      </c>
      <c r="S45" s="58" t="s">
        <v>68</v>
      </c>
      <c r="T45" s="59" t="s">
        <v>68</v>
      </c>
      <c r="U45" s="58" t="s">
        <v>68</v>
      </c>
      <c r="V45" s="59">
        <v>161140</v>
      </c>
      <c r="W45" s="58">
        <v>100.8</v>
      </c>
      <c r="X45" s="59">
        <v>-1220</v>
      </c>
      <c r="Y45" s="58">
        <v>-0.8</v>
      </c>
      <c r="Z45" s="63">
        <v>159920</v>
      </c>
    </row>
    <row r="46" spans="1:26">
      <c r="A46" s="19">
        <v>1949</v>
      </c>
      <c r="B46" s="59">
        <v>20730</v>
      </c>
      <c r="C46" s="58">
        <v>13.1</v>
      </c>
      <c r="D46" s="59">
        <v>33510</v>
      </c>
      <c r="E46" s="58">
        <v>21.2</v>
      </c>
      <c r="F46" s="59" t="s">
        <v>68</v>
      </c>
      <c r="G46" s="58" t="s">
        <v>68</v>
      </c>
      <c r="H46" s="59">
        <v>69220</v>
      </c>
      <c r="I46" s="58">
        <v>43.8</v>
      </c>
      <c r="J46" s="59">
        <v>35400</v>
      </c>
      <c r="K46" s="58">
        <v>22.4</v>
      </c>
      <c r="L46" s="64"/>
      <c r="M46" s="65"/>
      <c r="N46" s="62"/>
      <c r="O46" s="62"/>
      <c r="P46" s="59" t="s">
        <v>68</v>
      </c>
      <c r="Q46" s="58" t="s">
        <v>68</v>
      </c>
      <c r="R46" s="59" t="s">
        <v>68</v>
      </c>
      <c r="S46" s="58" t="s">
        <v>68</v>
      </c>
      <c r="T46" s="59" t="s">
        <v>68</v>
      </c>
      <c r="U46" s="58" t="s">
        <v>68</v>
      </c>
      <c r="V46" s="59">
        <v>158860</v>
      </c>
      <c r="W46" s="58">
        <v>100.6</v>
      </c>
      <c r="X46" s="59">
        <v>-1000</v>
      </c>
      <c r="Y46" s="58">
        <v>-0.6</v>
      </c>
      <c r="Z46" s="63">
        <v>157860</v>
      </c>
    </row>
    <row r="47" spans="1:26">
      <c r="A47" s="19">
        <v>1950</v>
      </c>
      <c r="B47" s="59">
        <v>21720</v>
      </c>
      <c r="C47" s="58">
        <v>12.1</v>
      </c>
      <c r="D47" s="59">
        <v>39100</v>
      </c>
      <c r="E47" s="58">
        <v>21.8</v>
      </c>
      <c r="F47" s="59" t="s">
        <v>68</v>
      </c>
      <c r="G47" s="58" t="s">
        <v>68</v>
      </c>
      <c r="H47" s="59">
        <v>77000</v>
      </c>
      <c r="I47" s="58">
        <v>42.9</v>
      </c>
      <c r="J47" s="59">
        <v>43820</v>
      </c>
      <c r="K47" s="58">
        <v>24.4</v>
      </c>
      <c r="L47" s="64"/>
      <c r="M47" s="65"/>
      <c r="N47" s="62"/>
      <c r="O47" s="62"/>
      <c r="P47" s="59" t="s">
        <v>68</v>
      </c>
      <c r="Q47" s="58" t="s">
        <v>68</v>
      </c>
      <c r="R47" s="59" t="s">
        <v>68</v>
      </c>
      <c r="S47" s="58" t="s">
        <v>68</v>
      </c>
      <c r="T47" s="59" t="s">
        <v>68</v>
      </c>
      <c r="U47" s="58" t="s">
        <v>68</v>
      </c>
      <c r="V47" s="59">
        <v>181640</v>
      </c>
      <c r="W47" s="58">
        <v>101.3</v>
      </c>
      <c r="X47" s="59">
        <v>-2310</v>
      </c>
      <c r="Y47" s="58">
        <v>-1.3</v>
      </c>
      <c r="Z47" s="63">
        <v>179330</v>
      </c>
    </row>
    <row r="48" spans="1:26">
      <c r="A48" s="19">
        <v>1951</v>
      </c>
      <c r="B48" s="59">
        <v>21550</v>
      </c>
      <c r="C48" s="58">
        <v>11.2</v>
      </c>
      <c r="D48" s="59">
        <v>44440</v>
      </c>
      <c r="E48" s="58">
        <v>23.1</v>
      </c>
      <c r="F48" s="59" t="s">
        <v>68</v>
      </c>
      <c r="G48" s="58" t="s">
        <v>68</v>
      </c>
      <c r="H48" s="59">
        <v>81540</v>
      </c>
      <c r="I48" s="58">
        <v>42.4</v>
      </c>
      <c r="J48" s="59">
        <v>47300</v>
      </c>
      <c r="K48" s="58">
        <v>24.6</v>
      </c>
      <c r="L48" s="64"/>
      <c r="M48" s="65"/>
      <c r="N48" s="62"/>
      <c r="O48" s="62"/>
      <c r="P48" s="59" t="s">
        <v>68</v>
      </c>
      <c r="Q48" s="58" t="s">
        <v>68</v>
      </c>
      <c r="R48" s="59" t="s">
        <v>68</v>
      </c>
      <c r="S48" s="58" t="s">
        <v>68</v>
      </c>
      <c r="T48" s="59" t="s">
        <v>68</v>
      </c>
      <c r="U48" s="58" t="s">
        <v>68</v>
      </c>
      <c r="V48" s="59">
        <v>194830</v>
      </c>
      <c r="W48" s="58">
        <v>101.2</v>
      </c>
      <c r="X48" s="59">
        <v>-2380</v>
      </c>
      <c r="Y48" s="58">
        <v>-1.2</v>
      </c>
      <c r="Z48" s="63">
        <v>192450</v>
      </c>
    </row>
    <row r="49" spans="1:26">
      <c r="A49" s="19">
        <v>1952</v>
      </c>
      <c r="B49" s="59">
        <v>21320</v>
      </c>
      <c r="C49" s="58">
        <v>10.6</v>
      </c>
      <c r="D49" s="59">
        <v>47060</v>
      </c>
      <c r="E49" s="58">
        <v>23.5</v>
      </c>
      <c r="F49" s="59" t="s">
        <v>68</v>
      </c>
      <c r="G49" s="58" t="s">
        <v>68</v>
      </c>
      <c r="H49" s="59">
        <v>84230</v>
      </c>
      <c r="I49" s="58">
        <v>42</v>
      </c>
      <c r="J49" s="59">
        <v>51260</v>
      </c>
      <c r="K49" s="58">
        <v>25.6</v>
      </c>
      <c r="L49" s="64"/>
      <c r="M49" s="65"/>
      <c r="N49" s="62"/>
      <c r="O49" s="62"/>
      <c r="P49" s="59" t="s">
        <v>68</v>
      </c>
      <c r="Q49" s="58" t="s">
        <v>68</v>
      </c>
      <c r="R49" s="59" t="s">
        <v>68</v>
      </c>
      <c r="S49" s="58" t="s">
        <v>68</v>
      </c>
      <c r="T49" s="59" t="s">
        <v>68</v>
      </c>
      <c r="U49" s="58" t="s">
        <v>68</v>
      </c>
      <c r="V49" s="59">
        <v>203870</v>
      </c>
      <c r="W49" s="58">
        <v>101.8</v>
      </c>
      <c r="X49" s="59">
        <v>-3550</v>
      </c>
      <c r="Y49" s="58">
        <v>-1.8</v>
      </c>
      <c r="Z49" s="63">
        <v>200320</v>
      </c>
    </row>
    <row r="50" spans="1:26">
      <c r="A50" s="19">
        <v>1953</v>
      </c>
      <c r="B50" s="59">
        <v>19940</v>
      </c>
      <c r="C50" s="58">
        <v>10.4</v>
      </c>
      <c r="D50" s="59">
        <v>47820</v>
      </c>
      <c r="E50" s="58">
        <v>24.9</v>
      </c>
      <c r="F50" s="59" t="s">
        <v>68</v>
      </c>
      <c r="G50" s="58" t="s">
        <v>68</v>
      </c>
      <c r="H50" s="59">
        <v>71450</v>
      </c>
      <c r="I50" s="58">
        <v>37.1</v>
      </c>
      <c r="J50" s="59">
        <v>56140</v>
      </c>
      <c r="K50" s="58">
        <v>29.2</v>
      </c>
      <c r="L50" s="64"/>
      <c r="M50" s="65"/>
      <c r="N50" s="62"/>
      <c r="O50" s="62"/>
      <c r="P50" s="59" t="s">
        <v>68</v>
      </c>
      <c r="Q50" s="58" t="s">
        <v>68</v>
      </c>
      <c r="R50" s="59" t="s">
        <v>68</v>
      </c>
      <c r="S50" s="58" t="s">
        <v>68</v>
      </c>
      <c r="T50" s="59" t="s">
        <v>68</v>
      </c>
      <c r="U50" s="58" t="s">
        <v>68</v>
      </c>
      <c r="V50" s="59">
        <v>195350</v>
      </c>
      <c r="W50" s="58">
        <v>101.5</v>
      </c>
      <c r="X50" s="59">
        <v>-2940</v>
      </c>
      <c r="Y50" s="58">
        <v>-1.5</v>
      </c>
      <c r="Z50" s="63">
        <v>192410</v>
      </c>
    </row>
    <row r="51" spans="1:26">
      <c r="A51" s="19">
        <v>1954</v>
      </c>
      <c r="B51" s="59">
        <v>18280</v>
      </c>
      <c r="C51" s="58">
        <v>8.5</v>
      </c>
      <c r="D51" s="59">
        <v>47700</v>
      </c>
      <c r="E51" s="58">
        <v>22.2</v>
      </c>
      <c r="F51" s="59" t="s">
        <v>68</v>
      </c>
      <c r="G51" s="58" t="s">
        <v>68</v>
      </c>
      <c r="H51" s="59">
        <v>81520</v>
      </c>
      <c r="I51" s="58">
        <v>37.9</v>
      </c>
      <c r="J51" s="59">
        <v>68920</v>
      </c>
      <c r="K51" s="58">
        <v>32</v>
      </c>
      <c r="L51" s="64"/>
      <c r="M51" s="65"/>
      <c r="N51" s="62"/>
      <c r="O51" s="62"/>
      <c r="P51" s="59" t="s">
        <v>68</v>
      </c>
      <c r="Q51" s="58" t="s">
        <v>68</v>
      </c>
      <c r="R51" s="59" t="s">
        <v>68</v>
      </c>
      <c r="S51" s="58" t="s">
        <v>68</v>
      </c>
      <c r="T51" s="59" t="s">
        <v>68</v>
      </c>
      <c r="U51" s="58" t="s">
        <v>68</v>
      </c>
      <c r="V51" s="59">
        <v>216420</v>
      </c>
      <c r="W51" s="58">
        <v>100.5</v>
      </c>
      <c r="X51" s="59">
        <v>-1080</v>
      </c>
      <c r="Y51" s="58">
        <v>-0.5</v>
      </c>
      <c r="Z51" s="63">
        <v>215340</v>
      </c>
    </row>
    <row r="52" spans="1:26">
      <c r="A52" s="19">
        <v>1955</v>
      </c>
      <c r="B52" s="59">
        <v>18120</v>
      </c>
      <c r="C52" s="58">
        <v>7.7</v>
      </c>
      <c r="D52" s="59">
        <v>55070</v>
      </c>
      <c r="E52" s="58">
        <v>23.5</v>
      </c>
      <c r="F52" s="59" t="s">
        <v>68</v>
      </c>
      <c r="G52" s="58" t="s">
        <v>68</v>
      </c>
      <c r="H52" s="59">
        <v>84990</v>
      </c>
      <c r="I52" s="58">
        <v>36.299999999999997</v>
      </c>
      <c r="J52" s="59">
        <v>79920</v>
      </c>
      <c r="K52" s="58">
        <v>34.1</v>
      </c>
      <c r="L52" s="64"/>
      <c r="M52" s="65"/>
      <c r="N52" s="62"/>
      <c r="O52" s="62"/>
      <c r="P52" s="59" t="s">
        <v>68</v>
      </c>
      <c r="Q52" s="58" t="s">
        <v>68</v>
      </c>
      <c r="R52" s="59" t="s">
        <v>68</v>
      </c>
      <c r="S52" s="58" t="s">
        <v>68</v>
      </c>
      <c r="T52" s="59" t="s">
        <v>68</v>
      </c>
      <c r="U52" s="58" t="s">
        <v>68</v>
      </c>
      <c r="V52" s="59">
        <v>238100</v>
      </c>
      <c r="W52" s="58">
        <v>101.7</v>
      </c>
      <c r="X52" s="59">
        <v>-4050</v>
      </c>
      <c r="Y52" s="58">
        <v>-1.7</v>
      </c>
      <c r="Z52" s="63">
        <v>234050</v>
      </c>
    </row>
    <row r="53" spans="1:26">
      <c r="A53" s="19">
        <v>1956</v>
      </c>
      <c r="B53" s="59">
        <v>17250</v>
      </c>
      <c r="C53" s="58">
        <v>6.5</v>
      </c>
      <c r="D53" s="59">
        <v>54300</v>
      </c>
      <c r="E53" s="58">
        <v>20.6</v>
      </c>
      <c r="F53" s="59" t="s">
        <v>68</v>
      </c>
      <c r="G53" s="58" t="s">
        <v>68</v>
      </c>
      <c r="H53" s="59">
        <v>91280</v>
      </c>
      <c r="I53" s="58">
        <v>34.5</v>
      </c>
      <c r="J53" s="59">
        <v>103240</v>
      </c>
      <c r="K53" s="58">
        <v>39.1</v>
      </c>
      <c r="L53" s="64"/>
      <c r="M53" s="65"/>
      <c r="N53" s="62"/>
      <c r="O53" s="62"/>
      <c r="P53" s="59" t="s">
        <v>68</v>
      </c>
      <c r="Q53" s="58" t="s">
        <v>68</v>
      </c>
      <c r="R53" s="59" t="s">
        <v>68</v>
      </c>
      <c r="S53" s="58" t="s">
        <v>68</v>
      </c>
      <c r="T53" s="59" t="s">
        <v>68</v>
      </c>
      <c r="U53" s="58" t="s">
        <v>68</v>
      </c>
      <c r="V53" s="59">
        <v>266070</v>
      </c>
      <c r="W53" s="58">
        <v>100.7</v>
      </c>
      <c r="X53" s="59">
        <v>-1850</v>
      </c>
      <c r="Y53" s="58">
        <v>-0.7</v>
      </c>
      <c r="Z53" s="63">
        <v>264220</v>
      </c>
    </row>
    <row r="54" spans="1:26">
      <c r="A54" s="19">
        <v>1957</v>
      </c>
      <c r="B54" s="59">
        <v>17820</v>
      </c>
      <c r="C54" s="58">
        <v>6.9</v>
      </c>
      <c r="D54" s="59">
        <v>55560</v>
      </c>
      <c r="E54" s="58">
        <v>21.4</v>
      </c>
      <c r="F54" s="59" t="s">
        <v>68</v>
      </c>
      <c r="G54" s="58" t="s">
        <v>68</v>
      </c>
      <c r="H54" s="59">
        <v>84820</v>
      </c>
      <c r="I54" s="58">
        <v>32.700000000000003</v>
      </c>
      <c r="J54" s="59">
        <v>102470</v>
      </c>
      <c r="K54" s="58">
        <v>39.5</v>
      </c>
      <c r="L54" s="64"/>
      <c r="M54" s="65"/>
      <c r="N54" s="62"/>
      <c r="O54" s="62"/>
      <c r="P54" s="59" t="s">
        <v>68</v>
      </c>
      <c r="Q54" s="58" t="s">
        <v>68</v>
      </c>
      <c r="R54" s="59" t="s">
        <v>68</v>
      </c>
      <c r="S54" s="58" t="s">
        <v>68</v>
      </c>
      <c r="T54" s="59" t="s">
        <v>68</v>
      </c>
      <c r="U54" s="58" t="s">
        <v>68</v>
      </c>
      <c r="V54" s="59">
        <v>260670</v>
      </c>
      <c r="W54" s="58">
        <v>100.4</v>
      </c>
      <c r="X54" s="59">
        <v>-1130</v>
      </c>
      <c r="Y54" s="58">
        <v>-0.4</v>
      </c>
      <c r="Z54" s="63">
        <v>259540</v>
      </c>
    </row>
    <row r="55" spans="1:26">
      <c r="A55" s="19">
        <v>1958</v>
      </c>
      <c r="B55" s="59">
        <v>16560</v>
      </c>
      <c r="C55" s="58">
        <v>6.1</v>
      </c>
      <c r="D55" s="59">
        <v>63850</v>
      </c>
      <c r="E55" s="58">
        <v>23.6</v>
      </c>
      <c r="F55" s="59" t="s">
        <v>68</v>
      </c>
      <c r="G55" s="58" t="s">
        <v>68</v>
      </c>
      <c r="H55" s="59">
        <v>77010</v>
      </c>
      <c r="I55" s="58">
        <v>28.5</v>
      </c>
      <c r="J55" s="59">
        <v>119370</v>
      </c>
      <c r="K55" s="58">
        <v>44.2</v>
      </c>
      <c r="L55" s="64"/>
      <c r="M55" s="65"/>
      <c r="N55" s="62"/>
      <c r="O55" s="62"/>
      <c r="P55" s="59" t="s">
        <v>68</v>
      </c>
      <c r="Q55" s="58" t="s">
        <v>68</v>
      </c>
      <c r="R55" s="59" t="s">
        <v>68</v>
      </c>
      <c r="S55" s="58" t="s">
        <v>68</v>
      </c>
      <c r="T55" s="59" t="s">
        <v>68</v>
      </c>
      <c r="U55" s="58" t="s">
        <v>68</v>
      </c>
      <c r="V55" s="59">
        <v>276790</v>
      </c>
      <c r="W55" s="58">
        <v>102.5</v>
      </c>
      <c r="X55" s="59">
        <v>-6740</v>
      </c>
      <c r="Y55" s="58">
        <v>-2.5</v>
      </c>
      <c r="Z55" s="63">
        <v>270050</v>
      </c>
    </row>
    <row r="56" spans="1:26">
      <c r="A56" s="19">
        <v>1959</v>
      </c>
      <c r="B56" s="59">
        <v>15110</v>
      </c>
      <c r="C56" s="58">
        <v>5.4</v>
      </c>
      <c r="D56" s="59">
        <v>62610</v>
      </c>
      <c r="E56" s="58">
        <v>22.4</v>
      </c>
      <c r="F56" s="59" t="s">
        <v>68</v>
      </c>
      <c r="G56" s="58" t="s">
        <v>68</v>
      </c>
      <c r="H56" s="59">
        <v>78150</v>
      </c>
      <c r="I56" s="58">
        <v>27.9</v>
      </c>
      <c r="J56" s="59">
        <v>128060</v>
      </c>
      <c r="K56" s="58">
        <v>45.7</v>
      </c>
      <c r="L56" s="64"/>
      <c r="M56" s="65"/>
      <c r="N56" s="62"/>
      <c r="O56" s="62"/>
      <c r="P56" s="59" t="s">
        <v>68</v>
      </c>
      <c r="Q56" s="58" t="s">
        <v>68</v>
      </c>
      <c r="R56" s="59" t="s">
        <v>68</v>
      </c>
      <c r="S56" s="58" t="s">
        <v>68</v>
      </c>
      <c r="T56" s="59" t="s">
        <v>68</v>
      </c>
      <c r="U56" s="58" t="s">
        <v>68</v>
      </c>
      <c r="V56" s="59">
        <v>283930</v>
      </c>
      <c r="W56" s="58">
        <v>101.4</v>
      </c>
      <c r="X56" s="59">
        <v>-3940</v>
      </c>
      <c r="Y56" s="58">
        <v>-1.4</v>
      </c>
      <c r="Z56" s="63">
        <v>279990</v>
      </c>
    </row>
    <row r="57" spans="1:26">
      <c r="A57" s="19">
        <v>1960</v>
      </c>
      <c r="B57" s="59">
        <v>14520</v>
      </c>
      <c r="C57" s="58">
        <v>4.7</v>
      </c>
      <c r="D57" s="59">
        <v>73810</v>
      </c>
      <c r="E57" s="58">
        <v>23.8</v>
      </c>
      <c r="F57" s="59" t="s">
        <v>68</v>
      </c>
      <c r="G57" s="58" t="s">
        <v>68</v>
      </c>
      <c r="H57" s="59">
        <v>77990</v>
      </c>
      <c r="I57" s="58">
        <v>25.2</v>
      </c>
      <c r="J57" s="59">
        <v>152500</v>
      </c>
      <c r="K57" s="58">
        <v>49.2</v>
      </c>
      <c r="L57" s="64"/>
      <c r="M57" s="65"/>
      <c r="N57" s="62"/>
      <c r="O57" s="62"/>
      <c r="P57" s="59" t="s">
        <v>68</v>
      </c>
      <c r="Q57" s="58" t="s">
        <v>68</v>
      </c>
      <c r="R57" s="59" t="s">
        <v>68</v>
      </c>
      <c r="S57" s="58" t="s">
        <v>68</v>
      </c>
      <c r="T57" s="59" t="s">
        <v>68</v>
      </c>
      <c r="U57" s="58" t="s">
        <v>68</v>
      </c>
      <c r="V57" s="59">
        <v>318820</v>
      </c>
      <c r="W57" s="58">
        <v>102.9</v>
      </c>
      <c r="X57" s="59">
        <v>-9060</v>
      </c>
      <c r="Y57" s="58">
        <v>-2.9</v>
      </c>
      <c r="Z57" s="63">
        <v>309760</v>
      </c>
    </row>
    <row r="58" spans="1:26">
      <c r="A58" s="19">
        <v>1961</v>
      </c>
      <c r="B58" s="59">
        <v>14170</v>
      </c>
      <c r="C58" s="58">
        <v>4.3</v>
      </c>
      <c r="D58" s="59">
        <v>77490</v>
      </c>
      <c r="E58" s="58">
        <v>23.7</v>
      </c>
      <c r="F58" s="59" t="s">
        <v>68</v>
      </c>
      <c r="G58" s="58" t="s">
        <v>68</v>
      </c>
      <c r="H58" s="59">
        <v>73020</v>
      </c>
      <c r="I58" s="58">
        <v>22.4</v>
      </c>
      <c r="J58" s="59">
        <v>171620</v>
      </c>
      <c r="K58" s="58">
        <v>52.6</v>
      </c>
      <c r="L58" s="64"/>
      <c r="M58" s="65"/>
      <c r="N58" s="62"/>
      <c r="O58" s="62"/>
      <c r="P58" s="59" t="s">
        <v>68</v>
      </c>
      <c r="Q58" s="58" t="s">
        <v>68</v>
      </c>
      <c r="R58" s="59" t="s">
        <v>68</v>
      </c>
      <c r="S58" s="58" t="s">
        <v>68</v>
      </c>
      <c r="T58" s="59" t="s">
        <v>68</v>
      </c>
      <c r="U58" s="58" t="s">
        <v>68</v>
      </c>
      <c r="V58" s="59">
        <v>336300</v>
      </c>
      <c r="W58" s="58">
        <v>103</v>
      </c>
      <c r="X58" s="59">
        <v>-9790</v>
      </c>
      <c r="Y58" s="58">
        <v>-3</v>
      </c>
      <c r="Z58" s="63">
        <v>326510</v>
      </c>
    </row>
    <row r="59" spans="1:26">
      <c r="A59" s="19">
        <v>1962</v>
      </c>
      <c r="B59" s="59">
        <v>16150</v>
      </c>
      <c r="C59" s="58">
        <v>4.3</v>
      </c>
      <c r="D59" s="59">
        <v>76270</v>
      </c>
      <c r="E59" s="58">
        <v>20.399999999999999</v>
      </c>
      <c r="F59" s="59" t="s">
        <v>68</v>
      </c>
      <c r="G59" s="58" t="s">
        <v>68</v>
      </c>
      <c r="H59" s="59">
        <v>78410</v>
      </c>
      <c r="I59" s="58">
        <v>20.9</v>
      </c>
      <c r="J59" s="59">
        <v>208300</v>
      </c>
      <c r="K59" s="58">
        <v>55.6</v>
      </c>
      <c r="L59" s="64"/>
      <c r="M59" s="65"/>
      <c r="N59" s="62"/>
      <c r="O59" s="62"/>
      <c r="P59" s="59" t="s">
        <v>68</v>
      </c>
      <c r="Q59" s="58" t="s">
        <v>68</v>
      </c>
      <c r="R59" s="59" t="s">
        <v>68</v>
      </c>
      <c r="S59" s="58" t="s">
        <v>68</v>
      </c>
      <c r="T59" s="59" t="s">
        <v>68</v>
      </c>
      <c r="U59" s="58" t="s">
        <v>68</v>
      </c>
      <c r="V59" s="59">
        <v>379130</v>
      </c>
      <c r="W59" s="58">
        <v>101.2</v>
      </c>
      <c r="X59" s="59">
        <v>-4530</v>
      </c>
      <c r="Y59" s="58">
        <v>-1.2</v>
      </c>
      <c r="Z59" s="63">
        <v>374600</v>
      </c>
    </row>
    <row r="60" spans="1:26">
      <c r="A60" s="19">
        <v>1963</v>
      </c>
      <c r="B60" s="59">
        <v>16180</v>
      </c>
      <c r="C60" s="58">
        <v>3.8</v>
      </c>
      <c r="D60" s="59">
        <v>81180</v>
      </c>
      <c r="E60" s="58">
        <v>19.100000000000001</v>
      </c>
      <c r="F60" s="59" t="s">
        <v>68</v>
      </c>
      <c r="G60" s="58" t="s">
        <v>68</v>
      </c>
      <c r="H60" s="59">
        <v>78870</v>
      </c>
      <c r="I60" s="58">
        <v>18.5</v>
      </c>
      <c r="J60" s="59">
        <v>255700</v>
      </c>
      <c r="K60" s="58">
        <v>60.1</v>
      </c>
      <c r="L60" s="64"/>
      <c r="M60" s="65"/>
      <c r="N60" s="62"/>
      <c r="O60" s="62"/>
      <c r="P60" s="59" t="s">
        <v>68</v>
      </c>
      <c r="Q60" s="58" t="s">
        <v>68</v>
      </c>
      <c r="R60" s="59" t="s">
        <v>68</v>
      </c>
      <c r="S60" s="58" t="s">
        <v>68</v>
      </c>
      <c r="T60" s="59" t="s">
        <v>68</v>
      </c>
      <c r="U60" s="58" t="s">
        <v>68</v>
      </c>
      <c r="V60" s="59">
        <v>431930</v>
      </c>
      <c r="W60" s="58">
        <v>101.4</v>
      </c>
      <c r="X60" s="59">
        <v>-6120</v>
      </c>
      <c r="Y60" s="58">
        <v>-1.4</v>
      </c>
      <c r="Z60" s="63">
        <v>425810</v>
      </c>
    </row>
    <row r="61" spans="1:26">
      <c r="A61" s="19">
        <v>1964</v>
      </c>
      <c r="B61" s="59">
        <v>16220</v>
      </c>
      <c r="C61" s="58">
        <v>3.7</v>
      </c>
      <c r="D61" s="59">
        <v>79570</v>
      </c>
      <c r="E61" s="58">
        <v>18.100000000000001</v>
      </c>
      <c r="F61" s="59" t="s">
        <v>68</v>
      </c>
      <c r="G61" s="58" t="s">
        <v>68</v>
      </c>
      <c r="H61" s="59">
        <v>63900</v>
      </c>
      <c r="I61" s="58">
        <v>14.6</v>
      </c>
      <c r="J61" s="59">
        <v>280950</v>
      </c>
      <c r="K61" s="58">
        <v>64</v>
      </c>
      <c r="L61" s="64"/>
      <c r="M61" s="65"/>
      <c r="N61" s="62"/>
      <c r="O61" s="62"/>
      <c r="P61" s="59" t="s">
        <v>68</v>
      </c>
      <c r="Q61" s="58" t="s">
        <v>68</v>
      </c>
      <c r="R61" s="59" t="s">
        <v>68</v>
      </c>
      <c r="S61" s="58" t="s">
        <v>68</v>
      </c>
      <c r="T61" s="59" t="s">
        <v>68</v>
      </c>
      <c r="U61" s="58" t="s">
        <v>68</v>
      </c>
      <c r="V61" s="59">
        <v>440640</v>
      </c>
      <c r="W61" s="58">
        <v>100.4</v>
      </c>
      <c r="X61" s="59">
        <v>-1610</v>
      </c>
      <c r="Y61" s="58">
        <v>-0.4</v>
      </c>
      <c r="Z61" s="63">
        <v>439030</v>
      </c>
    </row>
    <row r="62" spans="1:26">
      <c r="A62" s="19">
        <v>1965</v>
      </c>
      <c r="B62" s="59">
        <v>16830</v>
      </c>
      <c r="C62" s="58">
        <v>3.6</v>
      </c>
      <c r="D62" s="59">
        <v>89270</v>
      </c>
      <c r="E62" s="58">
        <v>18.899999999999999</v>
      </c>
      <c r="F62" s="59" t="s">
        <v>68</v>
      </c>
      <c r="G62" s="58" t="s">
        <v>68</v>
      </c>
      <c r="H62" s="59">
        <v>53400</v>
      </c>
      <c r="I62" s="58">
        <v>11.3</v>
      </c>
      <c r="J62" s="59">
        <v>320060</v>
      </c>
      <c r="K62" s="58">
        <v>67.900000000000006</v>
      </c>
      <c r="L62" s="64"/>
      <c r="M62" s="65"/>
      <c r="N62" s="62"/>
      <c r="O62" s="62"/>
      <c r="P62" s="59" t="s">
        <v>68</v>
      </c>
      <c r="Q62" s="58" t="s">
        <v>68</v>
      </c>
      <c r="R62" s="59" t="s">
        <v>68</v>
      </c>
      <c r="S62" s="58" t="s">
        <v>68</v>
      </c>
      <c r="T62" s="59" t="s">
        <v>68</v>
      </c>
      <c r="U62" s="58" t="s">
        <v>68</v>
      </c>
      <c r="V62" s="59">
        <v>479560</v>
      </c>
      <c r="W62" s="58">
        <v>101.7</v>
      </c>
      <c r="X62" s="59">
        <v>-8180</v>
      </c>
      <c r="Y62" s="58">
        <v>-1.7</v>
      </c>
      <c r="Z62" s="63">
        <v>471380</v>
      </c>
    </row>
    <row r="63" spans="1:26">
      <c r="A63" s="19">
        <v>1966</v>
      </c>
      <c r="B63" s="59">
        <v>14730</v>
      </c>
      <c r="C63" s="58">
        <v>3.1</v>
      </c>
      <c r="D63" s="59">
        <v>100070</v>
      </c>
      <c r="E63" s="58">
        <v>20.9</v>
      </c>
      <c r="F63" s="59" t="s">
        <v>68</v>
      </c>
      <c r="G63" s="58" t="s">
        <v>68</v>
      </c>
      <c r="H63" s="59">
        <v>44150</v>
      </c>
      <c r="I63" s="58">
        <v>9.1999999999999993</v>
      </c>
      <c r="J63" s="59">
        <v>335900</v>
      </c>
      <c r="K63" s="58">
        <v>70.3</v>
      </c>
      <c r="L63" s="64"/>
      <c r="M63" s="65"/>
      <c r="N63" s="62"/>
      <c r="O63" s="62"/>
      <c r="P63" s="59" t="s">
        <v>68</v>
      </c>
      <c r="Q63" s="58" t="s">
        <v>68</v>
      </c>
      <c r="R63" s="59" t="s">
        <v>68</v>
      </c>
      <c r="S63" s="58" t="s">
        <v>68</v>
      </c>
      <c r="T63" s="59" t="s">
        <v>68</v>
      </c>
      <c r="U63" s="58" t="s">
        <v>68</v>
      </c>
      <c r="V63" s="59">
        <v>494850</v>
      </c>
      <c r="W63" s="58">
        <v>103.6</v>
      </c>
      <c r="X63" s="59">
        <v>-16990</v>
      </c>
      <c r="Y63" s="58">
        <v>-3.6</v>
      </c>
      <c r="Z63" s="63">
        <v>477860</v>
      </c>
    </row>
    <row r="64" spans="1:26">
      <c r="A64" s="19">
        <v>1967</v>
      </c>
      <c r="B64" s="59">
        <v>14290</v>
      </c>
      <c r="C64" s="58">
        <v>2.8</v>
      </c>
      <c r="D64" s="59">
        <v>107630</v>
      </c>
      <c r="E64" s="58">
        <v>21.4</v>
      </c>
      <c r="F64" s="59" t="s">
        <v>68</v>
      </c>
      <c r="G64" s="58" t="s">
        <v>68</v>
      </c>
      <c r="H64" s="59">
        <v>37240</v>
      </c>
      <c r="I64" s="58">
        <v>7.4</v>
      </c>
      <c r="J64" s="59">
        <v>365010</v>
      </c>
      <c r="K64" s="58">
        <v>72.7</v>
      </c>
      <c r="L64" s="64"/>
      <c r="M64" s="65"/>
      <c r="N64" s="62"/>
      <c r="O64" s="62"/>
      <c r="P64" s="59" t="s">
        <v>68</v>
      </c>
      <c r="Q64" s="58" t="s">
        <v>68</v>
      </c>
      <c r="R64" s="59" t="s">
        <v>68</v>
      </c>
      <c r="S64" s="58" t="s">
        <v>68</v>
      </c>
      <c r="T64" s="59" t="s">
        <v>68</v>
      </c>
      <c r="U64" s="58" t="s">
        <v>68</v>
      </c>
      <c r="V64" s="59">
        <v>524170</v>
      </c>
      <c r="W64" s="58">
        <v>104.4</v>
      </c>
      <c r="X64" s="59">
        <v>-22220</v>
      </c>
      <c r="Y64" s="58">
        <v>-4.4000000000000004</v>
      </c>
      <c r="Z64" s="63">
        <v>501950</v>
      </c>
    </row>
    <row r="65" spans="1:26">
      <c r="A65" s="19">
        <v>1968</v>
      </c>
      <c r="B65" s="59">
        <v>13630</v>
      </c>
      <c r="C65" s="58">
        <v>2.5</v>
      </c>
      <c r="D65" s="59">
        <v>105990</v>
      </c>
      <c r="E65" s="58">
        <v>19.600000000000001</v>
      </c>
      <c r="F65" s="59" t="s">
        <v>68</v>
      </c>
      <c r="G65" s="58" t="s">
        <v>68</v>
      </c>
      <c r="H65" s="59">
        <v>35200</v>
      </c>
      <c r="I65" s="58">
        <v>6.5</v>
      </c>
      <c r="J65" s="59">
        <v>405610</v>
      </c>
      <c r="K65" s="58">
        <v>74.900000000000006</v>
      </c>
      <c r="L65" s="64"/>
      <c r="M65" s="65"/>
      <c r="N65" s="62"/>
      <c r="O65" s="62"/>
      <c r="P65" s="59" t="s">
        <v>68</v>
      </c>
      <c r="Q65" s="58" t="s">
        <v>68</v>
      </c>
      <c r="R65" s="59" t="s">
        <v>68</v>
      </c>
      <c r="S65" s="58" t="s">
        <v>68</v>
      </c>
      <c r="T65" s="59" t="s">
        <v>68</v>
      </c>
      <c r="U65" s="58" t="s">
        <v>68</v>
      </c>
      <c r="V65" s="59">
        <v>560430</v>
      </c>
      <c r="W65" s="58">
        <v>103.5</v>
      </c>
      <c r="X65" s="59">
        <v>-18870</v>
      </c>
      <c r="Y65" s="58">
        <v>-3.5</v>
      </c>
      <c r="Z65" s="63">
        <v>541560</v>
      </c>
    </row>
    <row r="66" spans="1:26">
      <c r="A66" s="19">
        <v>1969</v>
      </c>
      <c r="B66" s="59">
        <v>12310</v>
      </c>
      <c r="C66" s="58">
        <v>2.1</v>
      </c>
      <c r="D66" s="59">
        <v>98380</v>
      </c>
      <c r="E66" s="58">
        <v>16.8</v>
      </c>
      <c r="F66" s="59" t="s">
        <v>68</v>
      </c>
      <c r="G66" s="58" t="s">
        <v>68</v>
      </c>
      <c r="H66" s="59">
        <v>31840</v>
      </c>
      <c r="I66" s="58">
        <v>5.4</v>
      </c>
      <c r="J66" s="59">
        <v>447630</v>
      </c>
      <c r="K66" s="58">
        <v>76.2</v>
      </c>
      <c r="L66" s="64"/>
      <c r="M66" s="65"/>
      <c r="N66" s="62"/>
      <c r="O66" s="62"/>
      <c r="P66" s="59">
        <v>10</v>
      </c>
      <c r="Q66" s="58">
        <v>0</v>
      </c>
      <c r="R66" s="59">
        <v>6140</v>
      </c>
      <c r="S66" s="58">
        <v>1</v>
      </c>
      <c r="T66" s="59" t="s">
        <v>68</v>
      </c>
      <c r="U66" s="58" t="s">
        <v>68</v>
      </c>
      <c r="V66" s="59">
        <v>596310</v>
      </c>
      <c r="W66" s="58">
        <v>101.5</v>
      </c>
      <c r="X66" s="59">
        <v>-8980</v>
      </c>
      <c r="Y66" s="58">
        <v>-1.5</v>
      </c>
      <c r="Z66" s="63">
        <v>587330</v>
      </c>
    </row>
    <row r="67" spans="1:26">
      <c r="A67" s="19">
        <v>1970</v>
      </c>
      <c r="B67" s="59">
        <v>10110</v>
      </c>
      <c r="C67" s="58">
        <v>1.5</v>
      </c>
      <c r="D67" s="59">
        <v>112580</v>
      </c>
      <c r="E67" s="58">
        <v>16.899999999999999</v>
      </c>
      <c r="F67" s="59" t="s">
        <v>68</v>
      </c>
      <c r="G67" s="58" t="s">
        <v>68</v>
      </c>
      <c r="H67" s="59">
        <v>27320</v>
      </c>
      <c r="I67" s="58">
        <v>4.0999999999999996</v>
      </c>
      <c r="J67" s="59">
        <v>515140</v>
      </c>
      <c r="K67" s="58">
        <v>77.400000000000006</v>
      </c>
      <c r="L67" s="64"/>
      <c r="M67" s="65"/>
      <c r="N67" s="62"/>
      <c r="O67" s="62"/>
      <c r="P67" s="59">
        <v>1540</v>
      </c>
      <c r="Q67" s="58">
        <v>0.2</v>
      </c>
      <c r="R67" s="59">
        <v>20180</v>
      </c>
      <c r="S67" s="58">
        <v>3</v>
      </c>
      <c r="T67" s="59" t="s">
        <v>68</v>
      </c>
      <c r="U67" s="58" t="s">
        <v>68</v>
      </c>
      <c r="V67" s="59">
        <v>686870</v>
      </c>
      <c r="W67" s="58">
        <v>103.3</v>
      </c>
      <c r="X67" s="59">
        <v>-21690</v>
      </c>
      <c r="Y67" s="58">
        <v>-3.3</v>
      </c>
      <c r="Z67" s="63">
        <v>665180</v>
      </c>
    </row>
    <row r="68" spans="1:26">
      <c r="A68" s="19">
        <v>1971</v>
      </c>
      <c r="B68" s="59">
        <v>9670</v>
      </c>
      <c r="C68" s="58">
        <v>1.4</v>
      </c>
      <c r="D68" s="59">
        <v>99230</v>
      </c>
      <c r="E68" s="58">
        <v>14.3</v>
      </c>
      <c r="F68" s="59" t="s">
        <v>68</v>
      </c>
      <c r="G68" s="58" t="s">
        <v>68</v>
      </c>
      <c r="H68" s="59">
        <v>18450</v>
      </c>
      <c r="I68" s="58">
        <v>2.7</v>
      </c>
      <c r="J68" s="59">
        <v>546080</v>
      </c>
      <c r="K68" s="58">
        <v>78.8</v>
      </c>
      <c r="L68" s="64"/>
      <c r="M68" s="65"/>
      <c r="N68" s="62"/>
      <c r="O68" s="62"/>
      <c r="P68" s="59">
        <v>3720</v>
      </c>
      <c r="Q68" s="58">
        <v>0.5</v>
      </c>
      <c r="R68" s="59">
        <v>20110</v>
      </c>
      <c r="S68" s="58">
        <v>2.9</v>
      </c>
      <c r="T68" s="59" t="s">
        <v>68</v>
      </c>
      <c r="U68" s="58" t="s">
        <v>68</v>
      </c>
      <c r="V68" s="59">
        <v>697260</v>
      </c>
      <c r="W68" s="58">
        <v>100.6</v>
      </c>
      <c r="X68" s="59">
        <v>-3890</v>
      </c>
      <c r="Y68" s="58">
        <v>-0.6</v>
      </c>
      <c r="Z68" s="63">
        <v>693370</v>
      </c>
    </row>
    <row r="69" spans="1:26">
      <c r="A69" s="19">
        <v>1972</v>
      </c>
      <c r="B69" s="59">
        <v>9230</v>
      </c>
      <c r="C69" s="58">
        <v>1.3</v>
      </c>
      <c r="D69" s="59">
        <v>91000</v>
      </c>
      <c r="E69" s="58">
        <v>12.5</v>
      </c>
      <c r="F69" s="59" t="s">
        <v>68</v>
      </c>
      <c r="G69" s="58" t="s">
        <v>68</v>
      </c>
      <c r="H69" s="59">
        <v>15610</v>
      </c>
      <c r="I69" s="58">
        <v>2.1</v>
      </c>
      <c r="J69" s="59">
        <v>560700</v>
      </c>
      <c r="K69" s="58">
        <v>76.8</v>
      </c>
      <c r="L69" s="64"/>
      <c r="M69" s="65"/>
      <c r="N69" s="62"/>
      <c r="O69" s="62"/>
      <c r="P69" s="59">
        <v>4720</v>
      </c>
      <c r="Q69" s="58">
        <v>0.6</v>
      </c>
      <c r="R69" s="59">
        <v>50730</v>
      </c>
      <c r="S69" s="58">
        <v>6.9</v>
      </c>
      <c r="T69" s="59" t="s">
        <v>68</v>
      </c>
      <c r="U69" s="58" t="s">
        <v>68</v>
      </c>
      <c r="V69" s="59">
        <v>731990</v>
      </c>
      <c r="W69" s="58">
        <v>100.2</v>
      </c>
      <c r="X69" s="59">
        <v>-1730</v>
      </c>
      <c r="Y69" s="58">
        <v>-0.2</v>
      </c>
      <c r="Z69" s="63">
        <v>730260</v>
      </c>
    </row>
    <row r="70" spans="1:26">
      <c r="A70" s="19">
        <v>1973</v>
      </c>
      <c r="B70" s="59">
        <v>10110</v>
      </c>
      <c r="C70" s="58">
        <v>1.3</v>
      </c>
      <c r="D70" s="59">
        <v>103770</v>
      </c>
      <c r="E70" s="58">
        <v>13.1</v>
      </c>
      <c r="F70" s="59" t="s">
        <v>68</v>
      </c>
      <c r="G70" s="58" t="s">
        <v>68</v>
      </c>
      <c r="H70" s="59">
        <v>14820</v>
      </c>
      <c r="I70" s="58">
        <v>1.9</v>
      </c>
      <c r="J70" s="59">
        <v>605700</v>
      </c>
      <c r="K70" s="58">
        <v>76.400000000000006</v>
      </c>
      <c r="L70" s="64"/>
      <c r="M70" s="65"/>
      <c r="N70" s="62"/>
      <c r="O70" s="62"/>
      <c r="P70" s="59">
        <v>6390</v>
      </c>
      <c r="Q70" s="58">
        <v>0.8</v>
      </c>
      <c r="R70" s="59">
        <v>64320</v>
      </c>
      <c r="S70" s="58">
        <v>8.1</v>
      </c>
      <c r="T70" s="59" t="s">
        <v>68</v>
      </c>
      <c r="U70" s="58" t="s">
        <v>68</v>
      </c>
      <c r="V70" s="59">
        <v>805110</v>
      </c>
      <c r="W70" s="58">
        <v>101.6</v>
      </c>
      <c r="X70" s="59">
        <v>-12600</v>
      </c>
      <c r="Y70" s="58">
        <v>-1.6</v>
      </c>
      <c r="Z70" s="63">
        <v>792510</v>
      </c>
    </row>
    <row r="71" spans="1:26">
      <c r="A71" s="19">
        <v>1974</v>
      </c>
      <c r="B71" s="59">
        <v>8350</v>
      </c>
      <c r="C71" s="58">
        <v>1.1000000000000001</v>
      </c>
      <c r="D71" s="59">
        <v>102830</v>
      </c>
      <c r="E71" s="58">
        <v>13.7</v>
      </c>
      <c r="F71" s="59" t="s">
        <v>68</v>
      </c>
      <c r="G71" s="58" t="s">
        <v>68</v>
      </c>
      <c r="H71" s="59">
        <v>12780</v>
      </c>
      <c r="I71" s="58">
        <v>1.7</v>
      </c>
      <c r="J71" s="59">
        <v>552580</v>
      </c>
      <c r="K71" s="58">
        <v>73.5</v>
      </c>
      <c r="L71" s="64"/>
      <c r="M71" s="65"/>
      <c r="N71" s="62"/>
      <c r="O71" s="62"/>
      <c r="P71" s="59">
        <v>13460</v>
      </c>
      <c r="Q71" s="58">
        <v>1.8</v>
      </c>
      <c r="R71" s="59">
        <v>73420</v>
      </c>
      <c r="S71" s="58">
        <v>9.8000000000000007</v>
      </c>
      <c r="T71" s="59" t="s">
        <v>68</v>
      </c>
      <c r="U71" s="58" t="s">
        <v>68</v>
      </c>
      <c r="V71" s="59">
        <v>763420</v>
      </c>
      <c r="W71" s="58">
        <v>101.5</v>
      </c>
      <c r="X71" s="59">
        <v>-11630</v>
      </c>
      <c r="Y71" s="58">
        <v>-1.5</v>
      </c>
      <c r="Z71" s="63">
        <v>751790</v>
      </c>
    </row>
    <row r="72" spans="1:26">
      <c r="A72" s="19">
        <v>1975</v>
      </c>
      <c r="B72" s="59">
        <v>8350</v>
      </c>
      <c r="C72" s="58">
        <v>1.1000000000000001</v>
      </c>
      <c r="D72" s="59">
        <v>122310</v>
      </c>
      <c r="E72" s="58">
        <v>16.7</v>
      </c>
      <c r="F72" s="59" t="s">
        <v>68</v>
      </c>
      <c r="G72" s="58" t="s">
        <v>68</v>
      </c>
      <c r="H72" s="59">
        <v>9580</v>
      </c>
      <c r="I72" s="58">
        <v>1.3</v>
      </c>
      <c r="J72" s="59">
        <v>525150</v>
      </c>
      <c r="K72" s="58">
        <v>71.7</v>
      </c>
      <c r="L72" s="64"/>
      <c r="M72" s="65"/>
      <c r="N72" s="62"/>
      <c r="O72" s="62"/>
      <c r="P72" s="59">
        <v>21680</v>
      </c>
      <c r="Q72" s="58">
        <v>3</v>
      </c>
      <c r="R72" s="59">
        <v>80630</v>
      </c>
      <c r="S72" s="58">
        <v>11</v>
      </c>
      <c r="T72" s="59" t="s">
        <v>68</v>
      </c>
      <c r="U72" s="58" t="s">
        <v>68</v>
      </c>
      <c r="V72" s="59">
        <v>767700</v>
      </c>
      <c r="W72" s="58">
        <v>104.8</v>
      </c>
      <c r="X72" s="59">
        <v>-35010</v>
      </c>
      <c r="Y72" s="58">
        <v>-4.8</v>
      </c>
      <c r="Z72" s="63">
        <v>732690</v>
      </c>
    </row>
    <row r="73" spans="1:26">
      <c r="A73" s="19">
        <v>1976</v>
      </c>
      <c r="B73" s="59">
        <v>8350</v>
      </c>
      <c r="C73" s="58">
        <v>1.1000000000000001</v>
      </c>
      <c r="D73" s="59">
        <v>95840</v>
      </c>
      <c r="E73" s="58">
        <v>12.7</v>
      </c>
      <c r="F73" s="59" t="s">
        <v>68</v>
      </c>
      <c r="G73" s="58" t="s">
        <v>68</v>
      </c>
      <c r="H73" s="59">
        <v>9000</v>
      </c>
      <c r="I73" s="58">
        <v>1.2</v>
      </c>
      <c r="J73" s="59">
        <v>545820</v>
      </c>
      <c r="K73" s="58">
        <v>72.099999999999994</v>
      </c>
      <c r="L73" s="64"/>
      <c r="M73" s="65"/>
      <c r="N73" s="62"/>
      <c r="O73" s="62"/>
      <c r="P73" s="59">
        <v>22630</v>
      </c>
      <c r="Q73" s="58">
        <v>3</v>
      </c>
      <c r="R73" s="59">
        <v>82480</v>
      </c>
      <c r="S73" s="58">
        <v>10.9</v>
      </c>
      <c r="T73" s="59" t="s">
        <v>68</v>
      </c>
      <c r="U73" s="58" t="s">
        <v>68</v>
      </c>
      <c r="V73" s="59">
        <v>764120</v>
      </c>
      <c r="W73" s="58">
        <v>100.9</v>
      </c>
      <c r="X73" s="59">
        <v>-6900</v>
      </c>
      <c r="Y73" s="58">
        <v>-0.9</v>
      </c>
      <c r="Z73" s="63">
        <v>757220</v>
      </c>
    </row>
    <row r="74" spans="1:26">
      <c r="A74" s="19">
        <v>1977</v>
      </c>
      <c r="B74" s="59">
        <v>8350</v>
      </c>
      <c r="C74" s="58">
        <v>1.1000000000000001</v>
      </c>
      <c r="D74" s="59">
        <v>130640</v>
      </c>
      <c r="E74" s="58">
        <v>17.3</v>
      </c>
      <c r="F74" s="59" t="s">
        <v>68</v>
      </c>
      <c r="G74" s="58" t="s">
        <v>68</v>
      </c>
      <c r="H74" s="59">
        <v>10500</v>
      </c>
      <c r="I74" s="58">
        <v>1.4</v>
      </c>
      <c r="J74" s="59">
        <v>532560</v>
      </c>
      <c r="K74" s="58">
        <v>70.5</v>
      </c>
      <c r="L74" s="64"/>
      <c r="M74" s="65"/>
      <c r="N74" s="62"/>
      <c r="O74" s="62"/>
      <c r="P74" s="59">
        <v>25840</v>
      </c>
      <c r="Q74" s="58">
        <v>3.4</v>
      </c>
      <c r="R74" s="59">
        <v>84310</v>
      </c>
      <c r="S74" s="58">
        <v>11.2</v>
      </c>
      <c r="T74" s="59" t="s">
        <v>68</v>
      </c>
      <c r="U74" s="58" t="s">
        <v>68</v>
      </c>
      <c r="V74" s="59">
        <v>792200</v>
      </c>
      <c r="W74" s="58">
        <v>104.9</v>
      </c>
      <c r="X74" s="59">
        <v>-36660</v>
      </c>
      <c r="Y74" s="58">
        <v>-4.9000000000000004</v>
      </c>
      <c r="Z74" s="63">
        <v>755540</v>
      </c>
    </row>
    <row r="75" spans="1:26">
      <c r="A75" s="19">
        <v>1978</v>
      </c>
      <c r="B75" s="59">
        <v>7910</v>
      </c>
      <c r="C75" s="58">
        <v>1</v>
      </c>
      <c r="D75" s="59">
        <v>117040</v>
      </c>
      <c r="E75" s="58">
        <v>15.1</v>
      </c>
      <c r="F75" s="59">
        <v>8400</v>
      </c>
      <c r="G75" s="58">
        <v>1.1000000000000001</v>
      </c>
      <c r="H75" s="59">
        <v>9450</v>
      </c>
      <c r="I75" s="58">
        <v>1.2</v>
      </c>
      <c r="J75" s="59">
        <v>536100</v>
      </c>
      <c r="K75" s="58">
        <v>69.2</v>
      </c>
      <c r="L75" s="64"/>
      <c r="M75" s="65"/>
      <c r="N75" s="62"/>
      <c r="O75" s="62"/>
      <c r="P75" s="59">
        <v>28350</v>
      </c>
      <c r="Q75" s="58">
        <v>3.7</v>
      </c>
      <c r="R75" s="59">
        <v>87220</v>
      </c>
      <c r="S75" s="58">
        <v>11.3</v>
      </c>
      <c r="T75" s="59" t="s">
        <v>68</v>
      </c>
      <c r="U75" s="58" t="s">
        <v>68</v>
      </c>
      <c r="V75" s="59">
        <v>794470</v>
      </c>
      <c r="W75" s="58">
        <v>102.5</v>
      </c>
      <c r="X75" s="59">
        <v>-19420</v>
      </c>
      <c r="Y75" s="58">
        <v>-2.5</v>
      </c>
      <c r="Z75" s="63">
        <v>775050</v>
      </c>
    </row>
    <row r="76" spans="1:26">
      <c r="A76" s="19">
        <v>1979</v>
      </c>
      <c r="B76" s="59">
        <v>9010</v>
      </c>
      <c r="C76" s="58">
        <v>1.1000000000000001</v>
      </c>
      <c r="D76" s="59">
        <v>116440</v>
      </c>
      <c r="E76" s="58">
        <v>14.7</v>
      </c>
      <c r="F76" s="59">
        <v>10060</v>
      </c>
      <c r="G76" s="58">
        <v>1.3</v>
      </c>
      <c r="H76" s="59">
        <v>9770</v>
      </c>
      <c r="I76" s="58">
        <v>1.2</v>
      </c>
      <c r="J76" s="59">
        <v>515200</v>
      </c>
      <c r="K76" s="58">
        <v>65.3</v>
      </c>
      <c r="L76" s="64"/>
      <c r="M76" s="65"/>
      <c r="N76" s="62"/>
      <c r="O76" s="62"/>
      <c r="P76" s="59">
        <v>31800</v>
      </c>
      <c r="Q76" s="58">
        <v>4</v>
      </c>
      <c r="R76" s="59">
        <v>122650</v>
      </c>
      <c r="S76" s="58">
        <v>15.5</v>
      </c>
      <c r="T76" s="59" t="s">
        <v>68</v>
      </c>
      <c r="U76" s="58" t="s">
        <v>68</v>
      </c>
      <c r="V76" s="59">
        <v>814930</v>
      </c>
      <c r="W76" s="58">
        <v>103.2</v>
      </c>
      <c r="X76" s="59">
        <v>-25370</v>
      </c>
      <c r="Y76" s="58">
        <v>-3.2</v>
      </c>
      <c r="Z76" s="63">
        <v>789560</v>
      </c>
    </row>
    <row r="77" spans="1:26">
      <c r="A77" s="19">
        <v>1980</v>
      </c>
      <c r="B77" s="59">
        <v>26280</v>
      </c>
      <c r="C77" s="58">
        <v>3.1</v>
      </c>
      <c r="D77" s="59">
        <v>120750</v>
      </c>
      <c r="E77" s="58">
        <v>14.4</v>
      </c>
      <c r="F77" s="59">
        <v>10100</v>
      </c>
      <c r="G77" s="58">
        <v>1.2</v>
      </c>
      <c r="H77" s="59">
        <v>14300</v>
      </c>
      <c r="I77" s="58">
        <v>1.7</v>
      </c>
      <c r="J77" s="59">
        <v>513220</v>
      </c>
      <c r="K77" s="58">
        <v>61.1</v>
      </c>
      <c r="L77" s="59">
        <v>191970</v>
      </c>
      <c r="M77" s="65">
        <v>22.8</v>
      </c>
      <c r="N77" s="66">
        <v>321250</v>
      </c>
      <c r="O77" s="62">
        <v>38.200000000000003</v>
      </c>
      <c r="P77" s="59">
        <v>36280</v>
      </c>
      <c r="Q77" s="58">
        <v>4.3</v>
      </c>
      <c r="R77" s="59">
        <v>149050</v>
      </c>
      <c r="S77" s="58">
        <v>17.7</v>
      </c>
      <c r="T77" s="59" t="s">
        <v>68</v>
      </c>
      <c r="U77" s="58" t="s">
        <v>68</v>
      </c>
      <c r="V77" s="59">
        <v>869980</v>
      </c>
      <c r="W77" s="58">
        <v>103.5</v>
      </c>
      <c r="X77" s="59">
        <v>-29450</v>
      </c>
      <c r="Y77" s="58">
        <v>-3.5</v>
      </c>
      <c r="Z77" s="63">
        <v>840530</v>
      </c>
    </row>
    <row r="78" spans="1:26">
      <c r="A78" s="19">
        <v>1981</v>
      </c>
      <c r="B78" s="59">
        <v>25480</v>
      </c>
      <c r="C78" s="58">
        <v>3</v>
      </c>
      <c r="D78" s="59">
        <v>129950</v>
      </c>
      <c r="E78" s="58">
        <v>15.2</v>
      </c>
      <c r="F78" s="59">
        <v>14040</v>
      </c>
      <c r="G78" s="58">
        <v>1.6</v>
      </c>
      <c r="H78" s="59">
        <v>21150</v>
      </c>
      <c r="I78" s="58">
        <v>2.5</v>
      </c>
      <c r="J78" s="59">
        <v>508680</v>
      </c>
      <c r="K78" s="58">
        <v>59.3</v>
      </c>
      <c r="L78" s="59">
        <v>168430</v>
      </c>
      <c r="M78" s="65">
        <v>19.600000000000001</v>
      </c>
      <c r="N78" s="66">
        <v>340250</v>
      </c>
      <c r="O78" s="62">
        <v>39.700000000000003</v>
      </c>
      <c r="P78" s="59">
        <v>39140</v>
      </c>
      <c r="Q78" s="58">
        <v>4.5999999999999996</v>
      </c>
      <c r="R78" s="59">
        <v>157770</v>
      </c>
      <c r="S78" s="58">
        <v>18.399999999999999</v>
      </c>
      <c r="T78" s="59" t="s">
        <v>68</v>
      </c>
      <c r="U78" s="58" t="s">
        <v>68</v>
      </c>
      <c r="V78" s="59">
        <v>896210</v>
      </c>
      <c r="W78" s="58">
        <v>104.5</v>
      </c>
      <c r="X78" s="59">
        <v>-38560</v>
      </c>
      <c r="Y78" s="58">
        <v>-4.5</v>
      </c>
      <c r="Z78" s="63">
        <v>857650</v>
      </c>
    </row>
    <row r="79" spans="1:26">
      <c r="A79" s="19">
        <v>1982</v>
      </c>
      <c r="B79" s="59">
        <v>24930</v>
      </c>
      <c r="C79" s="58">
        <v>3</v>
      </c>
      <c r="D79" s="59">
        <v>133330</v>
      </c>
      <c r="E79" s="58">
        <v>15.9</v>
      </c>
      <c r="F79" s="59">
        <v>16200</v>
      </c>
      <c r="G79" s="58">
        <v>1.9</v>
      </c>
      <c r="H79" s="59">
        <v>18710</v>
      </c>
      <c r="I79" s="58">
        <v>2.2000000000000002</v>
      </c>
      <c r="J79" s="59">
        <v>484800</v>
      </c>
      <c r="K79" s="58">
        <v>58</v>
      </c>
      <c r="L79" s="59">
        <v>166050</v>
      </c>
      <c r="M79" s="65">
        <v>19.899999999999999</v>
      </c>
      <c r="N79" s="66">
        <v>318750</v>
      </c>
      <c r="O79" s="62">
        <v>38.1</v>
      </c>
      <c r="P79" s="59">
        <v>41340</v>
      </c>
      <c r="Q79" s="58">
        <v>4.9000000000000004</v>
      </c>
      <c r="R79" s="59">
        <v>155740</v>
      </c>
      <c r="S79" s="58">
        <v>18.600000000000001</v>
      </c>
      <c r="T79" s="59" t="s">
        <v>68</v>
      </c>
      <c r="U79" s="58" t="s">
        <v>68</v>
      </c>
      <c r="V79" s="59">
        <v>875050</v>
      </c>
      <c r="W79" s="58">
        <v>104.7</v>
      </c>
      <c r="X79" s="59">
        <v>-38970</v>
      </c>
      <c r="Y79" s="58">
        <v>-4.7</v>
      </c>
      <c r="Z79" s="63">
        <v>836080</v>
      </c>
    </row>
    <row r="80" spans="1:26">
      <c r="A80" s="19">
        <v>1983</v>
      </c>
      <c r="B80" s="59">
        <v>25340</v>
      </c>
      <c r="C80" s="58">
        <v>3</v>
      </c>
      <c r="D80" s="59">
        <v>129610</v>
      </c>
      <c r="E80" s="58">
        <v>15.2</v>
      </c>
      <c r="F80" s="59">
        <v>16040</v>
      </c>
      <c r="G80" s="58">
        <v>1.9</v>
      </c>
      <c r="H80" s="59">
        <v>16330</v>
      </c>
      <c r="I80" s="58">
        <v>1.9</v>
      </c>
      <c r="J80" s="59">
        <v>494230</v>
      </c>
      <c r="K80" s="58">
        <v>57.8</v>
      </c>
      <c r="L80" s="59">
        <v>176390</v>
      </c>
      <c r="M80" s="65">
        <v>20.6</v>
      </c>
      <c r="N80" s="66">
        <v>317840</v>
      </c>
      <c r="O80" s="62">
        <v>37.200000000000003</v>
      </c>
      <c r="P80" s="59">
        <v>45450</v>
      </c>
      <c r="Q80" s="58">
        <v>5.3</v>
      </c>
      <c r="R80" s="59">
        <v>161680</v>
      </c>
      <c r="S80" s="58">
        <v>18.899999999999999</v>
      </c>
      <c r="T80" s="59" t="s">
        <v>68</v>
      </c>
      <c r="U80" s="58" t="s">
        <v>68</v>
      </c>
      <c r="V80" s="59">
        <v>888680</v>
      </c>
      <c r="W80" s="58">
        <v>103.9</v>
      </c>
      <c r="X80" s="59">
        <v>-33280</v>
      </c>
      <c r="Y80" s="58">
        <v>-3.9</v>
      </c>
      <c r="Z80" s="63">
        <v>855400</v>
      </c>
    </row>
    <row r="81" spans="1:26">
      <c r="A81" s="19">
        <v>1984</v>
      </c>
      <c r="B81" s="59">
        <v>26560</v>
      </c>
      <c r="C81" s="58">
        <v>2.9</v>
      </c>
      <c r="D81" s="59">
        <v>111140</v>
      </c>
      <c r="E81" s="58">
        <v>12.3</v>
      </c>
      <c r="F81" s="59">
        <v>17920</v>
      </c>
      <c r="G81" s="58">
        <v>2</v>
      </c>
      <c r="H81" s="59">
        <v>20980</v>
      </c>
      <c r="I81" s="58">
        <v>2.2999999999999998</v>
      </c>
      <c r="J81" s="59">
        <v>501010</v>
      </c>
      <c r="K81" s="58">
        <v>55.6</v>
      </c>
      <c r="L81" s="59">
        <v>170820</v>
      </c>
      <c r="M81" s="65">
        <v>19</v>
      </c>
      <c r="N81" s="66">
        <v>330190</v>
      </c>
      <c r="O81" s="62">
        <v>36.6</v>
      </c>
      <c r="P81" s="59">
        <v>50690</v>
      </c>
      <c r="Q81" s="58">
        <v>5.6</v>
      </c>
      <c r="R81" s="59">
        <v>189770</v>
      </c>
      <c r="S81" s="58">
        <v>21.1</v>
      </c>
      <c r="T81" s="59" t="s">
        <v>68</v>
      </c>
      <c r="U81" s="58" t="s">
        <v>68</v>
      </c>
      <c r="V81" s="59">
        <v>918070</v>
      </c>
      <c r="W81" s="58">
        <v>101.9</v>
      </c>
      <c r="X81" s="59">
        <v>-16900</v>
      </c>
      <c r="Y81" s="58">
        <v>-1.9</v>
      </c>
      <c r="Z81" s="63">
        <v>901170</v>
      </c>
    </row>
    <row r="82" spans="1:26">
      <c r="A82" s="19">
        <v>1985</v>
      </c>
      <c r="B82" s="59">
        <v>27030</v>
      </c>
      <c r="C82" s="58">
        <v>2.8</v>
      </c>
      <c r="D82" s="59">
        <v>117640</v>
      </c>
      <c r="E82" s="58">
        <v>12.4</v>
      </c>
      <c r="F82" s="59">
        <v>20390</v>
      </c>
      <c r="G82" s="58">
        <v>2.1</v>
      </c>
      <c r="H82" s="59">
        <v>21070</v>
      </c>
      <c r="I82" s="58">
        <v>2.2000000000000002</v>
      </c>
      <c r="J82" s="59">
        <v>509060</v>
      </c>
      <c r="K82" s="58">
        <v>53.6</v>
      </c>
      <c r="L82" s="59">
        <v>176940</v>
      </c>
      <c r="M82" s="65">
        <v>18.600000000000001</v>
      </c>
      <c r="N82" s="66">
        <v>332120</v>
      </c>
      <c r="O82" s="62">
        <v>35</v>
      </c>
      <c r="P82" s="59">
        <v>53070</v>
      </c>
      <c r="Q82" s="58">
        <v>5.6</v>
      </c>
      <c r="R82" s="59">
        <v>232160</v>
      </c>
      <c r="S82" s="58">
        <v>24.5</v>
      </c>
      <c r="T82" s="59" t="s">
        <v>68</v>
      </c>
      <c r="U82" s="58" t="s">
        <v>68</v>
      </c>
      <c r="V82" s="59">
        <v>980420</v>
      </c>
      <c r="W82" s="58">
        <v>103.3</v>
      </c>
      <c r="X82" s="59">
        <v>-31320</v>
      </c>
      <c r="Y82" s="58">
        <v>-3.3</v>
      </c>
      <c r="Z82" s="63">
        <v>949100</v>
      </c>
    </row>
    <row r="83" spans="1:26">
      <c r="A83" s="19">
        <v>1986</v>
      </c>
      <c r="B83" s="59">
        <v>26290</v>
      </c>
      <c r="C83" s="58">
        <v>2.7</v>
      </c>
      <c r="D83" s="59">
        <v>120920</v>
      </c>
      <c r="E83" s="58">
        <v>12.5</v>
      </c>
      <c r="F83" s="59">
        <v>22570</v>
      </c>
      <c r="G83" s="58">
        <v>2.2999999999999998</v>
      </c>
      <c r="H83" s="59">
        <v>18130</v>
      </c>
      <c r="I83" s="58">
        <v>1.9</v>
      </c>
      <c r="J83" s="59">
        <v>522150</v>
      </c>
      <c r="K83" s="58">
        <v>54.1</v>
      </c>
      <c r="L83" s="59">
        <v>180070</v>
      </c>
      <c r="M83" s="65">
        <v>18.600000000000001</v>
      </c>
      <c r="N83" s="66">
        <v>342080</v>
      </c>
      <c r="O83" s="62">
        <v>35.4</v>
      </c>
      <c r="P83" s="59">
        <v>54350</v>
      </c>
      <c r="Q83" s="58">
        <v>5.6</v>
      </c>
      <c r="R83" s="59">
        <v>232400</v>
      </c>
      <c r="S83" s="58">
        <v>24.1</v>
      </c>
      <c r="T83" s="59" t="s">
        <v>68</v>
      </c>
      <c r="U83" s="58" t="s">
        <v>68</v>
      </c>
      <c r="V83" s="59">
        <v>996810</v>
      </c>
      <c r="W83" s="58">
        <v>103.2</v>
      </c>
      <c r="X83" s="59">
        <v>-30910</v>
      </c>
      <c r="Y83" s="58">
        <v>-3.2</v>
      </c>
      <c r="Z83" s="63">
        <v>965900</v>
      </c>
    </row>
    <row r="84" spans="1:26">
      <c r="A84" s="19">
        <v>1987</v>
      </c>
      <c r="B84" s="59">
        <v>26380</v>
      </c>
      <c r="C84" s="58">
        <v>2.7</v>
      </c>
      <c r="D84" s="59">
        <v>127480</v>
      </c>
      <c r="E84" s="58">
        <v>13</v>
      </c>
      <c r="F84" s="59">
        <v>22680</v>
      </c>
      <c r="G84" s="58">
        <v>2.2999999999999998</v>
      </c>
      <c r="H84" s="59">
        <v>16870</v>
      </c>
      <c r="I84" s="58">
        <v>1.7</v>
      </c>
      <c r="J84" s="59">
        <v>522960</v>
      </c>
      <c r="K84" s="58">
        <v>53.5</v>
      </c>
      <c r="L84" s="59">
        <v>174260</v>
      </c>
      <c r="M84" s="65">
        <v>17.8</v>
      </c>
      <c r="N84" s="66">
        <v>348700</v>
      </c>
      <c r="O84" s="62">
        <v>35.700000000000003</v>
      </c>
      <c r="P84" s="59">
        <v>58270</v>
      </c>
      <c r="Q84" s="58">
        <v>6</v>
      </c>
      <c r="R84" s="59">
        <v>236740</v>
      </c>
      <c r="S84" s="58">
        <v>24.2</v>
      </c>
      <c r="T84" s="59" t="s">
        <v>68</v>
      </c>
      <c r="U84" s="58" t="s">
        <v>68</v>
      </c>
      <c r="V84" s="59">
        <v>1011380</v>
      </c>
      <c r="W84" s="58">
        <v>103.5</v>
      </c>
      <c r="X84" s="59">
        <v>-34030</v>
      </c>
      <c r="Y84" s="58">
        <v>-3.5</v>
      </c>
      <c r="Z84" s="63">
        <v>977350</v>
      </c>
    </row>
    <row r="85" spans="1:26">
      <c r="A85" s="19">
        <v>1988</v>
      </c>
      <c r="B85" s="59">
        <v>25010</v>
      </c>
      <c r="C85" s="58">
        <v>2.6</v>
      </c>
      <c r="D85" s="59">
        <v>131180</v>
      </c>
      <c r="E85" s="58">
        <v>13.4</v>
      </c>
      <c r="F85" s="59">
        <v>22790</v>
      </c>
      <c r="G85" s="58">
        <v>2.2999999999999998</v>
      </c>
      <c r="H85" s="59">
        <v>14400</v>
      </c>
      <c r="I85" s="58">
        <v>1.5</v>
      </c>
      <c r="J85" s="59">
        <v>525980</v>
      </c>
      <c r="K85" s="58">
        <v>53.8</v>
      </c>
      <c r="L85" s="59">
        <v>167730</v>
      </c>
      <c r="M85" s="65">
        <v>17.2</v>
      </c>
      <c r="N85" s="66">
        <v>358250</v>
      </c>
      <c r="O85" s="62">
        <v>36.6</v>
      </c>
      <c r="P85" s="59">
        <v>58680</v>
      </c>
      <c r="Q85" s="58">
        <v>6</v>
      </c>
      <c r="R85" s="59">
        <v>234570</v>
      </c>
      <c r="S85" s="58">
        <v>24</v>
      </c>
      <c r="T85" s="59" t="s">
        <v>68</v>
      </c>
      <c r="U85" s="58" t="s">
        <v>68</v>
      </c>
      <c r="V85" s="59">
        <v>1012610</v>
      </c>
      <c r="W85" s="58">
        <v>103.5</v>
      </c>
      <c r="X85" s="59">
        <v>-34640</v>
      </c>
      <c r="Y85" s="58">
        <v>-3.5</v>
      </c>
      <c r="Z85" s="63">
        <v>977970</v>
      </c>
    </row>
    <row r="86" spans="1:26">
      <c r="A86" s="19">
        <v>1989</v>
      </c>
      <c r="B86" s="59">
        <v>24870</v>
      </c>
      <c r="C86" s="58">
        <v>2.5</v>
      </c>
      <c r="D86" s="59">
        <v>109750</v>
      </c>
      <c r="E86" s="58">
        <v>11.2</v>
      </c>
      <c r="F86" s="59">
        <v>22970</v>
      </c>
      <c r="G86" s="58">
        <v>2.2999999999999998</v>
      </c>
      <c r="H86" s="59">
        <v>14890</v>
      </c>
      <c r="I86" s="58">
        <v>1.5</v>
      </c>
      <c r="J86" s="59">
        <v>518550</v>
      </c>
      <c r="K86" s="58">
        <v>52.9</v>
      </c>
      <c r="L86" s="59">
        <v>128580</v>
      </c>
      <c r="M86" s="65">
        <v>13.1</v>
      </c>
      <c r="N86" s="66">
        <v>389970</v>
      </c>
      <c r="O86" s="62">
        <v>39.799999999999997</v>
      </c>
      <c r="P86" s="59">
        <v>63820</v>
      </c>
      <c r="Q86" s="58">
        <v>6.5</v>
      </c>
      <c r="R86" s="59">
        <v>235010</v>
      </c>
      <c r="S86" s="58">
        <v>24</v>
      </c>
      <c r="T86" s="59" t="s">
        <v>68</v>
      </c>
      <c r="U86" s="58" t="s">
        <v>68</v>
      </c>
      <c r="V86" s="59">
        <v>989860</v>
      </c>
      <c r="W86" s="58">
        <v>100.9</v>
      </c>
      <c r="X86" s="59">
        <v>-9060</v>
      </c>
      <c r="Y86" s="58">
        <v>-0.9</v>
      </c>
      <c r="Z86" s="63">
        <v>980800</v>
      </c>
    </row>
    <row r="87" spans="1:26">
      <c r="A87" s="19">
        <v>1990</v>
      </c>
      <c r="B87" s="59">
        <v>28690</v>
      </c>
      <c r="C87" s="67">
        <v>2.8</v>
      </c>
      <c r="D87" s="59">
        <v>110430</v>
      </c>
      <c r="E87" s="59">
        <v>10.8</v>
      </c>
      <c r="F87" s="59">
        <v>23200</v>
      </c>
      <c r="G87" s="67">
        <v>2.2999999999999998</v>
      </c>
      <c r="H87" s="59">
        <v>14890</v>
      </c>
      <c r="I87" s="59">
        <v>1.5</v>
      </c>
      <c r="J87" s="59">
        <v>532260</v>
      </c>
      <c r="K87" s="67">
        <v>52.3</v>
      </c>
      <c r="L87" s="59">
        <v>130680</v>
      </c>
      <c r="M87" s="67">
        <v>12.8</v>
      </c>
      <c r="N87" s="59">
        <v>401580</v>
      </c>
      <c r="O87" s="67">
        <v>39.4</v>
      </c>
      <c r="P87" s="59">
        <v>68310</v>
      </c>
      <c r="Q87" s="58">
        <v>6.7</v>
      </c>
      <c r="R87" s="59">
        <v>243250</v>
      </c>
      <c r="S87" s="67">
        <v>23.9</v>
      </c>
      <c r="T87" s="59">
        <v>4580</v>
      </c>
      <c r="U87" s="67">
        <v>0.4</v>
      </c>
      <c r="V87" s="59">
        <v>1025610</v>
      </c>
      <c r="W87" s="67">
        <v>100.7</v>
      </c>
      <c r="X87" s="59">
        <v>-7590</v>
      </c>
      <c r="Y87" s="67">
        <v>-0.7</v>
      </c>
      <c r="Z87" s="63">
        <v>1018020</v>
      </c>
    </row>
    <row r="88" spans="1:26">
      <c r="A88" s="19">
        <v>1991</v>
      </c>
      <c r="B88" s="59">
        <v>31610</v>
      </c>
      <c r="C88" s="67">
        <v>3</v>
      </c>
      <c r="D88" s="59">
        <v>119100</v>
      </c>
      <c r="E88" s="59">
        <v>11.3</v>
      </c>
      <c r="F88" s="59">
        <v>24430</v>
      </c>
      <c r="G88" s="67">
        <v>2.2999999999999998</v>
      </c>
      <c r="H88" s="59">
        <v>12650</v>
      </c>
      <c r="I88" s="59">
        <v>1.2</v>
      </c>
      <c r="J88" s="59">
        <v>561010</v>
      </c>
      <c r="K88" s="67">
        <v>53.1</v>
      </c>
      <c r="L88" s="59">
        <v>200520</v>
      </c>
      <c r="M88" s="67">
        <v>19</v>
      </c>
      <c r="N88" s="59">
        <v>360490</v>
      </c>
      <c r="O88" s="67">
        <v>34.1</v>
      </c>
      <c r="P88" s="59">
        <v>76680</v>
      </c>
      <c r="Q88" s="58">
        <v>7.3</v>
      </c>
      <c r="R88" s="59">
        <v>236230</v>
      </c>
      <c r="S88" s="67">
        <v>22.4</v>
      </c>
      <c r="T88" s="59">
        <v>5140</v>
      </c>
      <c r="U88" s="67">
        <v>0.5</v>
      </c>
      <c r="V88" s="59">
        <v>1066850</v>
      </c>
      <c r="W88" s="67">
        <v>101</v>
      </c>
      <c r="X88" s="59">
        <v>-10060</v>
      </c>
      <c r="Y88" s="67">
        <v>-1</v>
      </c>
      <c r="Z88" s="63">
        <v>1056790</v>
      </c>
    </row>
    <row r="89" spans="1:26">
      <c r="A89" s="19">
        <v>1992</v>
      </c>
      <c r="B89" s="59">
        <v>30660</v>
      </c>
      <c r="C89" s="67">
        <v>2.9</v>
      </c>
      <c r="D89" s="59">
        <v>121410</v>
      </c>
      <c r="E89" s="59">
        <v>11.4</v>
      </c>
      <c r="F89" s="59">
        <v>24640</v>
      </c>
      <c r="G89" s="67">
        <v>2.2999999999999998</v>
      </c>
      <c r="H89" s="59">
        <v>8760</v>
      </c>
      <c r="I89" s="59">
        <v>0.8</v>
      </c>
      <c r="J89" s="59">
        <v>564440</v>
      </c>
      <c r="K89" s="67">
        <v>53.2</v>
      </c>
      <c r="L89" s="59">
        <v>182830</v>
      </c>
      <c r="M89" s="67">
        <v>17.2</v>
      </c>
      <c r="N89" s="59">
        <v>381610</v>
      </c>
      <c r="O89" s="67">
        <v>35.9</v>
      </c>
      <c r="P89" s="59">
        <v>80600</v>
      </c>
      <c r="Q89" s="58">
        <v>7.6</v>
      </c>
      <c r="R89" s="59">
        <v>241320</v>
      </c>
      <c r="S89" s="67">
        <v>22.7</v>
      </c>
      <c r="T89" s="59">
        <v>5270</v>
      </c>
      <c r="U89" s="67">
        <v>0.5</v>
      </c>
      <c r="V89" s="59">
        <v>1077100</v>
      </c>
      <c r="W89" s="67">
        <v>101.5</v>
      </c>
      <c r="X89" s="59">
        <v>-15440</v>
      </c>
      <c r="Y89" s="67">
        <v>-1.5</v>
      </c>
      <c r="Z89" s="63">
        <v>1061660</v>
      </c>
    </row>
    <row r="90" spans="1:26">
      <c r="A90" s="19">
        <v>1993</v>
      </c>
      <c r="B90" s="59">
        <v>30750</v>
      </c>
      <c r="C90" s="67">
        <v>3</v>
      </c>
      <c r="D90" s="59">
        <v>130510</v>
      </c>
      <c r="E90" s="59">
        <v>12.6</v>
      </c>
      <c r="F90" s="59">
        <v>29330</v>
      </c>
      <c r="G90" s="67">
        <v>2.8</v>
      </c>
      <c r="H90" s="59">
        <v>7340</v>
      </c>
      <c r="I90" s="59">
        <v>0.7</v>
      </c>
      <c r="J90" s="59">
        <v>533440</v>
      </c>
      <c r="K90" s="67">
        <v>51.5</v>
      </c>
      <c r="L90" s="59">
        <v>203880</v>
      </c>
      <c r="M90" s="67">
        <v>19.7</v>
      </c>
      <c r="N90" s="59">
        <v>329560</v>
      </c>
      <c r="O90" s="67">
        <v>31.8</v>
      </c>
      <c r="P90" s="59">
        <v>84560</v>
      </c>
      <c r="Q90" s="58">
        <v>8.1999999999999993</v>
      </c>
      <c r="R90" s="59">
        <v>240320</v>
      </c>
      <c r="S90" s="67">
        <v>23.2</v>
      </c>
      <c r="T90" s="59">
        <v>5620</v>
      </c>
      <c r="U90" s="67">
        <v>0.5</v>
      </c>
      <c r="V90" s="59">
        <v>1061870</v>
      </c>
      <c r="W90" s="67">
        <v>102.5</v>
      </c>
      <c r="X90" s="59">
        <v>-25920</v>
      </c>
      <c r="Y90" s="67">
        <v>-2.5</v>
      </c>
      <c r="Z90" s="63">
        <v>1035950</v>
      </c>
    </row>
    <row r="91" spans="1:26">
      <c r="A91" s="19">
        <v>1994</v>
      </c>
      <c r="B91" s="59">
        <v>28710</v>
      </c>
      <c r="C91" s="67">
        <v>2.8</v>
      </c>
      <c r="D91" s="59">
        <v>142400</v>
      </c>
      <c r="E91" s="59">
        <v>13.9</v>
      </c>
      <c r="F91" s="59">
        <v>29530</v>
      </c>
      <c r="G91" s="67">
        <v>2.9</v>
      </c>
      <c r="H91" s="59">
        <v>7430</v>
      </c>
      <c r="I91" s="59">
        <v>0.7</v>
      </c>
      <c r="J91" s="59">
        <v>522270</v>
      </c>
      <c r="K91" s="67">
        <v>50.8</v>
      </c>
      <c r="L91" s="59">
        <v>208120</v>
      </c>
      <c r="M91" s="67">
        <v>20.3</v>
      </c>
      <c r="N91" s="59">
        <v>314150</v>
      </c>
      <c r="O91" s="67">
        <v>30.6</v>
      </c>
      <c r="P91" s="59">
        <v>83410</v>
      </c>
      <c r="Q91" s="58">
        <v>8.1</v>
      </c>
      <c r="R91" s="59">
        <v>250730</v>
      </c>
      <c r="S91" s="67">
        <v>24.4</v>
      </c>
      <c r="T91" s="59">
        <v>5730</v>
      </c>
      <c r="U91" s="67">
        <v>0.6</v>
      </c>
      <c r="V91" s="59">
        <v>1070210</v>
      </c>
      <c r="W91" s="67">
        <v>104.1</v>
      </c>
      <c r="X91" s="59">
        <v>-42640</v>
      </c>
      <c r="Y91" s="67">
        <v>-4.0999999999999996</v>
      </c>
      <c r="Z91" s="63">
        <v>1027570</v>
      </c>
    </row>
    <row r="92" spans="1:26">
      <c r="A92" s="19">
        <v>1995</v>
      </c>
      <c r="B92" s="59">
        <v>30640</v>
      </c>
      <c r="C92" s="67">
        <v>2.9</v>
      </c>
      <c r="D92" s="59">
        <v>128150</v>
      </c>
      <c r="E92" s="59">
        <v>12.1</v>
      </c>
      <c r="F92" s="59">
        <v>32820</v>
      </c>
      <c r="G92" s="67">
        <v>3.1</v>
      </c>
      <c r="H92" s="59">
        <v>7970</v>
      </c>
      <c r="I92" s="59">
        <v>0.8</v>
      </c>
      <c r="J92" s="59">
        <v>529710</v>
      </c>
      <c r="K92" s="67">
        <v>50.1</v>
      </c>
      <c r="L92" s="59">
        <v>199480</v>
      </c>
      <c r="M92" s="67">
        <v>18.899999999999999</v>
      </c>
      <c r="N92" s="59">
        <v>330230</v>
      </c>
      <c r="O92" s="67">
        <v>31.2</v>
      </c>
      <c r="P92" s="59">
        <v>91920</v>
      </c>
      <c r="Q92" s="58">
        <v>8.6999999999999993</v>
      </c>
      <c r="R92" s="59">
        <v>256210</v>
      </c>
      <c r="S92" s="67">
        <v>24.2</v>
      </c>
      <c r="T92" s="59">
        <v>6160</v>
      </c>
      <c r="U92" s="67">
        <v>0.6</v>
      </c>
      <c r="V92" s="59">
        <v>1083580</v>
      </c>
      <c r="W92" s="67">
        <v>102.5</v>
      </c>
      <c r="X92" s="59">
        <v>-26180</v>
      </c>
      <c r="Y92" s="67">
        <v>-2.5</v>
      </c>
      <c r="Z92" s="63">
        <v>1057400</v>
      </c>
    </row>
    <row r="93" spans="1:26">
      <c r="A93" s="19">
        <v>1996</v>
      </c>
      <c r="B93" s="59">
        <v>33720</v>
      </c>
      <c r="C93" s="67">
        <v>3.1</v>
      </c>
      <c r="D93" s="59">
        <v>106910</v>
      </c>
      <c r="E93" s="59">
        <v>9.9</v>
      </c>
      <c r="F93" s="59">
        <v>33590</v>
      </c>
      <c r="G93" s="67">
        <v>3.1</v>
      </c>
      <c r="H93" s="59">
        <v>5960</v>
      </c>
      <c r="I93" s="59">
        <v>0.6</v>
      </c>
      <c r="J93" s="59">
        <v>539860</v>
      </c>
      <c r="K93" s="67">
        <v>49.9</v>
      </c>
      <c r="L93" s="59">
        <v>225610</v>
      </c>
      <c r="M93" s="67">
        <v>20.9</v>
      </c>
      <c r="N93" s="59">
        <v>314250</v>
      </c>
      <c r="O93" s="67">
        <v>29.1</v>
      </c>
      <c r="P93" s="59">
        <v>99500</v>
      </c>
      <c r="Q93" s="58">
        <v>9.1999999999999993</v>
      </c>
      <c r="R93" s="59">
        <v>258750</v>
      </c>
      <c r="S93" s="67">
        <v>23.9</v>
      </c>
      <c r="T93" s="59">
        <v>6670</v>
      </c>
      <c r="U93" s="67">
        <v>0.6</v>
      </c>
      <c r="V93" s="59">
        <v>1084960</v>
      </c>
      <c r="W93" s="67">
        <v>100.3</v>
      </c>
      <c r="X93" s="59">
        <v>-3400</v>
      </c>
      <c r="Y93" s="67">
        <v>-0.3</v>
      </c>
      <c r="Z93" s="63">
        <v>1081560</v>
      </c>
    </row>
    <row r="94" spans="1:26">
      <c r="A94" s="19">
        <v>1997</v>
      </c>
      <c r="B94" s="59">
        <v>29660</v>
      </c>
      <c r="C94" s="67">
        <v>2.8</v>
      </c>
      <c r="D94" s="59">
        <v>125260</v>
      </c>
      <c r="E94" s="59">
        <v>11.7</v>
      </c>
      <c r="F94" s="59">
        <v>35630</v>
      </c>
      <c r="G94" s="67">
        <v>3.3</v>
      </c>
      <c r="H94" s="59">
        <v>4590</v>
      </c>
      <c r="I94" s="59">
        <v>0.4</v>
      </c>
      <c r="J94" s="59">
        <v>532340</v>
      </c>
      <c r="K94" s="67">
        <v>49.9</v>
      </c>
      <c r="L94" s="59">
        <v>212450</v>
      </c>
      <c r="M94" s="67">
        <v>19.899999999999999</v>
      </c>
      <c r="N94" s="59">
        <v>319890</v>
      </c>
      <c r="O94" s="67">
        <v>30</v>
      </c>
      <c r="P94" s="59">
        <v>96060</v>
      </c>
      <c r="Q94" s="58">
        <v>9</v>
      </c>
      <c r="R94" s="59">
        <v>261500</v>
      </c>
      <c r="S94" s="67">
        <v>24.5</v>
      </c>
      <c r="T94" s="59">
        <v>6630</v>
      </c>
      <c r="U94" s="67">
        <v>0.6</v>
      </c>
      <c r="V94" s="59">
        <v>1091670</v>
      </c>
      <c r="W94" s="67">
        <v>102.3</v>
      </c>
      <c r="X94" s="59">
        <v>-24310</v>
      </c>
      <c r="Y94" s="67">
        <v>-2.2999999999999998</v>
      </c>
      <c r="Z94" s="63">
        <v>1067360</v>
      </c>
    </row>
    <row r="95" spans="1:26">
      <c r="A95" s="19">
        <v>1998</v>
      </c>
      <c r="B95" s="59">
        <v>30200</v>
      </c>
      <c r="C95" s="67">
        <v>2.8</v>
      </c>
      <c r="D95" s="59">
        <v>123460</v>
      </c>
      <c r="E95" s="59">
        <v>11.2</v>
      </c>
      <c r="F95" s="59">
        <v>37660</v>
      </c>
      <c r="G95" s="67">
        <v>3.4</v>
      </c>
      <c r="H95" s="59">
        <v>3810</v>
      </c>
      <c r="I95" s="59">
        <v>0.3</v>
      </c>
      <c r="J95" s="59">
        <v>551940</v>
      </c>
      <c r="K95" s="67">
        <v>50.3</v>
      </c>
      <c r="L95" s="59">
        <v>216960</v>
      </c>
      <c r="M95" s="67">
        <v>19.8</v>
      </c>
      <c r="N95" s="59">
        <v>334980</v>
      </c>
      <c r="O95" s="67">
        <v>30.5</v>
      </c>
      <c r="P95" s="59">
        <v>98880</v>
      </c>
      <c r="Q95" s="58">
        <v>9</v>
      </c>
      <c r="R95" s="59">
        <v>265830</v>
      </c>
      <c r="S95" s="67">
        <v>24.2</v>
      </c>
      <c r="T95" s="59">
        <v>7080</v>
      </c>
      <c r="U95" s="67">
        <v>0.6</v>
      </c>
      <c r="V95" s="59">
        <v>1118860</v>
      </c>
      <c r="W95" s="67">
        <v>102</v>
      </c>
      <c r="X95" s="59">
        <v>-21430</v>
      </c>
      <c r="Y95" s="67">
        <v>-2</v>
      </c>
      <c r="Z95" s="63">
        <v>1097430</v>
      </c>
    </row>
    <row r="96" spans="1:26">
      <c r="A96" s="19">
        <v>1999</v>
      </c>
      <c r="B96" s="59">
        <v>30070</v>
      </c>
      <c r="C96" s="67">
        <v>2.7</v>
      </c>
      <c r="D96" s="59">
        <v>146220</v>
      </c>
      <c r="E96" s="59">
        <v>13.3</v>
      </c>
      <c r="F96" s="59">
        <v>41670</v>
      </c>
      <c r="G96" s="67">
        <v>3.8</v>
      </c>
      <c r="H96" s="59">
        <v>3960</v>
      </c>
      <c r="I96" s="59">
        <v>0.4</v>
      </c>
      <c r="J96" s="59">
        <v>550400</v>
      </c>
      <c r="K96" s="67">
        <v>49.9</v>
      </c>
      <c r="L96" s="59">
        <v>218180</v>
      </c>
      <c r="M96" s="67">
        <v>19.8</v>
      </c>
      <c r="N96" s="59">
        <v>332220</v>
      </c>
      <c r="O96" s="67">
        <v>30.1</v>
      </c>
      <c r="P96" s="59">
        <v>102450</v>
      </c>
      <c r="Q96" s="58">
        <v>9.3000000000000007</v>
      </c>
      <c r="R96" s="59">
        <v>256610</v>
      </c>
      <c r="S96" s="67">
        <v>23.3</v>
      </c>
      <c r="T96" s="59">
        <v>7360</v>
      </c>
      <c r="U96" s="67">
        <v>0.7</v>
      </c>
      <c r="V96" s="59">
        <v>1138740</v>
      </c>
      <c r="W96" s="67">
        <v>103.3</v>
      </c>
      <c r="X96" s="59">
        <v>-36820</v>
      </c>
      <c r="Y96" s="67">
        <v>-3.3</v>
      </c>
      <c r="Z96" s="63">
        <v>1101920</v>
      </c>
    </row>
    <row r="97" spans="1:26">
      <c r="A97" s="19">
        <v>2000</v>
      </c>
      <c r="B97" s="59">
        <v>28390</v>
      </c>
      <c r="C97" s="67">
        <v>2.6</v>
      </c>
      <c r="D97" s="59">
        <v>136260</v>
      </c>
      <c r="E97" s="59">
        <v>12.3</v>
      </c>
      <c r="F97" s="59">
        <v>45560</v>
      </c>
      <c r="G97" s="67">
        <v>4.0999999999999996</v>
      </c>
      <c r="H97" s="59">
        <v>5770</v>
      </c>
      <c r="I97" s="59">
        <v>0.5</v>
      </c>
      <c r="J97" s="59">
        <v>535790</v>
      </c>
      <c r="K97" s="67">
        <v>48.4</v>
      </c>
      <c r="L97" s="59">
        <v>198260</v>
      </c>
      <c r="M97" s="67">
        <v>17.899999999999999</v>
      </c>
      <c r="N97" s="59">
        <v>337530</v>
      </c>
      <c r="O97" s="67">
        <v>30.5</v>
      </c>
      <c r="P97" s="59">
        <v>101880</v>
      </c>
      <c r="Q97" s="58">
        <v>9.1999999999999993</v>
      </c>
      <c r="R97" s="59">
        <v>272170</v>
      </c>
      <c r="S97" s="67">
        <v>24.6</v>
      </c>
      <c r="T97" s="59">
        <v>7440</v>
      </c>
      <c r="U97" s="67">
        <v>0.7</v>
      </c>
      <c r="V97" s="59">
        <v>1133260</v>
      </c>
      <c r="W97" s="67">
        <v>102.3</v>
      </c>
      <c r="X97" s="59">
        <v>-25450</v>
      </c>
      <c r="Y97" s="67">
        <v>-2.2999999999999998</v>
      </c>
      <c r="Z97" s="63">
        <v>1107810</v>
      </c>
    </row>
    <row r="98" spans="1:26">
      <c r="A98" s="19">
        <v>2001</v>
      </c>
      <c r="B98" s="59">
        <v>30200</v>
      </c>
      <c r="C98" s="67">
        <v>2.7</v>
      </c>
      <c r="D98" s="59">
        <v>152140</v>
      </c>
      <c r="E98" s="59">
        <v>13.4</v>
      </c>
      <c r="F98" s="59">
        <v>46360</v>
      </c>
      <c r="G98" s="67">
        <v>4.0999999999999996</v>
      </c>
      <c r="H98" s="59">
        <v>6030</v>
      </c>
      <c r="I98" s="59">
        <v>0.5</v>
      </c>
      <c r="J98" s="59">
        <v>547820</v>
      </c>
      <c r="K98" s="67">
        <v>48.3</v>
      </c>
      <c r="L98" s="59">
        <v>209840</v>
      </c>
      <c r="M98" s="67">
        <v>18.5</v>
      </c>
      <c r="N98" s="59">
        <v>337980</v>
      </c>
      <c r="O98" s="67">
        <v>29.8</v>
      </c>
      <c r="P98" s="59">
        <v>106040</v>
      </c>
      <c r="Q98" s="58">
        <v>9.3000000000000007</v>
      </c>
      <c r="R98" s="59">
        <v>275920</v>
      </c>
      <c r="S98" s="67">
        <v>24.3</v>
      </c>
      <c r="T98" s="59">
        <v>7920</v>
      </c>
      <c r="U98" s="67">
        <v>0.7</v>
      </c>
      <c r="V98" s="59">
        <v>1172430</v>
      </c>
      <c r="W98" s="67">
        <v>103.3</v>
      </c>
      <c r="X98" s="59">
        <v>-37590</v>
      </c>
      <c r="Y98" s="67">
        <v>-3.3</v>
      </c>
      <c r="Z98" s="63">
        <v>1134840</v>
      </c>
    </row>
    <row r="99" spans="1:26">
      <c r="A99" s="19">
        <v>2002</v>
      </c>
      <c r="B99" s="59">
        <v>29090</v>
      </c>
      <c r="C99" s="67">
        <v>2.6</v>
      </c>
      <c r="D99" s="59">
        <v>131450</v>
      </c>
      <c r="E99" s="59">
        <v>11.8</v>
      </c>
      <c r="F99" s="59">
        <v>48150</v>
      </c>
      <c r="G99" s="67">
        <v>4.3</v>
      </c>
      <c r="H99" s="59">
        <v>5560</v>
      </c>
      <c r="I99" s="59">
        <v>0.5</v>
      </c>
      <c r="J99" s="59">
        <v>522710</v>
      </c>
      <c r="K99" s="67">
        <v>47</v>
      </c>
      <c r="L99" s="59">
        <v>210250</v>
      </c>
      <c r="M99" s="67">
        <v>18.899999999999999</v>
      </c>
      <c r="N99" s="59">
        <v>312460</v>
      </c>
      <c r="O99" s="67">
        <v>28.1</v>
      </c>
      <c r="P99" s="59">
        <v>104080</v>
      </c>
      <c r="Q99" s="58">
        <v>9.4</v>
      </c>
      <c r="R99" s="59">
        <v>280280</v>
      </c>
      <c r="S99" s="67">
        <v>25.2</v>
      </c>
      <c r="T99" s="59">
        <v>8010</v>
      </c>
      <c r="U99" s="67">
        <v>0.7</v>
      </c>
      <c r="V99" s="59">
        <v>1129330</v>
      </c>
      <c r="W99" s="67">
        <v>101.5</v>
      </c>
      <c r="X99" s="59">
        <v>-16230</v>
      </c>
      <c r="Y99" s="67">
        <v>-1.5</v>
      </c>
      <c r="Z99" s="63">
        <v>1113100</v>
      </c>
    </row>
    <row r="100" spans="1:26">
      <c r="A100" s="19">
        <v>2003</v>
      </c>
      <c r="B100" s="59">
        <v>31200</v>
      </c>
      <c r="C100" s="67">
        <v>2.7</v>
      </c>
      <c r="D100" s="59">
        <v>131200</v>
      </c>
      <c r="E100" s="59">
        <v>11.5</v>
      </c>
      <c r="F100" s="59">
        <v>48650</v>
      </c>
      <c r="G100" s="67">
        <v>4.3</v>
      </c>
      <c r="H100" s="59">
        <v>5710</v>
      </c>
      <c r="I100" s="59">
        <v>0.5</v>
      </c>
      <c r="J100" s="59">
        <v>529240</v>
      </c>
      <c r="K100" s="67">
        <v>46.6</v>
      </c>
      <c r="L100" s="59">
        <v>196990</v>
      </c>
      <c r="M100" s="67">
        <v>17.3</v>
      </c>
      <c r="N100" s="59">
        <v>332250</v>
      </c>
      <c r="O100" s="67">
        <v>29.2</v>
      </c>
      <c r="P100" s="59">
        <v>110010</v>
      </c>
      <c r="Q100" s="58">
        <v>9.6999999999999993</v>
      </c>
      <c r="R100" s="59">
        <v>282880</v>
      </c>
      <c r="S100" s="67">
        <v>24.9</v>
      </c>
      <c r="T100" s="59">
        <v>8520</v>
      </c>
      <c r="U100" s="67">
        <v>0.7</v>
      </c>
      <c r="V100" s="59">
        <v>1147410</v>
      </c>
      <c r="W100" s="67">
        <v>101</v>
      </c>
      <c r="X100" s="59">
        <v>-11210</v>
      </c>
      <c r="Y100" s="67">
        <v>-1</v>
      </c>
      <c r="Z100" s="63">
        <v>1136200</v>
      </c>
    </row>
    <row r="101" spans="1:26">
      <c r="A101" s="19">
        <v>2004</v>
      </c>
      <c r="B101" s="59">
        <v>31100</v>
      </c>
      <c r="C101" s="67">
        <v>2.7</v>
      </c>
      <c r="D101" s="59">
        <v>126420</v>
      </c>
      <c r="E101" s="59">
        <v>11.1</v>
      </c>
      <c r="F101" s="59">
        <v>49120</v>
      </c>
      <c r="G101" s="67">
        <v>4.3</v>
      </c>
      <c r="H101" s="59">
        <v>5420</v>
      </c>
      <c r="I101" s="59">
        <v>0.5</v>
      </c>
      <c r="J101" s="59">
        <v>530420</v>
      </c>
      <c r="K101" s="67">
        <v>46.5</v>
      </c>
      <c r="L101" s="59">
        <v>223050</v>
      </c>
      <c r="M101" s="67">
        <v>19.600000000000001</v>
      </c>
      <c r="N101" s="59">
        <v>307370</v>
      </c>
      <c r="O101" s="67">
        <v>27</v>
      </c>
      <c r="P101" s="59">
        <v>113490</v>
      </c>
      <c r="Q101" s="58">
        <v>10</v>
      </c>
      <c r="R101" s="59">
        <v>277440</v>
      </c>
      <c r="S101" s="67">
        <v>24.3</v>
      </c>
      <c r="T101" s="59">
        <v>8800</v>
      </c>
      <c r="U101" s="67">
        <v>0.8</v>
      </c>
      <c r="V101" s="59">
        <v>1142210</v>
      </c>
      <c r="W101" s="67">
        <v>100.2</v>
      </c>
      <c r="X101" s="59">
        <v>-2530</v>
      </c>
      <c r="Y101" s="67">
        <v>-0.2</v>
      </c>
      <c r="Z101" s="63">
        <v>1139680</v>
      </c>
    </row>
    <row r="102" spans="1:26">
      <c r="A102" s="19">
        <v>2005</v>
      </c>
      <c r="B102" s="59">
        <v>32460</v>
      </c>
      <c r="C102" s="67">
        <v>2.9</v>
      </c>
      <c r="D102" s="59">
        <v>117930</v>
      </c>
      <c r="E102" s="59">
        <v>10.4</v>
      </c>
      <c r="F102" s="59">
        <v>51260</v>
      </c>
      <c r="G102" s="67">
        <v>4.5</v>
      </c>
      <c r="H102" s="59">
        <v>6040</v>
      </c>
      <c r="I102" s="59">
        <v>0.5</v>
      </c>
      <c r="J102" s="59">
        <v>533330</v>
      </c>
      <c r="K102" s="67">
        <v>47.2</v>
      </c>
      <c r="L102" s="59">
        <v>208310</v>
      </c>
      <c r="M102" s="67">
        <v>18.399999999999999</v>
      </c>
      <c r="N102" s="59">
        <v>325020</v>
      </c>
      <c r="O102" s="67">
        <v>28.8</v>
      </c>
      <c r="P102" s="59">
        <v>116510</v>
      </c>
      <c r="Q102" s="58">
        <v>10.3</v>
      </c>
      <c r="R102" s="59">
        <v>240220</v>
      </c>
      <c r="S102" s="67">
        <v>21.3</v>
      </c>
      <c r="T102" s="59">
        <v>9560</v>
      </c>
      <c r="U102" s="67">
        <v>0.8</v>
      </c>
      <c r="V102" s="59">
        <v>1107310</v>
      </c>
      <c r="W102" s="67">
        <v>98</v>
      </c>
      <c r="X102" s="59">
        <v>22860</v>
      </c>
      <c r="Y102" s="67">
        <v>2</v>
      </c>
      <c r="Z102" s="63">
        <v>1130170</v>
      </c>
    </row>
    <row r="103" spans="1:26">
      <c r="A103" s="19">
        <v>2006</v>
      </c>
      <c r="B103" s="59">
        <v>33220</v>
      </c>
      <c r="C103" s="67">
        <v>2.9</v>
      </c>
      <c r="D103" s="59">
        <v>117210</v>
      </c>
      <c r="E103" s="59">
        <v>10.1</v>
      </c>
      <c r="F103" s="59">
        <v>55090</v>
      </c>
      <c r="G103" s="67">
        <v>4.7</v>
      </c>
      <c r="H103" s="59">
        <v>6520</v>
      </c>
      <c r="I103" s="59">
        <v>0.6</v>
      </c>
      <c r="J103" s="59">
        <v>532310</v>
      </c>
      <c r="K103" s="67">
        <v>45.7</v>
      </c>
      <c r="L103" s="59">
        <v>236570</v>
      </c>
      <c r="M103" s="67">
        <v>20.3</v>
      </c>
      <c r="N103" s="59">
        <v>295740</v>
      </c>
      <c r="O103" s="67">
        <v>25.4</v>
      </c>
      <c r="P103" s="59">
        <v>113290</v>
      </c>
      <c r="Q103" s="58">
        <v>9.6999999999999993</v>
      </c>
      <c r="R103" s="59">
        <v>286300</v>
      </c>
      <c r="S103" s="67">
        <v>24.6</v>
      </c>
      <c r="T103" s="59">
        <v>10080</v>
      </c>
      <c r="U103" s="67">
        <v>0.9</v>
      </c>
      <c r="V103" s="59">
        <v>1154020</v>
      </c>
      <c r="W103" s="67">
        <v>99.2</v>
      </c>
      <c r="X103" s="59">
        <v>9730</v>
      </c>
      <c r="Y103" s="67">
        <v>0.8</v>
      </c>
      <c r="Z103" s="63">
        <v>1163750</v>
      </c>
    </row>
    <row r="104" spans="1:26">
      <c r="A104" s="19">
        <v>2007</v>
      </c>
      <c r="B104" s="59">
        <v>32670</v>
      </c>
      <c r="C104" s="67">
        <v>2.9</v>
      </c>
      <c r="D104" s="59">
        <v>130940</v>
      </c>
      <c r="E104" s="59">
        <v>11.5</v>
      </c>
      <c r="F104" s="59">
        <v>55260</v>
      </c>
      <c r="G104" s="67">
        <v>4.9000000000000004</v>
      </c>
      <c r="H104" s="59">
        <v>7300</v>
      </c>
      <c r="I104" s="59">
        <v>0.6</v>
      </c>
      <c r="J104" s="59">
        <v>508420</v>
      </c>
      <c r="K104" s="67">
        <v>44.8</v>
      </c>
      <c r="L104" s="59">
        <v>203620</v>
      </c>
      <c r="M104" s="67">
        <v>17.899999999999999</v>
      </c>
      <c r="N104" s="59">
        <v>304800</v>
      </c>
      <c r="O104" s="67">
        <v>26.8</v>
      </c>
      <c r="P104" s="59">
        <v>110310</v>
      </c>
      <c r="Q104" s="58">
        <v>9.6999999999999993</v>
      </c>
      <c r="R104" s="59">
        <v>287390</v>
      </c>
      <c r="S104" s="67">
        <v>25.3</v>
      </c>
      <c r="T104" s="59">
        <v>10950</v>
      </c>
      <c r="U104" s="67">
        <v>1</v>
      </c>
      <c r="V104" s="59">
        <v>1143240</v>
      </c>
      <c r="W104" s="67">
        <v>100.7</v>
      </c>
      <c r="X104" s="59">
        <v>-7430</v>
      </c>
      <c r="Y104" s="67">
        <v>-0.7</v>
      </c>
      <c r="Z104" s="63">
        <v>1135810</v>
      </c>
    </row>
    <row r="105" spans="1:26">
      <c r="A105" s="19">
        <v>2008</v>
      </c>
      <c r="B105" s="59">
        <v>37460</v>
      </c>
      <c r="C105" s="67">
        <v>3.2</v>
      </c>
      <c r="D105" s="59">
        <v>135210</v>
      </c>
      <c r="E105" s="59">
        <v>11.5</v>
      </c>
      <c r="F105" s="59">
        <v>54690</v>
      </c>
      <c r="G105" s="67">
        <v>4.7</v>
      </c>
      <c r="H105" s="59">
        <v>6560</v>
      </c>
      <c r="I105" s="59">
        <v>0.6</v>
      </c>
      <c r="J105" s="59">
        <v>525990</v>
      </c>
      <c r="K105" s="67">
        <v>44.9</v>
      </c>
      <c r="L105" s="59">
        <v>218340</v>
      </c>
      <c r="M105" s="67">
        <v>18.600000000000001</v>
      </c>
      <c r="N105" s="59">
        <v>307650</v>
      </c>
      <c r="O105" s="67">
        <v>26.3</v>
      </c>
      <c r="P105" s="59">
        <v>117530</v>
      </c>
      <c r="Q105" s="58">
        <v>10</v>
      </c>
      <c r="R105" s="59">
        <v>285080</v>
      </c>
      <c r="S105" s="67">
        <v>24.3</v>
      </c>
      <c r="T105" s="59">
        <v>12610</v>
      </c>
      <c r="U105" s="67">
        <v>1.1000000000000001</v>
      </c>
      <c r="V105" s="59">
        <v>1175130</v>
      </c>
      <c r="W105" s="67">
        <v>100.3</v>
      </c>
      <c r="X105" s="59">
        <v>-4090</v>
      </c>
      <c r="Y105" s="67">
        <v>-0.3</v>
      </c>
      <c r="Z105" s="63">
        <v>1171040</v>
      </c>
    </row>
    <row r="106" spans="1:26">
      <c r="A106" s="19">
        <v>2009</v>
      </c>
      <c r="B106" s="59">
        <v>39240</v>
      </c>
      <c r="C106" s="67">
        <v>3.4</v>
      </c>
      <c r="D106" s="59">
        <v>133690</v>
      </c>
      <c r="E106" s="59">
        <v>11.6</v>
      </c>
      <c r="F106" s="59">
        <v>52770</v>
      </c>
      <c r="G106" s="67">
        <v>4.5999999999999996</v>
      </c>
      <c r="H106" s="59">
        <v>6190</v>
      </c>
      <c r="I106" s="59">
        <v>0.5</v>
      </c>
      <c r="J106" s="59">
        <v>512710</v>
      </c>
      <c r="K106" s="67">
        <v>44.7</v>
      </c>
      <c r="L106" s="59">
        <v>208020</v>
      </c>
      <c r="M106" s="67">
        <v>18.100000000000001</v>
      </c>
      <c r="N106" s="59">
        <v>304690</v>
      </c>
      <c r="O106" s="67">
        <v>26.5</v>
      </c>
      <c r="P106" s="59">
        <v>112810</v>
      </c>
      <c r="Q106" s="58">
        <v>9.8000000000000007</v>
      </c>
      <c r="R106" s="59">
        <v>284930</v>
      </c>
      <c r="S106" s="67">
        <v>24.8</v>
      </c>
      <c r="T106" s="59">
        <v>13660</v>
      </c>
      <c r="U106" s="67">
        <v>1.2</v>
      </c>
      <c r="V106" s="59">
        <v>1156000</v>
      </c>
      <c r="W106" s="67">
        <v>100.7</v>
      </c>
      <c r="X106" s="59">
        <v>-7770</v>
      </c>
      <c r="Y106" s="67">
        <v>-0.7</v>
      </c>
      <c r="Z106" s="63">
        <v>1148230</v>
      </c>
    </row>
    <row r="107" spans="1:26">
      <c r="A107" s="19">
        <v>2010</v>
      </c>
      <c r="B107" s="59">
        <v>42730</v>
      </c>
      <c r="C107" s="67">
        <v>3.6</v>
      </c>
      <c r="D107" s="59">
        <v>134820</v>
      </c>
      <c r="E107" s="59">
        <v>11.4</v>
      </c>
      <c r="F107" s="59">
        <v>54690</v>
      </c>
      <c r="G107" s="67">
        <v>4.5999999999999996</v>
      </c>
      <c r="H107" s="59">
        <v>6210</v>
      </c>
      <c r="I107" s="59">
        <v>0.5</v>
      </c>
      <c r="J107" s="59">
        <v>523480</v>
      </c>
      <c r="K107" s="67">
        <v>44.3</v>
      </c>
      <c r="L107" s="59">
        <v>194400</v>
      </c>
      <c r="M107" s="67">
        <v>16.5</v>
      </c>
      <c r="N107" s="59">
        <v>329080</v>
      </c>
      <c r="O107" s="67">
        <v>27.9</v>
      </c>
      <c r="P107" s="59">
        <v>126010</v>
      </c>
      <c r="Q107" s="58">
        <v>10.7</v>
      </c>
      <c r="R107" s="59">
        <v>274960</v>
      </c>
      <c r="S107" s="67">
        <v>23.3</v>
      </c>
      <c r="T107" s="59">
        <v>16300</v>
      </c>
      <c r="U107" s="67">
        <v>1.4</v>
      </c>
      <c r="V107" s="59">
        <v>1179200</v>
      </c>
      <c r="W107" s="67">
        <v>99.8</v>
      </c>
      <c r="X107" s="59">
        <v>1870</v>
      </c>
      <c r="Y107" s="67">
        <v>0.2</v>
      </c>
      <c r="Z107" s="63">
        <v>1181070</v>
      </c>
    </row>
    <row r="108" spans="1:26">
      <c r="A108" s="19">
        <v>2011</v>
      </c>
      <c r="B108" s="59">
        <v>38130</v>
      </c>
      <c r="C108" s="67">
        <v>3.4</v>
      </c>
      <c r="D108" s="59">
        <v>121660</v>
      </c>
      <c r="E108" s="59">
        <v>10.8</v>
      </c>
      <c r="F108" s="59">
        <v>55570</v>
      </c>
      <c r="G108" s="67">
        <v>4.9000000000000004</v>
      </c>
      <c r="H108" s="59">
        <v>5740</v>
      </c>
      <c r="I108" s="59">
        <v>0.5</v>
      </c>
      <c r="J108" s="59">
        <v>485280</v>
      </c>
      <c r="K108" s="67">
        <v>43.2</v>
      </c>
      <c r="L108" s="59">
        <v>190140</v>
      </c>
      <c r="M108" s="67">
        <v>16.899999999999999</v>
      </c>
      <c r="N108" s="59">
        <v>295140</v>
      </c>
      <c r="O108" s="67">
        <v>26.3</v>
      </c>
      <c r="P108" s="59">
        <v>111770</v>
      </c>
      <c r="Q108" s="58">
        <v>10</v>
      </c>
      <c r="R108" s="59">
        <v>278840</v>
      </c>
      <c r="S108" s="67">
        <v>24.8</v>
      </c>
      <c r="T108" s="59">
        <v>16800</v>
      </c>
      <c r="U108" s="67">
        <v>1.5</v>
      </c>
      <c r="V108" s="59">
        <v>1113790</v>
      </c>
      <c r="W108" s="67">
        <v>99.2</v>
      </c>
      <c r="X108" s="59">
        <v>9320</v>
      </c>
      <c r="Y108" s="67">
        <v>0.8</v>
      </c>
      <c r="Z108" s="63">
        <v>1123110</v>
      </c>
    </row>
    <row r="109" spans="1:26">
      <c r="A109" s="19">
        <v>2012</v>
      </c>
      <c r="B109" s="59">
        <v>42920</v>
      </c>
      <c r="C109" s="67">
        <v>3.8</v>
      </c>
      <c r="D109" s="59">
        <v>143660</v>
      </c>
      <c r="E109" s="59">
        <v>12.6</v>
      </c>
      <c r="F109" s="59">
        <v>56810</v>
      </c>
      <c r="G109" s="67">
        <v>5</v>
      </c>
      <c r="H109" s="59">
        <v>5170</v>
      </c>
      <c r="I109" s="59">
        <v>0.5</v>
      </c>
      <c r="J109" s="59">
        <v>494270</v>
      </c>
      <c r="K109" s="67">
        <v>43.3</v>
      </c>
      <c r="L109" s="59">
        <v>147490</v>
      </c>
      <c r="M109" s="67">
        <v>12.9</v>
      </c>
      <c r="N109" s="59">
        <v>346780</v>
      </c>
      <c r="O109" s="67">
        <v>30.3</v>
      </c>
      <c r="P109" s="59">
        <v>122520</v>
      </c>
      <c r="Q109" s="58">
        <v>10.7</v>
      </c>
      <c r="R109" s="59">
        <v>265580</v>
      </c>
      <c r="S109" s="67">
        <v>23.2</v>
      </c>
      <c r="T109" s="59">
        <v>19680</v>
      </c>
      <c r="U109" s="67">
        <v>1.7</v>
      </c>
      <c r="V109" s="59">
        <v>1150610</v>
      </c>
      <c r="W109" s="67">
        <v>100.7</v>
      </c>
      <c r="X109" s="59">
        <v>-7920</v>
      </c>
      <c r="Y109" s="67">
        <v>-0.7</v>
      </c>
      <c r="Z109" s="63">
        <v>1142690</v>
      </c>
    </row>
    <row r="110" spans="1:26">
      <c r="A110" s="19">
        <v>2013</v>
      </c>
      <c r="B110" s="59">
        <v>47310</v>
      </c>
      <c r="C110" s="67">
        <v>4</v>
      </c>
      <c r="D110" s="59">
        <v>142460</v>
      </c>
      <c r="E110" s="59">
        <v>12.2</v>
      </c>
      <c r="F110" s="59">
        <v>55230</v>
      </c>
      <c r="G110" s="67">
        <v>4.7</v>
      </c>
      <c r="H110" s="59">
        <v>5570</v>
      </c>
      <c r="I110" s="59">
        <v>0.5</v>
      </c>
      <c r="J110" s="59">
        <v>503880</v>
      </c>
      <c r="K110" s="67">
        <v>43.1</v>
      </c>
      <c r="L110" s="59">
        <v>211350</v>
      </c>
      <c r="M110" s="67">
        <v>18.100000000000001</v>
      </c>
      <c r="N110" s="59">
        <v>292530</v>
      </c>
      <c r="O110" s="67">
        <v>25</v>
      </c>
      <c r="P110" s="59">
        <v>129030</v>
      </c>
      <c r="Q110" s="58">
        <v>11</v>
      </c>
      <c r="R110" s="59">
        <v>271320</v>
      </c>
      <c r="S110" s="67">
        <v>23.2</v>
      </c>
      <c r="T110" s="59">
        <v>22280</v>
      </c>
      <c r="U110" s="67">
        <v>1.9</v>
      </c>
      <c r="V110" s="59">
        <v>1177080</v>
      </c>
      <c r="W110" s="67">
        <v>100.7</v>
      </c>
      <c r="X110" s="59">
        <v>-8620</v>
      </c>
      <c r="Y110" s="67">
        <v>-0.7</v>
      </c>
      <c r="Z110" s="63">
        <v>1168460</v>
      </c>
    </row>
    <row r="111" spans="1:26">
      <c r="A111" s="19">
        <v>2014</v>
      </c>
      <c r="B111" s="59">
        <v>40590</v>
      </c>
      <c r="C111" s="67">
        <v>3.7</v>
      </c>
      <c r="D111" s="59">
        <v>141510</v>
      </c>
      <c r="E111" s="59">
        <v>12.7</v>
      </c>
      <c r="F111" s="59">
        <v>57480</v>
      </c>
      <c r="G111" s="67">
        <v>5.2</v>
      </c>
      <c r="H111" s="59">
        <v>5700</v>
      </c>
      <c r="I111" s="59">
        <v>0.5</v>
      </c>
      <c r="J111" s="59">
        <v>462550</v>
      </c>
      <c r="K111" s="67">
        <v>41.6</v>
      </c>
      <c r="L111" s="59">
        <v>212530</v>
      </c>
      <c r="M111" s="67">
        <v>19.100000000000001</v>
      </c>
      <c r="N111" s="59">
        <v>250020</v>
      </c>
      <c r="O111" s="67">
        <v>22.5</v>
      </c>
      <c r="P111" s="59">
        <v>111770</v>
      </c>
      <c r="Q111" s="58">
        <v>10.1</v>
      </c>
      <c r="R111" s="59">
        <v>287670</v>
      </c>
      <c r="S111" s="67">
        <v>25.9</v>
      </c>
      <c r="T111" s="59">
        <v>23390</v>
      </c>
      <c r="U111" s="67">
        <v>2.1</v>
      </c>
      <c r="V111" s="59">
        <v>1130660</v>
      </c>
      <c r="W111" s="67">
        <v>101.8</v>
      </c>
      <c r="X111" s="59">
        <v>-19770</v>
      </c>
      <c r="Y111" s="67">
        <v>-1.8</v>
      </c>
      <c r="Z111" s="63">
        <v>1110890</v>
      </c>
    </row>
    <row r="112" spans="1:26">
      <c r="A112" s="19">
        <v>2015</v>
      </c>
      <c r="B112" s="59">
        <v>42250</v>
      </c>
      <c r="C112" s="67">
        <v>3.9</v>
      </c>
      <c r="D112" s="59">
        <v>142150</v>
      </c>
      <c r="E112" s="59">
        <v>13.1</v>
      </c>
      <c r="F112" s="59">
        <v>57150</v>
      </c>
      <c r="G112" s="67">
        <v>5.3</v>
      </c>
      <c r="H112" s="59">
        <v>5210</v>
      </c>
      <c r="I112" s="59">
        <v>0.5</v>
      </c>
      <c r="J112" s="59">
        <v>452980</v>
      </c>
      <c r="K112" s="67">
        <v>41.8</v>
      </c>
      <c r="L112" s="59">
        <v>122200</v>
      </c>
      <c r="M112" s="67">
        <v>11.3</v>
      </c>
      <c r="N112" s="59">
        <v>330780</v>
      </c>
      <c r="O112" s="67">
        <v>30.5</v>
      </c>
      <c r="P112" s="59">
        <v>119420</v>
      </c>
      <c r="Q112" s="58">
        <v>11</v>
      </c>
      <c r="R112" s="59">
        <v>241040</v>
      </c>
      <c r="S112" s="67">
        <v>22.2</v>
      </c>
      <c r="T112" s="59">
        <v>27800</v>
      </c>
      <c r="U112" s="67">
        <v>2.6</v>
      </c>
      <c r="V112" s="59">
        <v>1088000</v>
      </c>
      <c r="W112" s="67">
        <v>100.3</v>
      </c>
      <c r="X112" s="59">
        <v>-3720</v>
      </c>
      <c r="Y112" s="67">
        <v>-0.3</v>
      </c>
      <c r="Z112" s="63">
        <v>1084280</v>
      </c>
    </row>
    <row r="113" spans="1:26">
      <c r="A113" s="19">
        <v>2016</v>
      </c>
      <c r="B113" s="59">
        <v>45710</v>
      </c>
      <c r="C113" s="67">
        <v>4.2</v>
      </c>
      <c r="D113" s="59">
        <v>130770</v>
      </c>
      <c r="E113" s="59">
        <v>12.1</v>
      </c>
      <c r="F113" s="59">
        <v>59450</v>
      </c>
      <c r="G113" s="67">
        <v>5.5</v>
      </c>
      <c r="H113" s="59">
        <v>4790</v>
      </c>
      <c r="I113" s="59">
        <v>0.4</v>
      </c>
      <c r="J113" s="59">
        <v>451890</v>
      </c>
      <c r="K113" s="67">
        <v>41.7</v>
      </c>
      <c r="L113" s="59">
        <v>128590</v>
      </c>
      <c r="M113" s="67">
        <v>11.9</v>
      </c>
      <c r="N113" s="59">
        <v>323300</v>
      </c>
      <c r="O113" s="67">
        <v>29.8</v>
      </c>
      <c r="P113" s="59">
        <v>125460</v>
      </c>
      <c r="Q113" s="58">
        <v>11.6</v>
      </c>
      <c r="R113" s="59">
        <v>220750</v>
      </c>
      <c r="S113" s="67">
        <v>20.3</v>
      </c>
      <c r="T113" s="59">
        <v>32000</v>
      </c>
      <c r="U113" s="67">
        <v>2.9</v>
      </c>
      <c r="V113" s="59">
        <v>1070820</v>
      </c>
      <c r="W113" s="67">
        <v>98.7</v>
      </c>
      <c r="X113" s="59">
        <v>14130</v>
      </c>
      <c r="Y113" s="67">
        <v>1.3</v>
      </c>
      <c r="Z113" s="63">
        <v>1084950</v>
      </c>
    </row>
    <row r="114" spans="1:26">
      <c r="A114" s="19">
        <v>2017</v>
      </c>
      <c r="B114" s="59">
        <v>46720</v>
      </c>
      <c r="C114" s="67">
        <v>4.3</v>
      </c>
      <c r="D114" s="59">
        <v>132000</v>
      </c>
      <c r="E114" s="59">
        <v>12.2</v>
      </c>
      <c r="F114" s="59">
        <v>59680</v>
      </c>
      <c r="G114" s="67">
        <v>5.5</v>
      </c>
      <c r="H114" s="59">
        <v>4610</v>
      </c>
      <c r="I114" s="59">
        <v>0.4</v>
      </c>
      <c r="J114" s="59">
        <v>445030</v>
      </c>
      <c r="K114" s="67">
        <v>41.1</v>
      </c>
      <c r="L114" s="59">
        <v>123150</v>
      </c>
      <c r="M114" s="67">
        <v>11.4</v>
      </c>
      <c r="N114" s="59">
        <v>321880</v>
      </c>
      <c r="O114" s="67">
        <v>29.7</v>
      </c>
      <c r="P114" s="59">
        <v>125990</v>
      </c>
      <c r="Q114" s="58">
        <v>11.6</v>
      </c>
      <c r="R114" s="59">
        <v>212720</v>
      </c>
      <c r="S114" s="67">
        <v>19.600000000000001</v>
      </c>
      <c r="T114" s="59">
        <v>36300</v>
      </c>
      <c r="U114" s="67">
        <v>3.4</v>
      </c>
      <c r="V114" s="59">
        <v>1063050</v>
      </c>
      <c r="W114" s="67">
        <v>98.2</v>
      </c>
      <c r="X114" s="59">
        <v>19980</v>
      </c>
      <c r="Y114" s="67">
        <v>1.8</v>
      </c>
      <c r="Z114" s="63">
        <v>1083030</v>
      </c>
    </row>
    <row r="115" spans="1:26">
      <c r="A115" s="19">
        <v>2018</v>
      </c>
      <c r="B115" s="59">
        <v>44160</v>
      </c>
      <c r="C115" s="67">
        <v>4</v>
      </c>
      <c r="D115" s="59">
        <v>134740</v>
      </c>
      <c r="E115" s="59">
        <v>12.3</v>
      </c>
      <c r="F115" s="59">
        <v>60340</v>
      </c>
      <c r="G115" s="67">
        <v>5.5</v>
      </c>
      <c r="H115" s="59">
        <v>4290</v>
      </c>
      <c r="I115" s="59">
        <v>0.4</v>
      </c>
      <c r="J115" s="59">
        <v>436170</v>
      </c>
      <c r="K115" s="67">
        <v>39.700000000000003</v>
      </c>
      <c r="L115" s="59">
        <v>131400</v>
      </c>
      <c r="M115" s="67">
        <v>12</v>
      </c>
      <c r="N115" s="59">
        <v>304770</v>
      </c>
      <c r="O115" s="67">
        <v>27.7</v>
      </c>
      <c r="P115" s="59">
        <v>119510</v>
      </c>
      <c r="Q115" s="58">
        <v>10.9</v>
      </c>
      <c r="R115" s="59">
        <v>266330</v>
      </c>
      <c r="S115" s="67">
        <v>24.2</v>
      </c>
      <c r="T115" s="59">
        <v>39150</v>
      </c>
      <c r="U115" s="67">
        <v>3.6</v>
      </c>
      <c r="V115" s="59">
        <v>1104690</v>
      </c>
      <c r="W115" s="67">
        <v>100.5</v>
      </c>
      <c r="X115" s="59">
        <v>-5720</v>
      </c>
      <c r="Y115" s="67">
        <v>-0.5</v>
      </c>
      <c r="Z115" s="63">
        <v>1098970</v>
      </c>
    </row>
    <row r="116" spans="1:26">
      <c r="A116" s="19">
        <v>2019</v>
      </c>
      <c r="B116" s="59">
        <v>46070</v>
      </c>
      <c r="C116" s="67">
        <v>4.2</v>
      </c>
      <c r="D116" s="59">
        <v>146000</v>
      </c>
      <c r="E116" s="59">
        <v>13.2</v>
      </c>
      <c r="F116" s="59">
        <v>61250</v>
      </c>
      <c r="G116" s="67">
        <v>5.5</v>
      </c>
      <c r="H116" s="59">
        <v>3840</v>
      </c>
      <c r="I116" s="59">
        <v>0.3</v>
      </c>
      <c r="J116" s="59">
        <v>432240</v>
      </c>
      <c r="K116" s="67">
        <v>39</v>
      </c>
      <c r="L116" s="59">
        <v>119440</v>
      </c>
      <c r="M116" s="67">
        <v>10.8</v>
      </c>
      <c r="N116" s="59">
        <v>312800</v>
      </c>
      <c r="O116" s="67">
        <v>28.2</v>
      </c>
      <c r="P116" s="59">
        <v>122610</v>
      </c>
      <c r="Q116" s="58">
        <v>11.1</v>
      </c>
      <c r="R116" s="59">
        <v>275780</v>
      </c>
      <c r="S116" s="67">
        <v>24.9</v>
      </c>
      <c r="T116" s="59">
        <v>42390</v>
      </c>
      <c r="U116" s="67">
        <v>3.8</v>
      </c>
      <c r="V116" s="59">
        <v>1130180</v>
      </c>
      <c r="W116" s="67">
        <v>102</v>
      </c>
      <c r="X116" s="59">
        <v>-22530</v>
      </c>
      <c r="Y116" s="67">
        <v>-2</v>
      </c>
      <c r="Z116" s="63">
        <v>1107650</v>
      </c>
    </row>
    <row r="117" spans="1:26">
      <c r="A117" s="19">
        <v>2020</v>
      </c>
      <c r="B117" s="59">
        <v>45490</v>
      </c>
      <c r="C117" s="67">
        <v>4.5</v>
      </c>
      <c r="D117" s="59">
        <v>146220</v>
      </c>
      <c r="E117" s="59">
        <v>14.6</v>
      </c>
      <c r="F117" s="59">
        <v>61210</v>
      </c>
      <c r="G117" s="67">
        <v>6.1</v>
      </c>
      <c r="H117" s="59">
        <v>3700</v>
      </c>
      <c r="I117" s="59">
        <v>0.4</v>
      </c>
      <c r="J117" s="59">
        <v>352680</v>
      </c>
      <c r="K117" s="67">
        <v>35.1</v>
      </c>
      <c r="L117" s="59">
        <v>123230</v>
      </c>
      <c r="M117" s="67">
        <v>12.3</v>
      </c>
      <c r="N117" s="59">
        <v>229450</v>
      </c>
      <c r="O117" s="67">
        <v>22.8</v>
      </c>
      <c r="P117" s="59">
        <v>119390</v>
      </c>
      <c r="Q117" s="58">
        <v>11.9</v>
      </c>
      <c r="R117" s="59">
        <v>250800</v>
      </c>
      <c r="S117" s="67">
        <v>25</v>
      </c>
      <c r="T117" s="59">
        <v>44840</v>
      </c>
      <c r="U117" s="67">
        <v>4.5</v>
      </c>
      <c r="V117" s="59">
        <v>1024330</v>
      </c>
      <c r="W117" s="67">
        <v>102</v>
      </c>
      <c r="X117" s="59">
        <v>-20010</v>
      </c>
      <c r="Y117" s="67">
        <v>-2</v>
      </c>
      <c r="Z117" s="63">
        <v>1004320</v>
      </c>
    </row>
    <row r="118" spans="1:26">
      <c r="A118" s="19">
        <v>2021</v>
      </c>
      <c r="B118" s="59">
        <v>53180</v>
      </c>
      <c r="C118" s="67">
        <v>5.2</v>
      </c>
      <c r="D118" s="59">
        <v>142200</v>
      </c>
      <c r="E118" s="59">
        <v>14</v>
      </c>
      <c r="F118" s="59">
        <v>60580</v>
      </c>
      <c r="G118" s="67">
        <v>6</v>
      </c>
      <c r="H118" s="59">
        <v>3730</v>
      </c>
      <c r="I118" s="59">
        <v>0.4</v>
      </c>
      <c r="J118" s="59">
        <v>369030</v>
      </c>
      <c r="K118" s="67">
        <v>36.299999999999997</v>
      </c>
      <c r="L118" s="59">
        <v>101540</v>
      </c>
      <c r="M118" s="67">
        <v>10</v>
      </c>
      <c r="N118" s="59">
        <v>267490</v>
      </c>
      <c r="O118" s="67">
        <v>26.3</v>
      </c>
      <c r="P118" s="59">
        <v>129850</v>
      </c>
      <c r="Q118" s="58">
        <v>12.8</v>
      </c>
      <c r="R118" s="59">
        <v>202150</v>
      </c>
      <c r="S118" s="67">
        <v>19.899999999999999</v>
      </c>
      <c r="T118" s="59">
        <v>48600</v>
      </c>
      <c r="U118" s="67">
        <v>4.8</v>
      </c>
      <c r="V118" s="59">
        <v>1009320</v>
      </c>
      <c r="W118" s="67">
        <v>99.1</v>
      </c>
      <c r="X118" s="59">
        <v>8690</v>
      </c>
      <c r="Y118" s="67">
        <v>0.9</v>
      </c>
      <c r="Z118" s="63">
        <v>1018010</v>
      </c>
    </row>
    <row r="119" spans="1:26">
      <c r="A119" s="19">
        <v>2022</v>
      </c>
      <c r="B119" s="59">
        <v>48220</v>
      </c>
      <c r="C119" s="67">
        <v>4.7</v>
      </c>
      <c r="D119" s="59">
        <v>120600</v>
      </c>
      <c r="E119" s="59">
        <v>11.7</v>
      </c>
      <c r="F119" s="59">
        <v>58280</v>
      </c>
      <c r="G119" s="67">
        <v>5.7</v>
      </c>
      <c r="H119" s="59">
        <v>3880</v>
      </c>
      <c r="I119" s="59">
        <v>0.4</v>
      </c>
      <c r="J119" s="59">
        <v>372890</v>
      </c>
      <c r="K119" s="67">
        <v>36.299999999999997</v>
      </c>
      <c r="L119" s="59">
        <v>132710</v>
      </c>
      <c r="M119" s="67">
        <v>12.9</v>
      </c>
      <c r="N119" s="59">
        <v>240180</v>
      </c>
      <c r="O119" s="67">
        <v>23.4</v>
      </c>
      <c r="P119" s="59">
        <v>106870</v>
      </c>
      <c r="Q119" s="58">
        <v>10.4</v>
      </c>
      <c r="R119" s="59">
        <v>252140</v>
      </c>
      <c r="S119" s="67">
        <v>24.6</v>
      </c>
      <c r="T119" s="59">
        <v>51940</v>
      </c>
      <c r="U119" s="67">
        <v>5.0999999999999996</v>
      </c>
      <c r="V119" s="59">
        <v>1014820</v>
      </c>
      <c r="W119" s="67">
        <v>98.8</v>
      </c>
      <c r="X119" s="59">
        <v>12180</v>
      </c>
      <c r="Y119" s="67">
        <v>1.2</v>
      </c>
      <c r="Z119" s="63">
        <v>1027000</v>
      </c>
    </row>
    <row r="120" spans="1:26">
      <c r="A120" s="19">
        <v>2023</v>
      </c>
      <c r="B120" s="59">
        <v>50300</v>
      </c>
      <c r="C120" s="62">
        <v>4.9000000000000004</v>
      </c>
      <c r="D120" s="59">
        <v>146810</v>
      </c>
      <c r="E120" s="66">
        <v>14.3</v>
      </c>
      <c r="F120" s="59">
        <v>58320</v>
      </c>
      <c r="G120" s="62">
        <v>5.7</v>
      </c>
      <c r="H120" s="59">
        <v>3060</v>
      </c>
      <c r="I120" s="66">
        <v>0.3</v>
      </c>
      <c r="J120" s="68">
        <v>380570</v>
      </c>
      <c r="K120" s="62">
        <v>37</v>
      </c>
      <c r="L120" s="59">
        <v>122700</v>
      </c>
      <c r="M120" s="62">
        <v>11.9</v>
      </c>
      <c r="N120" s="68">
        <v>257870</v>
      </c>
      <c r="O120" s="62">
        <v>25.1</v>
      </c>
      <c r="P120" s="59">
        <v>98930</v>
      </c>
      <c r="Q120" s="58">
        <v>9.6</v>
      </c>
      <c r="R120" s="59">
        <v>254550</v>
      </c>
      <c r="S120" s="62">
        <v>24.8</v>
      </c>
      <c r="T120" s="59">
        <v>57800</v>
      </c>
      <c r="U120" s="62">
        <v>5.6</v>
      </c>
      <c r="V120" s="59">
        <v>1050340</v>
      </c>
      <c r="W120" s="62">
        <v>102.2</v>
      </c>
      <c r="X120" s="59">
        <v>-23020</v>
      </c>
      <c r="Y120" s="62">
        <v>-2.2000000000000002</v>
      </c>
      <c r="Z120" s="63">
        <v>1027320</v>
      </c>
    </row>
    <row r="121" spans="1:26" ht="13">
      <c r="A121" s="48">
        <v>2024</v>
      </c>
      <c r="B121" s="69">
        <v>51180</v>
      </c>
      <c r="C121" s="70">
        <v>5</v>
      </c>
      <c r="D121" s="69">
        <v>174010</v>
      </c>
      <c r="E121" s="70">
        <v>16.899999999999999</v>
      </c>
      <c r="F121" s="69">
        <v>60180</v>
      </c>
      <c r="G121" s="70">
        <v>5.8</v>
      </c>
      <c r="H121" s="69">
        <v>2560</v>
      </c>
      <c r="I121" s="70">
        <v>0.2</v>
      </c>
      <c r="J121" s="71">
        <v>377610</v>
      </c>
      <c r="K121" s="72">
        <v>36.700000000000003</v>
      </c>
      <c r="L121" s="73">
        <v>112780</v>
      </c>
      <c r="M121" s="74">
        <v>10.9</v>
      </c>
      <c r="N121" s="75">
        <v>264830</v>
      </c>
      <c r="O121" s="74">
        <v>25.7</v>
      </c>
      <c r="P121" s="69">
        <v>100480</v>
      </c>
      <c r="Q121" s="70">
        <v>9.8000000000000007</v>
      </c>
      <c r="R121" s="69">
        <v>250720</v>
      </c>
      <c r="S121" s="70">
        <v>24.3</v>
      </c>
      <c r="T121" s="69">
        <v>65070</v>
      </c>
      <c r="U121" s="70">
        <v>6.3</v>
      </c>
      <c r="V121" s="69">
        <v>1081810</v>
      </c>
      <c r="W121" s="70">
        <v>105</v>
      </c>
      <c r="X121" s="69">
        <v>-51830</v>
      </c>
      <c r="Y121" s="70">
        <v>-5</v>
      </c>
      <c r="Z121" s="71">
        <v>1029980</v>
      </c>
    </row>
    <row r="122" spans="1:26" ht="13">
      <c r="A122" s="31"/>
      <c r="B122" s="32"/>
      <c r="C122" s="76"/>
      <c r="D122" s="32"/>
      <c r="E122" s="76"/>
      <c r="F122" s="32"/>
      <c r="G122" s="76"/>
      <c r="H122" s="32"/>
      <c r="I122" s="76"/>
      <c r="J122" s="32"/>
      <c r="K122" s="76"/>
      <c r="L122" s="66"/>
      <c r="M122" s="62"/>
      <c r="N122" s="66"/>
      <c r="O122" s="62"/>
      <c r="P122" s="32"/>
      <c r="Q122" s="76"/>
      <c r="R122" s="32"/>
      <c r="S122" s="76"/>
      <c r="T122" s="32"/>
      <c r="U122" s="76"/>
      <c r="V122" s="32"/>
      <c r="W122" s="76"/>
      <c r="X122" s="32"/>
      <c r="Y122" s="76"/>
      <c r="Z122" s="32"/>
    </row>
    <row r="123" spans="1:26" s="78" customFormat="1" ht="12">
      <c r="A123" s="77" t="s">
        <v>69</v>
      </c>
      <c r="E123" s="77" t="s">
        <v>73</v>
      </c>
      <c r="N123" s="77" t="s">
        <v>70</v>
      </c>
      <c r="Q123" s="77" t="s">
        <v>74</v>
      </c>
    </row>
    <row r="124" spans="1:26" s="78" customFormat="1" ht="12">
      <c r="A124" s="77" t="s">
        <v>139</v>
      </c>
      <c r="N124" s="77" t="s">
        <v>140</v>
      </c>
    </row>
    <row r="125" spans="1:26" s="78" customFormat="1" ht="10"/>
    <row r="126" spans="1:26" s="78" customFormat="1" ht="10"/>
    <row r="128" spans="1:26">
      <c r="A128" s="35" t="s">
        <v>75</v>
      </c>
    </row>
    <row r="129" spans="1:1">
      <c r="A129" s="35" t="s">
        <v>76</v>
      </c>
    </row>
    <row r="130" spans="1:1">
      <c r="A130" s="35" t="s">
        <v>77</v>
      </c>
    </row>
  </sheetData>
  <mergeCells count="25">
    <mergeCell ref="V4:W4"/>
    <mergeCell ref="X4:Y4"/>
    <mergeCell ref="B4:C4"/>
    <mergeCell ref="D4:E4"/>
    <mergeCell ref="F4:G4"/>
    <mergeCell ref="H4:I4"/>
    <mergeCell ref="J4:K4"/>
    <mergeCell ref="L4:M4"/>
    <mergeCell ref="J5:K5"/>
    <mergeCell ref="N4:O4"/>
    <mergeCell ref="P4:Q4"/>
    <mergeCell ref="R4:S4"/>
    <mergeCell ref="T4:U4"/>
    <mergeCell ref="A5:A6"/>
    <mergeCell ref="B5:C5"/>
    <mergeCell ref="D5:E5"/>
    <mergeCell ref="F5:G5"/>
    <mergeCell ref="H5:I5"/>
    <mergeCell ref="X5:Y5"/>
    <mergeCell ref="L5:M5"/>
    <mergeCell ref="N5:O5"/>
    <mergeCell ref="P5:Q5"/>
    <mergeCell ref="R5:S5"/>
    <mergeCell ref="T5:U5"/>
    <mergeCell ref="V5:W5"/>
  </mergeCells>
  <conditionalFormatting sqref="B87:K120 N87:O120 R87:Z120 P106:P120">
    <cfRule type="expression" dxfId="28" priority="1">
      <formula>#REF!&lt;&gt;0</formula>
    </cfRule>
  </conditionalFormatting>
  <conditionalFormatting sqref="B7:Z86">
    <cfRule type="expression" dxfId="27" priority="2">
      <formula>#REF!&lt;&gt;0</formula>
    </cfRule>
  </conditionalFormatting>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AB08A-2029-4EE3-B2CA-F919478B23DA}">
  <sheetPr codeName="Tabelle14"/>
  <dimension ref="A1:L70"/>
  <sheetViews>
    <sheetView workbookViewId="0">
      <selection activeCell="F70" sqref="F70"/>
    </sheetView>
  </sheetViews>
  <sheetFormatPr defaultColWidth="11.54296875" defaultRowHeight="12.5"/>
  <cols>
    <col min="1" max="1" width="8.7265625" style="4" customWidth="1"/>
    <col min="2" max="16384" width="11.54296875" style="4"/>
  </cols>
  <sheetData>
    <row r="1" spans="1:11" ht="13">
      <c r="A1" s="3" t="s">
        <v>141</v>
      </c>
      <c r="K1" s="5" t="s">
        <v>142</v>
      </c>
    </row>
    <row r="2" spans="1:11" ht="13">
      <c r="A2" s="3" t="s">
        <v>143</v>
      </c>
      <c r="K2" s="5" t="s">
        <v>144</v>
      </c>
    </row>
    <row r="4" spans="1:11" ht="32">
      <c r="A4" s="6" t="s">
        <v>55</v>
      </c>
      <c r="B4" s="7" t="s">
        <v>57</v>
      </c>
      <c r="C4" s="7" t="s">
        <v>145</v>
      </c>
      <c r="D4" s="7" t="s">
        <v>146</v>
      </c>
      <c r="E4" s="7" t="s">
        <v>116</v>
      </c>
      <c r="F4" s="7" t="s">
        <v>147</v>
      </c>
      <c r="G4" s="7" t="s">
        <v>59</v>
      </c>
      <c r="H4" s="7" t="s">
        <v>83</v>
      </c>
      <c r="I4" s="7" t="s">
        <v>148</v>
      </c>
      <c r="J4" s="79" t="s">
        <v>60</v>
      </c>
      <c r="K4" s="6" t="s">
        <v>61</v>
      </c>
    </row>
    <row r="5" spans="1:11" ht="22">
      <c r="A5" s="10" t="s">
        <v>62</v>
      </c>
      <c r="B5" s="11" t="s">
        <v>64</v>
      </c>
      <c r="C5" s="11" t="s">
        <v>134</v>
      </c>
      <c r="D5" s="11" t="s">
        <v>149</v>
      </c>
      <c r="E5" s="11" t="s">
        <v>119</v>
      </c>
      <c r="F5" s="11" t="s">
        <v>150</v>
      </c>
      <c r="G5" s="11" t="s">
        <v>66</v>
      </c>
      <c r="H5" s="11" t="s">
        <v>92</v>
      </c>
      <c r="I5" s="11" t="s">
        <v>151</v>
      </c>
      <c r="J5" s="80" t="s">
        <v>152</v>
      </c>
      <c r="K5" s="10" t="s">
        <v>61</v>
      </c>
    </row>
    <row r="6" spans="1:11">
      <c r="A6" s="19">
        <v>1970</v>
      </c>
      <c r="B6" s="15">
        <v>112580</v>
      </c>
      <c r="C6" s="81">
        <v>20180</v>
      </c>
      <c r="D6" s="81" t="s">
        <v>68</v>
      </c>
      <c r="E6" s="81" t="s">
        <v>68</v>
      </c>
      <c r="F6" s="81" t="s">
        <v>68</v>
      </c>
      <c r="G6" s="81">
        <v>230</v>
      </c>
      <c r="H6" s="81" t="s">
        <v>68</v>
      </c>
      <c r="I6" s="81" t="s">
        <v>68</v>
      </c>
      <c r="J6" s="81" t="s">
        <v>68</v>
      </c>
      <c r="K6" s="82">
        <v>132990</v>
      </c>
    </row>
    <row r="7" spans="1:11">
      <c r="A7" s="19">
        <v>1971</v>
      </c>
      <c r="B7" s="59">
        <v>99230</v>
      </c>
      <c r="C7" s="83">
        <v>20110</v>
      </c>
      <c r="D7" s="83" t="s">
        <v>68</v>
      </c>
      <c r="E7" s="83" t="s">
        <v>68</v>
      </c>
      <c r="F7" s="83" t="s">
        <v>68</v>
      </c>
      <c r="G7" s="83">
        <v>1320</v>
      </c>
      <c r="H7" s="83" t="s">
        <v>68</v>
      </c>
      <c r="I7" s="83" t="s">
        <v>68</v>
      </c>
      <c r="J7" s="83" t="s">
        <v>68</v>
      </c>
      <c r="K7" s="63">
        <v>120660</v>
      </c>
    </row>
    <row r="8" spans="1:11">
      <c r="A8" s="19">
        <v>1972</v>
      </c>
      <c r="B8" s="59">
        <v>91000</v>
      </c>
      <c r="C8" s="83">
        <v>50730</v>
      </c>
      <c r="D8" s="83" t="s">
        <v>68</v>
      </c>
      <c r="E8" s="83" t="s">
        <v>68</v>
      </c>
      <c r="F8" s="83" t="s">
        <v>68</v>
      </c>
      <c r="G8" s="83">
        <v>1080</v>
      </c>
      <c r="H8" s="83" t="s">
        <v>68</v>
      </c>
      <c r="I8" s="83" t="s">
        <v>68</v>
      </c>
      <c r="J8" s="83" t="s">
        <v>68</v>
      </c>
      <c r="K8" s="63">
        <v>142810</v>
      </c>
    </row>
    <row r="9" spans="1:11" collapsed="1">
      <c r="A9" s="19">
        <v>1973</v>
      </c>
      <c r="B9" s="59">
        <v>103770</v>
      </c>
      <c r="C9" s="83">
        <v>64320</v>
      </c>
      <c r="D9" s="83" t="s">
        <v>68</v>
      </c>
      <c r="E9" s="83" t="s">
        <v>68</v>
      </c>
      <c r="F9" s="83" t="s">
        <v>68</v>
      </c>
      <c r="G9" s="83">
        <v>920</v>
      </c>
      <c r="H9" s="83" t="s">
        <v>68</v>
      </c>
      <c r="I9" s="83" t="s">
        <v>68</v>
      </c>
      <c r="J9" s="83" t="s">
        <v>68</v>
      </c>
      <c r="K9" s="63">
        <v>169010</v>
      </c>
    </row>
    <row r="10" spans="1:11">
      <c r="A10" s="19">
        <v>1974</v>
      </c>
      <c r="B10" s="59">
        <v>102830</v>
      </c>
      <c r="C10" s="83">
        <v>73420</v>
      </c>
      <c r="D10" s="83">
        <v>249240</v>
      </c>
      <c r="E10" s="83">
        <v>24440</v>
      </c>
      <c r="F10" s="83" t="s">
        <v>68</v>
      </c>
      <c r="G10" s="83">
        <v>950</v>
      </c>
      <c r="H10" s="83" t="s">
        <v>68</v>
      </c>
      <c r="I10" s="83" t="s">
        <v>68</v>
      </c>
      <c r="J10" s="83" t="s">
        <v>68</v>
      </c>
      <c r="K10" s="63">
        <v>450880</v>
      </c>
    </row>
    <row r="11" spans="1:11" collapsed="1">
      <c r="A11" s="19">
        <v>1975</v>
      </c>
      <c r="B11" s="59">
        <v>122310</v>
      </c>
      <c r="C11" s="83">
        <v>80630</v>
      </c>
      <c r="D11" s="83">
        <v>196400</v>
      </c>
      <c r="E11" s="83">
        <v>19080</v>
      </c>
      <c r="F11" s="83" t="s">
        <v>68</v>
      </c>
      <c r="G11" s="83">
        <v>940</v>
      </c>
      <c r="H11" s="83" t="s">
        <v>68</v>
      </c>
      <c r="I11" s="83" t="s">
        <v>68</v>
      </c>
      <c r="J11" s="83" t="s">
        <v>68</v>
      </c>
      <c r="K11" s="63">
        <v>419360</v>
      </c>
    </row>
    <row r="12" spans="1:11">
      <c r="A12" s="19">
        <v>1976</v>
      </c>
      <c r="B12" s="59">
        <v>95840</v>
      </c>
      <c r="C12" s="83">
        <v>82480</v>
      </c>
      <c r="D12" s="83">
        <v>205430</v>
      </c>
      <c r="E12" s="83">
        <v>19130</v>
      </c>
      <c r="F12" s="83" t="s">
        <v>68</v>
      </c>
      <c r="G12" s="83">
        <v>830</v>
      </c>
      <c r="H12" s="83" t="s">
        <v>68</v>
      </c>
      <c r="I12" s="83" t="s">
        <v>68</v>
      </c>
      <c r="J12" s="83" t="s">
        <v>68</v>
      </c>
      <c r="K12" s="63">
        <v>403710</v>
      </c>
    </row>
    <row r="13" spans="1:11">
      <c r="A13" s="19">
        <v>1977</v>
      </c>
      <c r="B13" s="59">
        <v>130640</v>
      </c>
      <c r="C13" s="83">
        <v>84310</v>
      </c>
      <c r="D13" s="83">
        <v>192340</v>
      </c>
      <c r="E13" s="83">
        <v>17560</v>
      </c>
      <c r="F13" s="83" t="s">
        <v>68</v>
      </c>
      <c r="G13" s="83">
        <v>200</v>
      </c>
      <c r="H13" s="83" t="s">
        <v>68</v>
      </c>
      <c r="I13" s="83" t="s">
        <v>68</v>
      </c>
      <c r="J13" s="83" t="s">
        <v>68</v>
      </c>
      <c r="K13" s="63">
        <v>425050</v>
      </c>
    </row>
    <row r="14" spans="1:11">
      <c r="A14" s="19">
        <v>1978</v>
      </c>
      <c r="B14" s="59">
        <v>117040</v>
      </c>
      <c r="C14" s="83">
        <v>87220</v>
      </c>
      <c r="D14" s="83">
        <v>178600</v>
      </c>
      <c r="E14" s="83">
        <v>13900</v>
      </c>
      <c r="F14" s="83">
        <v>4800</v>
      </c>
      <c r="G14" s="83">
        <v>4240</v>
      </c>
      <c r="H14" s="83">
        <v>150</v>
      </c>
      <c r="I14" s="83" t="s">
        <v>68</v>
      </c>
      <c r="J14" s="83" t="s">
        <v>68</v>
      </c>
      <c r="K14" s="63">
        <v>405950</v>
      </c>
    </row>
    <row r="15" spans="1:11">
      <c r="A15" s="19">
        <v>1979</v>
      </c>
      <c r="B15" s="59">
        <v>116440</v>
      </c>
      <c r="C15" s="83">
        <v>122650</v>
      </c>
      <c r="D15" s="83">
        <v>192300</v>
      </c>
      <c r="E15" s="83">
        <v>15220</v>
      </c>
      <c r="F15" s="83">
        <v>6360</v>
      </c>
      <c r="G15" s="83">
        <v>4860</v>
      </c>
      <c r="H15" s="83">
        <v>330</v>
      </c>
      <c r="I15" s="83" t="s">
        <v>68</v>
      </c>
      <c r="J15" s="83" t="s">
        <v>68</v>
      </c>
      <c r="K15" s="63">
        <v>458160</v>
      </c>
    </row>
    <row r="16" spans="1:11" collapsed="1">
      <c r="A16" s="19">
        <v>1980</v>
      </c>
      <c r="B16" s="59">
        <v>120750</v>
      </c>
      <c r="C16" s="83">
        <v>149050</v>
      </c>
      <c r="D16" s="83">
        <v>191970</v>
      </c>
      <c r="E16" s="83">
        <v>7620</v>
      </c>
      <c r="F16" s="83">
        <v>6400</v>
      </c>
      <c r="G16" s="83">
        <v>4360</v>
      </c>
      <c r="H16" s="83">
        <v>670</v>
      </c>
      <c r="I16" s="83" t="s">
        <v>68</v>
      </c>
      <c r="J16" s="83" t="s">
        <v>68</v>
      </c>
      <c r="K16" s="63">
        <v>480820</v>
      </c>
    </row>
    <row r="17" spans="1:11">
      <c r="A17" s="19">
        <v>1981</v>
      </c>
      <c r="B17" s="59">
        <v>129950</v>
      </c>
      <c r="C17" s="83">
        <v>157770</v>
      </c>
      <c r="D17" s="83">
        <v>168430</v>
      </c>
      <c r="E17" s="83">
        <v>5870</v>
      </c>
      <c r="F17" s="83">
        <v>9440</v>
      </c>
      <c r="G17" s="83">
        <v>4160</v>
      </c>
      <c r="H17" s="83">
        <v>1040</v>
      </c>
      <c r="I17" s="83" t="s">
        <v>68</v>
      </c>
      <c r="J17" s="83" t="s">
        <v>68</v>
      </c>
      <c r="K17" s="63">
        <v>476660</v>
      </c>
    </row>
    <row r="18" spans="1:11">
      <c r="A18" s="19">
        <v>1982</v>
      </c>
      <c r="B18" s="59">
        <v>133330</v>
      </c>
      <c r="C18" s="83">
        <v>155740</v>
      </c>
      <c r="D18" s="83">
        <v>166050</v>
      </c>
      <c r="E18" s="83">
        <v>6540</v>
      </c>
      <c r="F18" s="83">
        <v>11320</v>
      </c>
      <c r="G18" s="83">
        <v>4050</v>
      </c>
      <c r="H18" s="83">
        <v>920</v>
      </c>
      <c r="I18" s="83" t="s">
        <v>68</v>
      </c>
      <c r="J18" s="83" t="s">
        <v>68</v>
      </c>
      <c r="K18" s="63">
        <v>477950</v>
      </c>
    </row>
    <row r="19" spans="1:11">
      <c r="A19" s="19">
        <v>1983</v>
      </c>
      <c r="B19" s="59">
        <v>129610</v>
      </c>
      <c r="C19" s="83">
        <v>161680</v>
      </c>
      <c r="D19" s="83">
        <v>176390</v>
      </c>
      <c r="E19" s="83">
        <v>6240</v>
      </c>
      <c r="F19" s="83">
        <v>10880</v>
      </c>
      <c r="G19" s="83">
        <v>4020</v>
      </c>
      <c r="H19" s="83">
        <v>990</v>
      </c>
      <c r="I19" s="83" t="s">
        <v>68</v>
      </c>
      <c r="J19" s="83" t="s">
        <v>68</v>
      </c>
      <c r="K19" s="63">
        <v>489810</v>
      </c>
    </row>
    <row r="20" spans="1:11">
      <c r="A20" s="19">
        <v>1984</v>
      </c>
      <c r="B20" s="59">
        <v>111140</v>
      </c>
      <c r="C20" s="83">
        <v>189770</v>
      </c>
      <c r="D20" s="83">
        <v>170820</v>
      </c>
      <c r="E20" s="83">
        <v>4610</v>
      </c>
      <c r="F20" s="83">
        <v>11640</v>
      </c>
      <c r="G20" s="83">
        <v>3880</v>
      </c>
      <c r="H20" s="83">
        <v>1210</v>
      </c>
      <c r="I20" s="83" t="s">
        <v>68</v>
      </c>
      <c r="J20" s="83" t="s">
        <v>68</v>
      </c>
      <c r="K20" s="63">
        <v>493070</v>
      </c>
    </row>
    <row r="21" spans="1:11">
      <c r="A21" s="19">
        <v>1985</v>
      </c>
      <c r="B21" s="59">
        <v>117640</v>
      </c>
      <c r="C21" s="83">
        <v>232160</v>
      </c>
      <c r="D21" s="83">
        <v>176940</v>
      </c>
      <c r="E21" s="83">
        <v>5910</v>
      </c>
      <c r="F21" s="83">
        <v>13990</v>
      </c>
      <c r="G21" s="83">
        <v>4060</v>
      </c>
      <c r="H21" s="83">
        <v>1280</v>
      </c>
      <c r="I21" s="83" t="s">
        <v>68</v>
      </c>
      <c r="J21" s="83" t="s">
        <v>68</v>
      </c>
      <c r="K21" s="63">
        <v>551980</v>
      </c>
    </row>
    <row r="22" spans="1:11">
      <c r="A22" s="19">
        <v>1986</v>
      </c>
      <c r="B22" s="59">
        <v>120920</v>
      </c>
      <c r="C22" s="83">
        <v>232400</v>
      </c>
      <c r="D22" s="83">
        <v>180070</v>
      </c>
      <c r="E22" s="83">
        <v>6310</v>
      </c>
      <c r="F22" s="83">
        <v>16040</v>
      </c>
      <c r="G22" s="83">
        <v>4080</v>
      </c>
      <c r="H22" s="83">
        <v>930</v>
      </c>
      <c r="I22" s="83" t="s">
        <v>68</v>
      </c>
      <c r="J22" s="83" t="s">
        <v>68</v>
      </c>
      <c r="K22" s="63">
        <v>560750</v>
      </c>
    </row>
    <row r="23" spans="1:11">
      <c r="A23" s="19">
        <v>1987</v>
      </c>
      <c r="B23" s="59">
        <v>127480</v>
      </c>
      <c r="C23" s="83">
        <v>236740</v>
      </c>
      <c r="D23" s="83">
        <v>174260</v>
      </c>
      <c r="E23" s="83">
        <v>6270</v>
      </c>
      <c r="F23" s="83">
        <v>16120</v>
      </c>
      <c r="G23" s="83">
        <v>4490</v>
      </c>
      <c r="H23" s="83">
        <v>450</v>
      </c>
      <c r="I23" s="83" t="s">
        <v>68</v>
      </c>
      <c r="J23" s="83" t="s">
        <v>68</v>
      </c>
      <c r="K23" s="63">
        <v>565810</v>
      </c>
    </row>
    <row r="24" spans="1:11">
      <c r="A24" s="19">
        <v>1988</v>
      </c>
      <c r="B24" s="59">
        <v>131180</v>
      </c>
      <c r="C24" s="83">
        <v>234570</v>
      </c>
      <c r="D24" s="83">
        <v>167730</v>
      </c>
      <c r="E24" s="83">
        <v>5380</v>
      </c>
      <c r="F24" s="83">
        <v>16200</v>
      </c>
      <c r="G24" s="83">
        <v>4190</v>
      </c>
      <c r="H24" s="83">
        <v>370</v>
      </c>
      <c r="I24" s="83" t="s">
        <v>68</v>
      </c>
      <c r="J24" s="83" t="s">
        <v>68</v>
      </c>
      <c r="K24" s="63">
        <v>559620</v>
      </c>
    </row>
    <row r="25" spans="1:11">
      <c r="A25" s="19">
        <v>1989</v>
      </c>
      <c r="B25" s="59">
        <v>109750</v>
      </c>
      <c r="C25" s="83">
        <v>235010</v>
      </c>
      <c r="D25" s="83">
        <v>128580</v>
      </c>
      <c r="E25" s="83">
        <v>5120</v>
      </c>
      <c r="F25" s="83">
        <v>16330</v>
      </c>
      <c r="G25" s="83">
        <v>4070</v>
      </c>
      <c r="H25" s="83">
        <v>880</v>
      </c>
      <c r="I25" s="83" t="s">
        <v>68</v>
      </c>
      <c r="J25" s="83" t="s">
        <v>68</v>
      </c>
      <c r="K25" s="63">
        <v>499740</v>
      </c>
    </row>
    <row r="26" spans="1:11">
      <c r="A26" s="19">
        <v>1990</v>
      </c>
      <c r="B26" s="59">
        <v>110430</v>
      </c>
      <c r="C26" s="83">
        <v>243250</v>
      </c>
      <c r="D26" s="83">
        <v>130680</v>
      </c>
      <c r="E26" s="83">
        <v>4530</v>
      </c>
      <c r="F26" s="83">
        <v>14520</v>
      </c>
      <c r="G26" s="83">
        <v>4270</v>
      </c>
      <c r="H26" s="83">
        <v>530</v>
      </c>
      <c r="I26" s="83">
        <v>30</v>
      </c>
      <c r="J26" s="84">
        <v>490</v>
      </c>
      <c r="K26" s="63">
        <v>508730</v>
      </c>
    </row>
    <row r="27" spans="1:11">
      <c r="A27" s="19">
        <v>1991</v>
      </c>
      <c r="B27" s="59">
        <v>119100</v>
      </c>
      <c r="C27" s="83">
        <v>236230</v>
      </c>
      <c r="D27" s="83">
        <v>200520</v>
      </c>
      <c r="E27" s="83">
        <v>7070</v>
      </c>
      <c r="F27" s="83">
        <v>13690</v>
      </c>
      <c r="G27" s="83">
        <v>4710</v>
      </c>
      <c r="H27" s="83">
        <v>110</v>
      </c>
      <c r="I27" s="83">
        <v>30</v>
      </c>
      <c r="J27" s="84">
        <v>550</v>
      </c>
      <c r="K27" s="63">
        <v>582010</v>
      </c>
    </row>
    <row r="28" spans="1:11">
      <c r="A28" s="19">
        <v>1992</v>
      </c>
      <c r="B28" s="59">
        <v>121410</v>
      </c>
      <c r="C28" s="83">
        <v>241320</v>
      </c>
      <c r="D28" s="83">
        <v>182830</v>
      </c>
      <c r="E28" s="83">
        <v>8480</v>
      </c>
      <c r="F28" s="83">
        <v>13920</v>
      </c>
      <c r="G28" s="83">
        <v>4670</v>
      </c>
      <c r="H28" s="83">
        <v>100</v>
      </c>
      <c r="I28" s="83">
        <v>60</v>
      </c>
      <c r="J28" s="84">
        <v>650</v>
      </c>
      <c r="K28" s="63">
        <v>573440</v>
      </c>
    </row>
    <row r="29" spans="1:11">
      <c r="A29" s="19">
        <v>1993</v>
      </c>
      <c r="B29" s="59">
        <v>130510</v>
      </c>
      <c r="C29" s="83">
        <v>240320</v>
      </c>
      <c r="D29" s="83">
        <v>203880</v>
      </c>
      <c r="E29" s="83">
        <v>3590</v>
      </c>
      <c r="F29" s="83">
        <v>17370</v>
      </c>
      <c r="G29" s="83">
        <v>4640</v>
      </c>
      <c r="H29" s="83">
        <v>60</v>
      </c>
      <c r="I29" s="83">
        <v>50</v>
      </c>
      <c r="J29" s="84">
        <v>800</v>
      </c>
      <c r="K29" s="63">
        <v>601220</v>
      </c>
    </row>
    <row r="30" spans="1:11">
      <c r="A30" s="19">
        <v>1994</v>
      </c>
      <c r="B30" s="59">
        <v>142400</v>
      </c>
      <c r="C30" s="83">
        <v>250730</v>
      </c>
      <c r="D30" s="83">
        <v>208120</v>
      </c>
      <c r="E30" s="83">
        <v>2530</v>
      </c>
      <c r="F30" s="83">
        <v>19420</v>
      </c>
      <c r="G30" s="83">
        <v>4730</v>
      </c>
      <c r="H30" s="83">
        <v>80</v>
      </c>
      <c r="I30" s="83">
        <v>60</v>
      </c>
      <c r="J30" s="84">
        <v>940</v>
      </c>
      <c r="K30" s="63">
        <v>629010</v>
      </c>
    </row>
    <row r="31" spans="1:11">
      <c r="A31" s="19">
        <v>1995</v>
      </c>
      <c r="B31" s="59">
        <v>128150</v>
      </c>
      <c r="C31" s="83">
        <v>256210</v>
      </c>
      <c r="D31" s="83">
        <v>199480</v>
      </c>
      <c r="E31" s="83">
        <v>2580</v>
      </c>
      <c r="F31" s="83">
        <v>22380</v>
      </c>
      <c r="G31" s="83">
        <v>5330</v>
      </c>
      <c r="H31" s="83">
        <v>50</v>
      </c>
      <c r="I31" s="83">
        <v>40</v>
      </c>
      <c r="J31" s="84">
        <v>920</v>
      </c>
      <c r="K31" s="63">
        <v>615140</v>
      </c>
    </row>
    <row r="32" spans="1:11">
      <c r="A32" s="19">
        <v>1996</v>
      </c>
      <c r="B32" s="59">
        <v>106910</v>
      </c>
      <c r="C32" s="83">
        <v>258750</v>
      </c>
      <c r="D32" s="83">
        <v>225610</v>
      </c>
      <c r="E32" s="83">
        <v>3460</v>
      </c>
      <c r="F32" s="83">
        <v>22480</v>
      </c>
      <c r="G32" s="83">
        <v>6600</v>
      </c>
      <c r="H32" s="83">
        <v>0</v>
      </c>
      <c r="I32" s="83">
        <v>60</v>
      </c>
      <c r="J32" s="84">
        <v>930</v>
      </c>
      <c r="K32" s="63">
        <v>624800</v>
      </c>
    </row>
    <row r="33" spans="1:11">
      <c r="A33" s="19">
        <v>1997</v>
      </c>
      <c r="B33" s="59">
        <v>125260</v>
      </c>
      <c r="C33" s="83">
        <v>261500</v>
      </c>
      <c r="D33" s="83">
        <v>212450</v>
      </c>
      <c r="E33" s="83">
        <v>2340</v>
      </c>
      <c r="F33" s="83">
        <v>25540</v>
      </c>
      <c r="G33" s="83">
        <v>6960</v>
      </c>
      <c r="H33" s="83">
        <v>0</v>
      </c>
      <c r="I33" s="83">
        <v>50</v>
      </c>
      <c r="J33" s="84">
        <v>960</v>
      </c>
      <c r="K33" s="63">
        <v>635060</v>
      </c>
    </row>
    <row r="34" spans="1:11">
      <c r="A34" s="19">
        <v>1998</v>
      </c>
      <c r="B34" s="59">
        <v>123460</v>
      </c>
      <c r="C34" s="83">
        <v>265830</v>
      </c>
      <c r="D34" s="83">
        <v>216960</v>
      </c>
      <c r="E34" s="83">
        <v>5120</v>
      </c>
      <c r="F34" s="83">
        <v>27340</v>
      </c>
      <c r="G34" s="83">
        <v>6810</v>
      </c>
      <c r="H34" s="83">
        <v>0</v>
      </c>
      <c r="I34" s="83">
        <v>60</v>
      </c>
      <c r="J34" s="84">
        <v>1030</v>
      </c>
      <c r="K34" s="63">
        <v>646610</v>
      </c>
    </row>
    <row r="35" spans="1:11">
      <c r="A35" s="19">
        <v>1999</v>
      </c>
      <c r="B35" s="59">
        <v>146220</v>
      </c>
      <c r="C35" s="83">
        <v>256610</v>
      </c>
      <c r="D35" s="83">
        <v>218180</v>
      </c>
      <c r="E35" s="83">
        <v>2440</v>
      </c>
      <c r="F35" s="83">
        <v>32740</v>
      </c>
      <c r="G35" s="83">
        <v>9080</v>
      </c>
      <c r="H35" s="83">
        <v>0</v>
      </c>
      <c r="I35" s="83">
        <v>260</v>
      </c>
      <c r="J35" s="84">
        <v>1060</v>
      </c>
      <c r="K35" s="63">
        <v>666590</v>
      </c>
    </row>
    <row r="36" spans="1:11">
      <c r="A36" s="19">
        <v>2000</v>
      </c>
      <c r="B36" s="59">
        <v>136260</v>
      </c>
      <c r="C36" s="83">
        <v>272170</v>
      </c>
      <c r="D36" s="83">
        <v>198260</v>
      </c>
      <c r="E36" s="83">
        <v>1230</v>
      </c>
      <c r="F36" s="83">
        <v>35120</v>
      </c>
      <c r="G36" s="83">
        <v>8190</v>
      </c>
      <c r="H36" s="83">
        <v>0</v>
      </c>
      <c r="I36" s="83">
        <v>260</v>
      </c>
      <c r="J36" s="84">
        <v>1110</v>
      </c>
      <c r="K36" s="63">
        <v>652600</v>
      </c>
    </row>
    <row r="37" spans="1:11">
      <c r="A37" s="19">
        <v>2001</v>
      </c>
      <c r="B37" s="59">
        <v>152140</v>
      </c>
      <c r="C37" s="83">
        <v>275920</v>
      </c>
      <c r="D37" s="83">
        <v>209840</v>
      </c>
      <c r="E37" s="83">
        <v>1330</v>
      </c>
      <c r="F37" s="83">
        <v>35910</v>
      </c>
      <c r="G37" s="83">
        <v>8530</v>
      </c>
      <c r="H37" s="83">
        <v>0</v>
      </c>
      <c r="I37" s="83">
        <v>250</v>
      </c>
      <c r="J37" s="84">
        <v>1140</v>
      </c>
      <c r="K37" s="63">
        <v>685060</v>
      </c>
    </row>
    <row r="38" spans="1:11">
      <c r="A38" s="19">
        <v>2002</v>
      </c>
      <c r="B38" s="59">
        <v>131450</v>
      </c>
      <c r="C38" s="83">
        <v>280280</v>
      </c>
      <c r="D38" s="83">
        <v>210250</v>
      </c>
      <c r="E38" s="83">
        <v>1290</v>
      </c>
      <c r="F38" s="83">
        <v>37960</v>
      </c>
      <c r="G38" s="83">
        <v>8750</v>
      </c>
      <c r="H38" s="83">
        <v>0</v>
      </c>
      <c r="I38" s="83">
        <v>350</v>
      </c>
      <c r="J38" s="84">
        <v>1080</v>
      </c>
      <c r="K38" s="63">
        <v>671410</v>
      </c>
    </row>
    <row r="39" spans="1:11">
      <c r="A39" s="19">
        <v>2003</v>
      </c>
      <c r="B39" s="59">
        <v>131200</v>
      </c>
      <c r="C39" s="83">
        <v>282880</v>
      </c>
      <c r="D39" s="83">
        <v>196990</v>
      </c>
      <c r="E39" s="83">
        <v>1610</v>
      </c>
      <c r="F39" s="83">
        <v>37590</v>
      </c>
      <c r="G39" s="83">
        <v>9600</v>
      </c>
      <c r="H39" s="83">
        <v>0</v>
      </c>
      <c r="I39" s="83">
        <v>430</v>
      </c>
      <c r="J39" s="84">
        <v>1090</v>
      </c>
      <c r="K39" s="63">
        <v>661390</v>
      </c>
    </row>
    <row r="40" spans="1:11">
      <c r="A40" s="19">
        <v>2004</v>
      </c>
      <c r="B40" s="59">
        <v>126420</v>
      </c>
      <c r="C40" s="83">
        <v>277440</v>
      </c>
      <c r="D40" s="83">
        <v>223050</v>
      </c>
      <c r="E40" s="83">
        <v>1250</v>
      </c>
      <c r="F40" s="83">
        <v>38140</v>
      </c>
      <c r="G40" s="83">
        <v>9680</v>
      </c>
      <c r="H40" s="83">
        <v>0</v>
      </c>
      <c r="I40" s="83">
        <v>490</v>
      </c>
      <c r="J40" s="84">
        <v>1010</v>
      </c>
      <c r="K40" s="63">
        <v>677480</v>
      </c>
    </row>
    <row r="41" spans="1:11">
      <c r="A41" s="19">
        <v>2005</v>
      </c>
      <c r="B41" s="59">
        <v>117930</v>
      </c>
      <c r="C41" s="83">
        <v>240220</v>
      </c>
      <c r="D41" s="83">
        <v>208310</v>
      </c>
      <c r="E41" s="83">
        <v>1730</v>
      </c>
      <c r="F41" s="83">
        <v>40380</v>
      </c>
      <c r="G41" s="83">
        <v>9710</v>
      </c>
      <c r="H41" s="83">
        <v>0</v>
      </c>
      <c r="I41" s="83">
        <v>540</v>
      </c>
      <c r="J41" s="84">
        <v>1030</v>
      </c>
      <c r="K41" s="63">
        <v>619850</v>
      </c>
    </row>
    <row r="42" spans="1:11">
      <c r="A42" s="19">
        <v>2006</v>
      </c>
      <c r="B42" s="59">
        <v>117210</v>
      </c>
      <c r="C42" s="83">
        <v>286300</v>
      </c>
      <c r="D42" s="83">
        <v>236570</v>
      </c>
      <c r="E42" s="83">
        <v>1700</v>
      </c>
      <c r="F42" s="83">
        <v>44100</v>
      </c>
      <c r="G42" s="83">
        <v>8550</v>
      </c>
      <c r="H42" s="83">
        <v>0</v>
      </c>
      <c r="I42" s="83">
        <v>590</v>
      </c>
      <c r="J42" s="84">
        <v>1110</v>
      </c>
      <c r="K42" s="63">
        <v>696130</v>
      </c>
    </row>
    <row r="43" spans="1:11">
      <c r="A43" s="19">
        <v>2007</v>
      </c>
      <c r="B43" s="59">
        <v>130940</v>
      </c>
      <c r="C43" s="83">
        <v>287390</v>
      </c>
      <c r="D43" s="83">
        <v>203620</v>
      </c>
      <c r="E43" s="83">
        <v>1110</v>
      </c>
      <c r="F43" s="83">
        <v>44660</v>
      </c>
      <c r="G43" s="83">
        <v>7800</v>
      </c>
      <c r="H43" s="83">
        <v>0</v>
      </c>
      <c r="I43" s="83">
        <v>920</v>
      </c>
      <c r="J43" s="84">
        <v>1240</v>
      </c>
      <c r="K43" s="63">
        <v>677680</v>
      </c>
    </row>
    <row r="44" spans="1:11">
      <c r="A44" s="19">
        <v>2008</v>
      </c>
      <c r="B44" s="59">
        <v>135210</v>
      </c>
      <c r="C44" s="83">
        <v>285080</v>
      </c>
      <c r="D44" s="83">
        <v>218340</v>
      </c>
      <c r="E44" s="83">
        <v>730</v>
      </c>
      <c r="F44" s="83">
        <v>43580</v>
      </c>
      <c r="G44" s="83">
        <v>8350</v>
      </c>
      <c r="H44" s="83">
        <v>0</v>
      </c>
      <c r="I44" s="83">
        <v>1510</v>
      </c>
      <c r="J44" s="84">
        <v>1410</v>
      </c>
      <c r="K44" s="63">
        <v>694210</v>
      </c>
    </row>
    <row r="45" spans="1:11">
      <c r="A45" s="19">
        <v>2009</v>
      </c>
      <c r="B45" s="59">
        <v>133690</v>
      </c>
      <c r="C45" s="83">
        <v>284930</v>
      </c>
      <c r="D45" s="83">
        <v>208020</v>
      </c>
      <c r="E45" s="83">
        <v>670</v>
      </c>
      <c r="F45" s="83">
        <v>43310</v>
      </c>
      <c r="G45" s="83">
        <v>7960</v>
      </c>
      <c r="H45" s="83">
        <v>0</v>
      </c>
      <c r="I45" s="83">
        <v>2030</v>
      </c>
      <c r="J45" s="84">
        <v>1610</v>
      </c>
      <c r="K45" s="63">
        <v>682220</v>
      </c>
    </row>
    <row r="46" spans="1:11">
      <c r="A46" s="19">
        <v>2010</v>
      </c>
      <c r="B46" s="59">
        <v>134820</v>
      </c>
      <c r="C46" s="83">
        <v>274960</v>
      </c>
      <c r="D46" s="83">
        <v>194400</v>
      </c>
      <c r="E46" s="83">
        <v>530</v>
      </c>
      <c r="F46" s="83">
        <v>44500</v>
      </c>
      <c r="G46" s="83">
        <v>9800</v>
      </c>
      <c r="H46" s="83">
        <v>0</v>
      </c>
      <c r="I46" s="83">
        <v>1740</v>
      </c>
      <c r="J46" s="84">
        <v>2000</v>
      </c>
      <c r="K46" s="63">
        <v>662750</v>
      </c>
    </row>
    <row r="47" spans="1:11">
      <c r="A47" s="19">
        <v>2011</v>
      </c>
      <c r="B47" s="59">
        <v>121660</v>
      </c>
      <c r="C47" s="83">
        <v>278840</v>
      </c>
      <c r="D47" s="83">
        <v>190140</v>
      </c>
      <c r="E47" s="83">
        <v>410</v>
      </c>
      <c r="F47" s="83">
        <v>44850</v>
      </c>
      <c r="G47" s="83">
        <v>7400</v>
      </c>
      <c r="H47" s="83">
        <v>0</v>
      </c>
      <c r="I47" s="83">
        <v>2460</v>
      </c>
      <c r="J47" s="84">
        <v>2600</v>
      </c>
      <c r="K47" s="63">
        <v>648360</v>
      </c>
    </row>
    <row r="48" spans="1:11">
      <c r="A48" s="19">
        <v>2012</v>
      </c>
      <c r="B48" s="59">
        <v>143660</v>
      </c>
      <c r="C48" s="83">
        <v>265580</v>
      </c>
      <c r="D48" s="83">
        <v>147490</v>
      </c>
      <c r="E48" s="83">
        <v>800</v>
      </c>
      <c r="F48" s="83">
        <v>45930</v>
      </c>
      <c r="G48" s="83">
        <v>8090</v>
      </c>
      <c r="H48" s="83">
        <v>0</v>
      </c>
      <c r="I48" s="83">
        <v>3450</v>
      </c>
      <c r="J48" s="84">
        <v>3370</v>
      </c>
      <c r="K48" s="63">
        <v>618370</v>
      </c>
    </row>
    <row r="49" spans="1:12">
      <c r="A49" s="19">
        <v>2013</v>
      </c>
      <c r="B49" s="59">
        <v>142460</v>
      </c>
      <c r="C49" s="83">
        <v>271320</v>
      </c>
      <c r="D49" s="83">
        <v>211350</v>
      </c>
      <c r="E49" s="83">
        <v>670</v>
      </c>
      <c r="F49" s="83">
        <v>44210</v>
      </c>
      <c r="G49" s="83">
        <v>8280</v>
      </c>
      <c r="H49" s="83">
        <v>0</v>
      </c>
      <c r="I49" s="83">
        <v>3810</v>
      </c>
      <c r="J49" s="84">
        <v>4390</v>
      </c>
      <c r="K49" s="63">
        <v>686490</v>
      </c>
    </row>
    <row r="50" spans="1:12">
      <c r="A50" s="19">
        <v>2014</v>
      </c>
      <c r="B50" s="59">
        <v>141510</v>
      </c>
      <c r="C50" s="83">
        <v>287670</v>
      </c>
      <c r="D50" s="83">
        <v>212530</v>
      </c>
      <c r="E50" s="83">
        <v>770</v>
      </c>
      <c r="F50" s="83">
        <v>44830</v>
      </c>
      <c r="G50" s="83">
        <v>4920</v>
      </c>
      <c r="H50" s="83">
        <v>0</v>
      </c>
      <c r="I50" s="83">
        <v>3850</v>
      </c>
      <c r="J50" s="84">
        <v>5950</v>
      </c>
      <c r="K50" s="63">
        <v>702030</v>
      </c>
    </row>
    <row r="51" spans="1:12">
      <c r="A51" s="19">
        <v>2015</v>
      </c>
      <c r="B51" s="59">
        <v>142150</v>
      </c>
      <c r="C51" s="83">
        <v>241040</v>
      </c>
      <c r="D51" s="83">
        <v>122200</v>
      </c>
      <c r="E51" s="83">
        <v>660</v>
      </c>
      <c r="F51" s="83">
        <v>46220</v>
      </c>
      <c r="G51" s="83">
        <v>6930</v>
      </c>
      <c r="H51" s="83">
        <v>0</v>
      </c>
      <c r="I51" s="83">
        <v>3080</v>
      </c>
      <c r="J51" s="84">
        <v>7240</v>
      </c>
      <c r="K51" s="63">
        <v>569520</v>
      </c>
    </row>
    <row r="52" spans="1:12">
      <c r="A52" s="19">
        <v>2016</v>
      </c>
      <c r="B52" s="59">
        <v>130770</v>
      </c>
      <c r="C52" s="83">
        <v>220750</v>
      </c>
      <c r="D52" s="83">
        <v>128590</v>
      </c>
      <c r="E52" s="83">
        <v>430</v>
      </c>
      <c r="F52" s="83">
        <v>47940</v>
      </c>
      <c r="G52" s="83">
        <v>8800</v>
      </c>
      <c r="H52" s="83">
        <v>0</v>
      </c>
      <c r="I52" s="83">
        <v>3370</v>
      </c>
      <c r="J52" s="84">
        <v>8310</v>
      </c>
      <c r="K52" s="63">
        <v>548960</v>
      </c>
    </row>
    <row r="53" spans="1:12">
      <c r="A53" s="19">
        <v>2017</v>
      </c>
      <c r="B53" s="59">
        <v>132000</v>
      </c>
      <c r="C53" s="83">
        <v>212720</v>
      </c>
      <c r="D53" s="83">
        <v>123150</v>
      </c>
      <c r="E53" s="83">
        <v>490</v>
      </c>
      <c r="F53" s="83">
        <v>48140</v>
      </c>
      <c r="G53" s="83">
        <v>7780</v>
      </c>
      <c r="H53" s="83">
        <v>0</v>
      </c>
      <c r="I53" s="83">
        <v>3980</v>
      </c>
      <c r="J53" s="84">
        <v>9860</v>
      </c>
      <c r="K53" s="63">
        <v>538120</v>
      </c>
    </row>
    <row r="54" spans="1:12">
      <c r="A54" s="19">
        <v>2018</v>
      </c>
      <c r="B54" s="59">
        <v>134740</v>
      </c>
      <c r="C54" s="83">
        <v>266330</v>
      </c>
      <c r="D54" s="83">
        <v>131400</v>
      </c>
      <c r="E54" s="83">
        <v>380</v>
      </c>
      <c r="F54" s="83">
        <v>48960</v>
      </c>
      <c r="G54" s="83">
        <v>7990</v>
      </c>
      <c r="H54" s="83">
        <v>0</v>
      </c>
      <c r="I54" s="83">
        <v>3710</v>
      </c>
      <c r="J54" s="84">
        <v>10840</v>
      </c>
      <c r="K54" s="63">
        <v>604350</v>
      </c>
    </row>
    <row r="55" spans="1:12">
      <c r="A55" s="19">
        <v>2019</v>
      </c>
      <c r="B55" s="59">
        <v>146000</v>
      </c>
      <c r="C55" s="83">
        <v>275780</v>
      </c>
      <c r="D55" s="83">
        <v>119440</v>
      </c>
      <c r="E55" s="83">
        <v>450</v>
      </c>
      <c r="F55" s="83">
        <v>49280</v>
      </c>
      <c r="G55" s="83">
        <v>8320</v>
      </c>
      <c r="H55" s="83">
        <v>0</v>
      </c>
      <c r="I55" s="83">
        <v>4960</v>
      </c>
      <c r="J55" s="84">
        <v>12040</v>
      </c>
      <c r="K55" s="63">
        <v>616270</v>
      </c>
    </row>
    <row r="56" spans="1:12">
      <c r="A56" s="19">
        <v>2020</v>
      </c>
      <c r="B56" s="59">
        <v>146220</v>
      </c>
      <c r="C56" s="83">
        <v>250800</v>
      </c>
      <c r="D56" s="83">
        <v>123230</v>
      </c>
      <c r="E56" s="83">
        <v>350</v>
      </c>
      <c r="F56" s="83">
        <v>49520</v>
      </c>
      <c r="G56" s="83">
        <v>8220</v>
      </c>
      <c r="H56" s="83">
        <v>0</v>
      </c>
      <c r="I56" s="83">
        <v>5780</v>
      </c>
      <c r="J56" s="84">
        <v>14260</v>
      </c>
      <c r="K56" s="63">
        <v>598380</v>
      </c>
    </row>
    <row r="57" spans="1:12">
      <c r="A57" s="19">
        <v>2021</v>
      </c>
      <c r="B57" s="59">
        <v>142200</v>
      </c>
      <c r="C57" s="83">
        <v>202150</v>
      </c>
      <c r="D57" s="83">
        <v>101540</v>
      </c>
      <c r="E57" s="83">
        <v>580</v>
      </c>
      <c r="F57" s="83">
        <v>48690</v>
      </c>
      <c r="G57" s="83">
        <v>9140</v>
      </c>
      <c r="H57" s="83">
        <v>0</v>
      </c>
      <c r="I57" s="83">
        <v>7140</v>
      </c>
      <c r="J57" s="84">
        <v>15330</v>
      </c>
      <c r="K57" s="63">
        <v>526770</v>
      </c>
    </row>
    <row r="58" spans="1:12">
      <c r="A58" s="19">
        <v>2022</v>
      </c>
      <c r="B58" s="59">
        <v>120600</v>
      </c>
      <c r="C58" s="83">
        <v>252140</v>
      </c>
      <c r="D58" s="83">
        <v>132710</v>
      </c>
      <c r="E58" s="83">
        <v>590</v>
      </c>
      <c r="F58" s="83">
        <v>46730</v>
      </c>
      <c r="G58" s="83">
        <v>7090</v>
      </c>
      <c r="H58" s="83">
        <v>0</v>
      </c>
      <c r="I58" s="83">
        <v>7460</v>
      </c>
      <c r="J58" s="84">
        <v>19550</v>
      </c>
      <c r="K58" s="63">
        <v>586870</v>
      </c>
    </row>
    <row r="59" spans="1:12">
      <c r="A59" s="19">
        <v>2023</v>
      </c>
      <c r="B59" s="59">
        <v>146810</v>
      </c>
      <c r="C59" s="83">
        <v>254550</v>
      </c>
      <c r="D59" s="83">
        <v>122700</v>
      </c>
      <c r="E59" s="83">
        <v>610</v>
      </c>
      <c r="F59" s="83">
        <v>47070</v>
      </c>
      <c r="G59" s="83">
        <v>6470</v>
      </c>
      <c r="H59" s="83">
        <v>0</v>
      </c>
      <c r="I59" s="83">
        <v>8050</v>
      </c>
      <c r="J59" s="84">
        <v>22740</v>
      </c>
      <c r="K59" s="63">
        <v>609000</v>
      </c>
    </row>
    <row r="60" spans="1:12" ht="13">
      <c r="A60" s="48">
        <v>2024</v>
      </c>
      <c r="B60" s="69">
        <v>174010</v>
      </c>
      <c r="C60" s="50">
        <v>250720</v>
      </c>
      <c r="D60" s="50">
        <v>112780</v>
      </c>
      <c r="E60" s="50">
        <v>390</v>
      </c>
      <c r="F60" s="85">
        <v>48240</v>
      </c>
      <c r="G60" s="50">
        <v>6570</v>
      </c>
      <c r="H60" s="50">
        <v>0</v>
      </c>
      <c r="I60" s="50">
        <v>9260</v>
      </c>
      <c r="J60" s="86">
        <v>26680</v>
      </c>
      <c r="K60" s="71">
        <v>628650</v>
      </c>
    </row>
    <row r="61" spans="1:12" ht="13">
      <c r="A61" s="31"/>
      <c r="B61" s="32"/>
      <c r="C61" s="32"/>
      <c r="D61" s="32"/>
      <c r="E61" s="32"/>
      <c r="F61" s="66"/>
      <c r="G61" s="32"/>
      <c r="H61" s="32"/>
      <c r="I61" s="32"/>
      <c r="J61" s="32"/>
      <c r="K61" s="32"/>
    </row>
    <row r="62" spans="1:12" s="78" customFormat="1">
      <c r="A62" s="77" t="s">
        <v>153</v>
      </c>
      <c r="G62" s="77" t="s">
        <v>154</v>
      </c>
      <c r="L62" s="4"/>
    </row>
    <row r="63" spans="1:12" s="78" customFormat="1">
      <c r="A63" s="77" t="s">
        <v>155</v>
      </c>
      <c r="G63" s="77" t="s">
        <v>156</v>
      </c>
      <c r="L63" s="4"/>
    </row>
    <row r="64" spans="1:12" s="78" customFormat="1" ht="24.75" customHeight="1">
      <c r="A64" s="77" t="s">
        <v>73</v>
      </c>
      <c r="G64" s="274" t="s">
        <v>74</v>
      </c>
      <c r="H64" s="274"/>
      <c r="I64" s="274"/>
      <c r="J64" s="274"/>
      <c r="K64" s="274"/>
    </row>
    <row r="65" spans="1:12">
      <c r="L65" s="78"/>
    </row>
    <row r="66" spans="1:12">
      <c r="L66" s="78"/>
    </row>
    <row r="67" spans="1:12" ht="13.9" customHeight="1"/>
    <row r="68" spans="1:12">
      <c r="A68" s="35" t="s">
        <v>75</v>
      </c>
    </row>
    <row r="69" spans="1:12">
      <c r="A69" s="35" t="s">
        <v>76</v>
      </c>
    </row>
    <row r="70" spans="1:12">
      <c r="A70" s="35" t="s">
        <v>77</v>
      </c>
    </row>
  </sheetData>
  <mergeCells count="1">
    <mergeCell ref="G64:K64"/>
  </mergeCells>
  <conditionalFormatting sqref="B6:K61">
    <cfRule type="expression" dxfId="26" priority="1">
      <formula>#REF!&lt;&gt;0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E5F8A-E85B-40A8-B39C-30E62A0291F9}">
  <sheetPr codeName="Tabelle15"/>
  <dimension ref="A1:I68"/>
  <sheetViews>
    <sheetView workbookViewId="0">
      <selection activeCell="A6" sqref="A6:H60"/>
    </sheetView>
  </sheetViews>
  <sheetFormatPr defaultColWidth="11.54296875" defaultRowHeight="12.5"/>
  <cols>
    <col min="1" max="1" width="8.7265625" style="4" customWidth="1"/>
    <col min="2" max="6" width="12.7265625" style="4" customWidth="1"/>
    <col min="7" max="7" width="4.7265625" style="4" customWidth="1"/>
    <col min="8" max="8" width="17.81640625" style="4" customWidth="1"/>
    <col min="9" max="16384" width="11.54296875" style="4"/>
  </cols>
  <sheetData>
    <row r="1" spans="1:9" ht="13">
      <c r="A1" s="3" t="s">
        <v>157</v>
      </c>
      <c r="H1" s="5" t="s">
        <v>158</v>
      </c>
    </row>
    <row r="2" spans="1:9" ht="13">
      <c r="A2" s="3" t="s">
        <v>159</v>
      </c>
      <c r="H2" s="5" t="s">
        <v>160</v>
      </c>
    </row>
    <row r="4" spans="1:9" ht="20">
      <c r="A4" s="6" t="s">
        <v>55</v>
      </c>
      <c r="B4" s="87" t="s">
        <v>161</v>
      </c>
      <c r="C4" s="7" t="s">
        <v>116</v>
      </c>
      <c r="D4" s="7" t="s">
        <v>162</v>
      </c>
      <c r="E4" s="7" t="s">
        <v>59</v>
      </c>
      <c r="F4" s="88" t="s">
        <v>61</v>
      </c>
      <c r="H4" s="6" t="s">
        <v>163</v>
      </c>
    </row>
    <row r="5" spans="1:9" ht="22">
      <c r="A5" s="10" t="s">
        <v>62</v>
      </c>
      <c r="B5" s="89" t="s">
        <v>164</v>
      </c>
      <c r="C5" s="11" t="s">
        <v>119</v>
      </c>
      <c r="D5" s="11" t="s">
        <v>165</v>
      </c>
      <c r="E5" s="11" t="s">
        <v>166</v>
      </c>
      <c r="F5" s="90" t="s">
        <v>61</v>
      </c>
      <c r="H5" s="10" t="s">
        <v>167</v>
      </c>
    </row>
    <row r="6" spans="1:9">
      <c r="A6" s="19">
        <v>1970</v>
      </c>
      <c r="B6" s="15">
        <v>125590</v>
      </c>
      <c r="C6" s="81"/>
      <c r="D6" s="81"/>
      <c r="E6" s="81">
        <v>6260</v>
      </c>
      <c r="F6" s="91">
        <v>131850</v>
      </c>
      <c r="G6" s="24"/>
      <c r="H6" s="82">
        <v>1140</v>
      </c>
      <c r="I6" s="34"/>
    </row>
    <row r="7" spans="1:9">
      <c r="A7" s="19">
        <v>1971</v>
      </c>
      <c r="B7" s="59">
        <v>113710</v>
      </c>
      <c r="C7" s="83"/>
      <c r="D7" s="83"/>
      <c r="E7" s="83">
        <v>6110</v>
      </c>
      <c r="F7" s="92">
        <v>119820</v>
      </c>
      <c r="G7" s="24"/>
      <c r="H7" s="63">
        <v>840</v>
      </c>
      <c r="I7" s="34"/>
    </row>
    <row r="8" spans="1:9">
      <c r="A8" s="19">
        <v>1972</v>
      </c>
      <c r="B8" s="59">
        <v>116270</v>
      </c>
      <c r="C8" s="83"/>
      <c r="D8" s="83"/>
      <c r="E8" s="83">
        <v>5700</v>
      </c>
      <c r="F8" s="92">
        <v>121970</v>
      </c>
      <c r="G8" s="24"/>
      <c r="H8" s="63">
        <v>20840</v>
      </c>
      <c r="I8" s="34"/>
    </row>
    <row r="9" spans="1:9">
      <c r="A9" s="19">
        <v>1973</v>
      </c>
      <c r="B9" s="59">
        <v>133760</v>
      </c>
      <c r="C9" s="83"/>
      <c r="D9" s="83"/>
      <c r="E9" s="83">
        <v>5990</v>
      </c>
      <c r="F9" s="92">
        <v>139750</v>
      </c>
      <c r="G9" s="24"/>
      <c r="H9" s="63">
        <v>29260</v>
      </c>
      <c r="I9" s="34"/>
    </row>
    <row r="10" spans="1:9">
      <c r="A10" s="19">
        <v>1974</v>
      </c>
      <c r="B10" s="59">
        <v>134680</v>
      </c>
      <c r="C10" s="83">
        <v>234210</v>
      </c>
      <c r="D10" s="83"/>
      <c r="E10" s="83">
        <v>4150</v>
      </c>
      <c r="F10" s="92">
        <v>373040</v>
      </c>
      <c r="G10" s="24"/>
      <c r="H10" s="63">
        <v>77840</v>
      </c>
      <c r="I10" s="34"/>
    </row>
    <row r="11" spans="1:9">
      <c r="A11" s="19">
        <v>1975</v>
      </c>
      <c r="B11" s="59">
        <v>154780</v>
      </c>
      <c r="C11" s="83">
        <v>184760</v>
      </c>
      <c r="D11" s="83"/>
      <c r="E11" s="83">
        <v>1740</v>
      </c>
      <c r="F11" s="92">
        <v>341280</v>
      </c>
      <c r="G11" s="24"/>
      <c r="H11" s="63">
        <v>78080</v>
      </c>
      <c r="I11" s="34"/>
    </row>
    <row r="12" spans="1:9">
      <c r="A12" s="19">
        <v>1976</v>
      </c>
      <c r="B12" s="59">
        <v>130470</v>
      </c>
      <c r="C12" s="83">
        <v>195290</v>
      </c>
      <c r="D12" s="83"/>
      <c r="E12" s="83">
        <v>1340</v>
      </c>
      <c r="F12" s="92">
        <v>327100</v>
      </c>
      <c r="G12" s="24"/>
      <c r="H12" s="63">
        <v>76610</v>
      </c>
      <c r="I12" s="34"/>
    </row>
    <row r="13" spans="1:9">
      <c r="A13" s="19">
        <v>1977</v>
      </c>
      <c r="B13" s="59">
        <v>165250</v>
      </c>
      <c r="C13" s="83">
        <v>182450</v>
      </c>
      <c r="D13" s="83"/>
      <c r="E13" s="83">
        <v>930</v>
      </c>
      <c r="F13" s="92">
        <v>348630</v>
      </c>
      <c r="G13" s="24"/>
      <c r="H13" s="63">
        <v>76420</v>
      </c>
      <c r="I13" s="34"/>
    </row>
    <row r="14" spans="1:9">
      <c r="A14" s="19">
        <v>1978</v>
      </c>
      <c r="B14" s="59">
        <v>152460</v>
      </c>
      <c r="C14" s="83">
        <v>169400</v>
      </c>
      <c r="D14" s="83">
        <v>6630</v>
      </c>
      <c r="E14" s="83">
        <v>810</v>
      </c>
      <c r="F14" s="92">
        <v>329300</v>
      </c>
      <c r="G14" s="24"/>
      <c r="H14" s="63">
        <v>76650</v>
      </c>
      <c r="I14" s="34"/>
    </row>
    <row r="15" spans="1:9">
      <c r="A15" s="19">
        <v>1979</v>
      </c>
      <c r="B15" s="59">
        <v>163980</v>
      </c>
      <c r="C15" s="83">
        <v>190400</v>
      </c>
      <c r="D15" s="83">
        <v>6980</v>
      </c>
      <c r="E15" s="83">
        <v>750</v>
      </c>
      <c r="F15" s="92">
        <v>362110</v>
      </c>
      <c r="G15" s="24"/>
      <c r="H15" s="63">
        <v>96050</v>
      </c>
      <c r="I15" s="34"/>
    </row>
    <row r="16" spans="1:9">
      <c r="A16" s="19">
        <v>1980</v>
      </c>
      <c r="B16" s="59">
        <v>173380</v>
      </c>
      <c r="C16" s="83">
        <v>190500</v>
      </c>
      <c r="D16" s="83">
        <v>8920</v>
      </c>
      <c r="E16" s="83">
        <v>720</v>
      </c>
      <c r="F16" s="92">
        <v>373520</v>
      </c>
      <c r="G16" s="24"/>
      <c r="H16" s="63">
        <v>107300</v>
      </c>
      <c r="I16" s="34"/>
    </row>
    <row r="17" spans="1:9">
      <c r="A17" s="19">
        <v>1981</v>
      </c>
      <c r="B17" s="59">
        <v>185450</v>
      </c>
      <c r="C17" s="83">
        <v>166880</v>
      </c>
      <c r="D17" s="83">
        <v>9320</v>
      </c>
      <c r="E17" s="83">
        <v>560</v>
      </c>
      <c r="F17" s="92">
        <v>362210</v>
      </c>
      <c r="G17" s="24"/>
      <c r="H17" s="63">
        <v>114450</v>
      </c>
      <c r="I17" s="34"/>
    </row>
    <row r="18" spans="1:9">
      <c r="A18" s="19">
        <v>1982</v>
      </c>
      <c r="B18" s="59">
        <v>188230</v>
      </c>
      <c r="C18" s="83">
        <v>164540</v>
      </c>
      <c r="D18" s="83">
        <v>9410</v>
      </c>
      <c r="E18" s="83">
        <v>460</v>
      </c>
      <c r="F18" s="92">
        <v>362640</v>
      </c>
      <c r="G18" s="24"/>
      <c r="H18" s="63">
        <v>115310</v>
      </c>
      <c r="I18" s="34"/>
    </row>
    <row r="19" spans="1:9">
      <c r="A19" s="19">
        <v>1983</v>
      </c>
      <c r="B19" s="59">
        <v>186550</v>
      </c>
      <c r="C19" s="83">
        <v>175180</v>
      </c>
      <c r="D19" s="83">
        <v>9610</v>
      </c>
      <c r="E19" s="83">
        <v>460</v>
      </c>
      <c r="F19" s="92">
        <v>371800</v>
      </c>
      <c r="G19" s="24"/>
      <c r="H19" s="63">
        <v>118010</v>
      </c>
      <c r="I19" s="34"/>
    </row>
    <row r="20" spans="1:9">
      <c r="A20" s="19">
        <v>1984</v>
      </c>
      <c r="B20" s="59">
        <v>176950</v>
      </c>
      <c r="C20" s="83">
        <v>169440</v>
      </c>
      <c r="D20" s="83">
        <v>10210</v>
      </c>
      <c r="E20" s="83">
        <v>440</v>
      </c>
      <c r="F20" s="92">
        <v>357040</v>
      </c>
      <c r="G20" s="24"/>
      <c r="H20" s="63">
        <v>136030</v>
      </c>
      <c r="I20" s="34"/>
    </row>
    <row r="21" spans="1:9">
      <c r="A21" s="19">
        <v>1985</v>
      </c>
      <c r="B21" s="59">
        <v>197380</v>
      </c>
      <c r="C21" s="83">
        <v>175680</v>
      </c>
      <c r="D21" s="83">
        <v>10430</v>
      </c>
      <c r="E21" s="83">
        <v>470</v>
      </c>
      <c r="F21" s="92">
        <v>383960</v>
      </c>
      <c r="G21" s="24"/>
      <c r="H21" s="63">
        <v>168020</v>
      </c>
      <c r="I21" s="34"/>
    </row>
    <row r="22" spans="1:9">
      <c r="A22" s="19">
        <v>1986</v>
      </c>
      <c r="B22" s="59">
        <v>201170</v>
      </c>
      <c r="C22" s="83">
        <v>178730</v>
      </c>
      <c r="D22" s="83">
        <v>10920</v>
      </c>
      <c r="E22" s="83">
        <v>470</v>
      </c>
      <c r="F22" s="92">
        <v>391290</v>
      </c>
      <c r="G22" s="24"/>
      <c r="H22" s="63">
        <v>169460</v>
      </c>
      <c r="I22" s="34"/>
    </row>
    <row r="23" spans="1:9">
      <c r="A23" s="19">
        <v>1987</v>
      </c>
      <c r="B23" s="59">
        <v>209380</v>
      </c>
      <c r="C23" s="83">
        <v>173670</v>
      </c>
      <c r="D23" s="83">
        <v>12350</v>
      </c>
      <c r="E23" s="83">
        <v>510</v>
      </c>
      <c r="F23" s="92">
        <v>395910</v>
      </c>
      <c r="G23" s="24"/>
      <c r="H23" s="63">
        <v>169900</v>
      </c>
      <c r="I23" s="34"/>
    </row>
    <row r="24" spans="1:9">
      <c r="A24" s="19">
        <v>1988</v>
      </c>
      <c r="B24" s="59">
        <v>212270</v>
      </c>
      <c r="C24" s="83">
        <v>166680</v>
      </c>
      <c r="D24" s="83">
        <v>11790</v>
      </c>
      <c r="E24" s="83">
        <v>500</v>
      </c>
      <c r="F24" s="92">
        <v>391240</v>
      </c>
      <c r="G24" s="24"/>
      <c r="H24" s="63">
        <v>168380</v>
      </c>
      <c r="I24" s="34"/>
    </row>
    <row r="25" spans="1:9">
      <c r="A25" s="19">
        <v>1989</v>
      </c>
      <c r="B25" s="59">
        <v>191200</v>
      </c>
      <c r="C25" s="83">
        <v>127700</v>
      </c>
      <c r="D25" s="83">
        <v>11870</v>
      </c>
      <c r="E25" s="83">
        <v>360</v>
      </c>
      <c r="F25" s="92">
        <v>331130</v>
      </c>
      <c r="G25" s="24"/>
      <c r="H25" s="63">
        <v>168610</v>
      </c>
      <c r="I25" s="34"/>
    </row>
    <row r="26" spans="1:9">
      <c r="A26" s="19">
        <v>1990</v>
      </c>
      <c r="B26" s="59">
        <v>194670</v>
      </c>
      <c r="C26" s="83">
        <v>129690</v>
      </c>
      <c r="D26" s="83">
        <v>11470</v>
      </c>
      <c r="E26" s="83">
        <v>290</v>
      </c>
      <c r="F26" s="92">
        <v>336120</v>
      </c>
      <c r="G26" s="24"/>
      <c r="H26" s="63">
        <v>172610</v>
      </c>
      <c r="I26" s="34"/>
    </row>
    <row r="27" spans="1:9">
      <c r="A27" s="19">
        <v>1991</v>
      </c>
      <c r="B27" s="59">
        <v>201880</v>
      </c>
      <c r="C27" s="83">
        <v>199610</v>
      </c>
      <c r="D27" s="83">
        <v>13260</v>
      </c>
      <c r="E27" s="83">
        <v>220</v>
      </c>
      <c r="F27" s="92">
        <v>414970</v>
      </c>
      <c r="G27" s="24"/>
      <c r="H27" s="63">
        <v>167040</v>
      </c>
      <c r="I27" s="34"/>
    </row>
    <row r="28" spans="1:9">
      <c r="A28" s="19">
        <v>1992</v>
      </c>
      <c r="B28" s="59">
        <v>206450</v>
      </c>
      <c r="C28" s="83">
        <v>181530</v>
      </c>
      <c r="D28" s="83">
        <v>13070</v>
      </c>
      <c r="E28" s="83">
        <v>200</v>
      </c>
      <c r="F28" s="92">
        <v>401250</v>
      </c>
      <c r="G28" s="24"/>
      <c r="H28" s="63">
        <v>172190</v>
      </c>
      <c r="I28" s="34"/>
    </row>
    <row r="29" spans="1:9">
      <c r="A29" s="19">
        <v>1993</v>
      </c>
      <c r="B29" s="59">
        <v>213530</v>
      </c>
      <c r="C29" s="83">
        <v>202240</v>
      </c>
      <c r="D29" s="83">
        <v>12380</v>
      </c>
      <c r="E29" s="83">
        <v>190</v>
      </c>
      <c r="F29" s="92">
        <v>428340</v>
      </c>
      <c r="G29" s="24"/>
      <c r="H29" s="63">
        <v>172880</v>
      </c>
      <c r="I29" s="34"/>
    </row>
    <row r="30" spans="1:9">
      <c r="A30" s="19">
        <v>1994</v>
      </c>
      <c r="B30" s="59">
        <v>229180</v>
      </c>
      <c r="C30" s="83">
        <v>206350</v>
      </c>
      <c r="D30" s="83">
        <v>12440</v>
      </c>
      <c r="E30" s="83">
        <v>180</v>
      </c>
      <c r="F30" s="92">
        <v>448150</v>
      </c>
      <c r="G30" s="24"/>
      <c r="H30" s="63">
        <v>180860</v>
      </c>
      <c r="I30" s="34"/>
    </row>
    <row r="31" spans="1:9">
      <c r="A31" s="19">
        <v>1995</v>
      </c>
      <c r="B31" s="59">
        <v>217290</v>
      </c>
      <c r="C31" s="83">
        <v>198050</v>
      </c>
      <c r="D31" s="83">
        <v>13160</v>
      </c>
      <c r="E31" s="83">
        <v>200</v>
      </c>
      <c r="F31" s="92">
        <v>428700</v>
      </c>
      <c r="G31" s="24"/>
      <c r="H31" s="63">
        <v>186440</v>
      </c>
      <c r="I31" s="34"/>
    </row>
    <row r="32" spans="1:9">
      <c r="A32" s="19">
        <v>1996</v>
      </c>
      <c r="B32" s="59">
        <v>198430</v>
      </c>
      <c r="C32" s="83">
        <v>223750</v>
      </c>
      <c r="D32" s="83">
        <v>14020</v>
      </c>
      <c r="E32" s="83">
        <v>210</v>
      </c>
      <c r="F32" s="92">
        <v>436410</v>
      </c>
      <c r="G32" s="24"/>
      <c r="H32" s="63">
        <v>188390</v>
      </c>
      <c r="I32" s="34"/>
    </row>
    <row r="33" spans="1:9">
      <c r="A33" s="19">
        <v>1997</v>
      </c>
      <c r="B33" s="59">
        <v>218160</v>
      </c>
      <c r="C33" s="83">
        <v>211500</v>
      </c>
      <c r="D33" s="83">
        <v>14180</v>
      </c>
      <c r="E33" s="83">
        <v>200</v>
      </c>
      <c r="F33" s="92">
        <v>444040</v>
      </c>
      <c r="G33" s="24"/>
      <c r="H33" s="63">
        <v>191020</v>
      </c>
      <c r="I33" s="34"/>
    </row>
    <row r="34" spans="1:9">
      <c r="A34" s="19">
        <v>1998</v>
      </c>
      <c r="B34" s="59">
        <v>219410</v>
      </c>
      <c r="C34" s="83">
        <v>216360</v>
      </c>
      <c r="D34" s="83">
        <v>14480</v>
      </c>
      <c r="E34" s="83">
        <v>190</v>
      </c>
      <c r="F34" s="92">
        <v>450440</v>
      </c>
      <c r="G34" s="24"/>
      <c r="H34" s="63">
        <v>196170</v>
      </c>
      <c r="I34" s="34"/>
    </row>
    <row r="35" spans="1:9">
      <c r="A35" s="19">
        <v>1999</v>
      </c>
      <c r="B35" s="59">
        <v>240090</v>
      </c>
      <c r="C35" s="83">
        <v>217960</v>
      </c>
      <c r="D35" s="83">
        <v>14580</v>
      </c>
      <c r="E35" s="83">
        <v>140</v>
      </c>
      <c r="F35" s="92">
        <v>472770</v>
      </c>
      <c r="G35" s="24"/>
      <c r="H35" s="63">
        <v>193820</v>
      </c>
      <c r="I35" s="34"/>
    </row>
    <row r="36" spans="1:9">
      <c r="A36" s="19">
        <v>2000</v>
      </c>
      <c r="B36" s="59">
        <v>235250</v>
      </c>
      <c r="C36" s="83">
        <v>197960</v>
      </c>
      <c r="D36" s="83">
        <v>14290</v>
      </c>
      <c r="E36" s="83">
        <v>100</v>
      </c>
      <c r="F36" s="92">
        <v>447600</v>
      </c>
      <c r="G36" s="24"/>
      <c r="H36" s="63">
        <v>205000</v>
      </c>
      <c r="I36" s="34"/>
    </row>
    <row r="37" spans="1:9">
      <c r="A37" s="19">
        <v>2001</v>
      </c>
      <c r="B37" s="59">
        <v>252630</v>
      </c>
      <c r="C37" s="83">
        <v>209150</v>
      </c>
      <c r="D37" s="83">
        <v>15350</v>
      </c>
      <c r="E37" s="83">
        <v>110</v>
      </c>
      <c r="F37" s="92">
        <v>477240</v>
      </c>
      <c r="G37" s="24"/>
      <c r="H37" s="63">
        <v>207820</v>
      </c>
      <c r="I37" s="34"/>
    </row>
    <row r="38" spans="1:9">
      <c r="A38" s="19">
        <v>2002</v>
      </c>
      <c r="B38" s="59">
        <v>234040</v>
      </c>
      <c r="C38" s="83">
        <v>209730</v>
      </c>
      <c r="D38" s="83">
        <v>14970</v>
      </c>
      <c r="E38" s="83">
        <v>100</v>
      </c>
      <c r="F38" s="92">
        <v>458840</v>
      </c>
      <c r="G38" s="24"/>
      <c r="H38" s="63">
        <v>212570</v>
      </c>
      <c r="I38" s="34"/>
    </row>
    <row r="39" spans="1:9">
      <c r="A39" s="19">
        <v>2003</v>
      </c>
      <c r="B39" s="59">
        <v>234960</v>
      </c>
      <c r="C39" s="83">
        <v>196600</v>
      </c>
      <c r="D39" s="83">
        <v>15980</v>
      </c>
      <c r="E39" s="83">
        <v>110</v>
      </c>
      <c r="F39" s="92">
        <v>447650</v>
      </c>
      <c r="G39" s="24"/>
      <c r="H39" s="63">
        <v>213740</v>
      </c>
      <c r="I39" s="34"/>
    </row>
    <row r="40" spans="1:9">
      <c r="A40" s="19">
        <v>2004</v>
      </c>
      <c r="B40" s="59">
        <v>228680</v>
      </c>
      <c r="C40" s="83">
        <v>222360</v>
      </c>
      <c r="D40" s="83">
        <v>16520</v>
      </c>
      <c r="E40" s="83">
        <v>140</v>
      </c>
      <c r="F40" s="92">
        <v>467700</v>
      </c>
      <c r="G40" s="24"/>
      <c r="H40" s="63">
        <v>209780</v>
      </c>
      <c r="I40" s="34"/>
    </row>
    <row r="41" spans="1:9">
      <c r="A41" s="19">
        <v>2005</v>
      </c>
      <c r="B41" s="59">
        <v>208500</v>
      </c>
      <c r="C41" s="83">
        <v>207190</v>
      </c>
      <c r="D41" s="83">
        <v>16670</v>
      </c>
      <c r="E41" s="83">
        <v>160</v>
      </c>
      <c r="F41" s="92">
        <v>432520</v>
      </c>
      <c r="G41" s="24"/>
      <c r="H41" s="63">
        <v>187330</v>
      </c>
      <c r="I41" s="34"/>
    </row>
    <row r="42" spans="1:9">
      <c r="A42" s="19">
        <v>2006</v>
      </c>
      <c r="B42" s="59">
        <v>223710</v>
      </c>
      <c r="C42" s="83">
        <v>234760</v>
      </c>
      <c r="D42" s="83">
        <v>16960</v>
      </c>
      <c r="E42" s="83">
        <v>160</v>
      </c>
      <c r="F42" s="92">
        <v>475590</v>
      </c>
      <c r="G42" s="24"/>
      <c r="H42" s="63">
        <v>220540</v>
      </c>
      <c r="I42" s="34"/>
    </row>
    <row r="43" spans="1:9">
      <c r="A43" s="19">
        <v>2007</v>
      </c>
      <c r="B43" s="59">
        <v>237300</v>
      </c>
      <c r="C43" s="83">
        <v>202540</v>
      </c>
      <c r="D43" s="83">
        <v>16340</v>
      </c>
      <c r="E43" s="83">
        <v>140</v>
      </c>
      <c r="F43" s="92">
        <v>456320</v>
      </c>
      <c r="G43" s="24"/>
      <c r="H43" s="63">
        <v>221360</v>
      </c>
      <c r="I43" s="34"/>
    </row>
    <row r="44" spans="1:9">
      <c r="A44" s="19">
        <v>2008</v>
      </c>
      <c r="B44" s="59">
        <v>241080</v>
      </c>
      <c r="C44" s="83">
        <v>217560</v>
      </c>
      <c r="D44" s="83">
        <v>16870</v>
      </c>
      <c r="E44" s="83">
        <v>160</v>
      </c>
      <c r="F44" s="92">
        <v>475670</v>
      </c>
      <c r="G44" s="24"/>
      <c r="H44" s="63">
        <v>218540</v>
      </c>
      <c r="I44" s="34"/>
    </row>
    <row r="45" spans="1:9">
      <c r="A45" s="19">
        <v>2009</v>
      </c>
      <c r="B45" s="59">
        <v>239380</v>
      </c>
      <c r="C45" s="83">
        <v>206080</v>
      </c>
      <c r="D45" s="83">
        <v>16790</v>
      </c>
      <c r="E45" s="83">
        <v>130</v>
      </c>
      <c r="F45" s="92">
        <v>462380</v>
      </c>
      <c r="G45" s="24"/>
      <c r="H45" s="63">
        <v>219840</v>
      </c>
      <c r="I45" s="34"/>
    </row>
    <row r="46" spans="1:9">
      <c r="A46" s="19">
        <v>2010</v>
      </c>
      <c r="B46" s="59">
        <v>238510</v>
      </c>
      <c r="C46" s="83">
        <v>192970</v>
      </c>
      <c r="D46" s="83">
        <v>18700</v>
      </c>
      <c r="E46" s="83">
        <v>210</v>
      </c>
      <c r="F46" s="92">
        <v>450390</v>
      </c>
      <c r="G46" s="24"/>
      <c r="H46" s="63">
        <v>212360</v>
      </c>
      <c r="I46" s="34"/>
    </row>
    <row r="47" spans="1:9">
      <c r="A47" s="19">
        <v>2011</v>
      </c>
      <c r="B47" s="59">
        <v>226370</v>
      </c>
      <c r="C47" s="83">
        <v>188670</v>
      </c>
      <c r="D47" s="83">
        <v>17150</v>
      </c>
      <c r="E47" s="83">
        <v>290</v>
      </c>
      <c r="F47" s="92">
        <v>432480</v>
      </c>
      <c r="G47" s="24"/>
      <c r="H47" s="63">
        <v>215880</v>
      </c>
      <c r="I47" s="34"/>
    </row>
    <row r="48" spans="1:9">
      <c r="A48" s="19">
        <v>2012</v>
      </c>
      <c r="B48" s="59">
        <v>244870</v>
      </c>
      <c r="C48" s="83">
        <v>146190</v>
      </c>
      <c r="D48" s="83">
        <v>18140</v>
      </c>
      <c r="E48" s="83">
        <v>320</v>
      </c>
      <c r="F48" s="92">
        <v>409520</v>
      </c>
      <c r="G48" s="24"/>
      <c r="H48" s="63">
        <v>208850</v>
      </c>
      <c r="I48" s="34"/>
    </row>
    <row r="49" spans="1:9">
      <c r="A49" s="19">
        <v>2013</v>
      </c>
      <c r="B49" s="59">
        <v>245920</v>
      </c>
      <c r="C49" s="83">
        <v>210530</v>
      </c>
      <c r="D49" s="83">
        <v>19380</v>
      </c>
      <c r="E49" s="83">
        <v>460</v>
      </c>
      <c r="F49" s="92">
        <v>476290</v>
      </c>
      <c r="G49" s="24"/>
      <c r="H49" s="63">
        <v>210200</v>
      </c>
      <c r="I49" s="34"/>
    </row>
    <row r="50" spans="1:9">
      <c r="A50" s="19">
        <v>2014</v>
      </c>
      <c r="B50" s="59">
        <v>250680</v>
      </c>
      <c r="C50" s="83">
        <v>211540</v>
      </c>
      <c r="D50" s="83">
        <v>17530</v>
      </c>
      <c r="E50" s="83">
        <v>670</v>
      </c>
      <c r="F50" s="92">
        <v>480420</v>
      </c>
      <c r="G50" s="24"/>
      <c r="H50" s="63">
        <v>221610</v>
      </c>
      <c r="I50" s="34"/>
    </row>
    <row r="51" spans="1:9">
      <c r="A51" s="19">
        <v>2015</v>
      </c>
      <c r="B51" s="59">
        <v>237450</v>
      </c>
      <c r="C51" s="83">
        <v>122240</v>
      </c>
      <c r="D51" s="83">
        <v>19940</v>
      </c>
      <c r="E51" s="83">
        <v>830</v>
      </c>
      <c r="F51" s="92">
        <v>380460</v>
      </c>
      <c r="G51" s="24"/>
      <c r="H51" s="63">
        <v>189060</v>
      </c>
      <c r="I51" s="34"/>
    </row>
    <row r="52" spans="1:9">
      <c r="A52" s="19">
        <v>2016</v>
      </c>
      <c r="B52" s="59">
        <v>221820</v>
      </c>
      <c r="C52" s="83">
        <v>128590</v>
      </c>
      <c r="D52" s="83">
        <v>21170</v>
      </c>
      <c r="E52" s="83">
        <v>980</v>
      </c>
      <c r="F52" s="92">
        <v>372560</v>
      </c>
      <c r="G52" s="24"/>
      <c r="H52" s="63">
        <v>176400</v>
      </c>
      <c r="I52" s="34"/>
    </row>
    <row r="53" spans="1:9">
      <c r="A53" s="19">
        <v>2017</v>
      </c>
      <c r="B53" s="59">
        <v>221350</v>
      </c>
      <c r="C53" s="83">
        <v>123190</v>
      </c>
      <c r="D53" s="83">
        <v>21640</v>
      </c>
      <c r="E53" s="83">
        <v>1080</v>
      </c>
      <c r="F53" s="92">
        <v>367260</v>
      </c>
      <c r="G53" s="24"/>
      <c r="H53" s="63">
        <v>170860</v>
      </c>
      <c r="I53" s="34"/>
    </row>
    <row r="54" spans="1:9">
      <c r="A54" s="19">
        <v>2018</v>
      </c>
      <c r="B54" s="59">
        <v>243210</v>
      </c>
      <c r="C54" s="83">
        <v>131400</v>
      </c>
      <c r="D54" s="83">
        <v>21290</v>
      </c>
      <c r="E54" s="83">
        <v>1170</v>
      </c>
      <c r="F54" s="92">
        <v>397070</v>
      </c>
      <c r="G54" s="24"/>
      <c r="H54" s="63">
        <v>207280</v>
      </c>
      <c r="I54" s="34"/>
    </row>
    <row r="55" spans="1:9">
      <c r="A55" s="19">
        <v>2019</v>
      </c>
      <c r="B55" s="59">
        <v>258820</v>
      </c>
      <c r="C55" s="83">
        <v>119440</v>
      </c>
      <c r="D55" s="83">
        <v>23550</v>
      </c>
      <c r="E55" s="83">
        <v>1300</v>
      </c>
      <c r="F55" s="92">
        <v>403110</v>
      </c>
      <c r="G55" s="24"/>
      <c r="H55" s="63">
        <v>213160</v>
      </c>
      <c r="I55" s="34"/>
    </row>
    <row r="56" spans="1:9">
      <c r="A56" s="19">
        <v>2020</v>
      </c>
      <c r="B56" s="59">
        <v>253190</v>
      </c>
      <c r="C56" s="83">
        <v>123230</v>
      </c>
      <c r="D56" s="83">
        <v>23260</v>
      </c>
      <c r="E56" s="83">
        <v>1330</v>
      </c>
      <c r="F56" s="92">
        <v>401010</v>
      </c>
      <c r="G56" s="24"/>
      <c r="H56" s="63">
        <v>197370</v>
      </c>
      <c r="I56" s="34"/>
    </row>
    <row r="57" spans="1:9" ht="13.5" customHeight="1">
      <c r="A57" s="19">
        <v>2021</v>
      </c>
      <c r="B57" s="59">
        <v>233850</v>
      </c>
      <c r="C57" s="83">
        <v>101540</v>
      </c>
      <c r="D57" s="83">
        <v>25820</v>
      </c>
      <c r="E57" s="83">
        <v>1330</v>
      </c>
      <c r="F57" s="92">
        <v>362540</v>
      </c>
      <c r="G57" s="24"/>
      <c r="H57" s="63">
        <v>164230</v>
      </c>
      <c r="I57" s="34"/>
    </row>
    <row r="58" spans="1:9" ht="13.5" customHeight="1">
      <c r="A58" s="19">
        <v>2022</v>
      </c>
      <c r="B58" s="59">
        <v>232270</v>
      </c>
      <c r="C58" s="83">
        <v>132710</v>
      </c>
      <c r="D58" s="83">
        <v>23710</v>
      </c>
      <c r="E58" s="83">
        <v>1520</v>
      </c>
      <c r="F58" s="92">
        <v>390210</v>
      </c>
      <c r="G58" s="24"/>
      <c r="H58" s="63">
        <v>196660</v>
      </c>
      <c r="I58" s="34"/>
    </row>
    <row r="59" spans="1:9" ht="13.5" customHeight="1">
      <c r="A59" s="19">
        <v>2023</v>
      </c>
      <c r="B59" s="59">
        <v>261880</v>
      </c>
      <c r="C59" s="83">
        <v>122700</v>
      </c>
      <c r="D59" s="83">
        <v>24270</v>
      </c>
      <c r="E59" s="83">
        <v>1580</v>
      </c>
      <c r="F59" s="92">
        <v>410430</v>
      </c>
      <c r="G59" s="24"/>
      <c r="H59" s="63">
        <v>198570</v>
      </c>
      <c r="I59" s="34"/>
    </row>
    <row r="60" spans="1:9" ht="13.5" customHeight="1">
      <c r="A60" s="48">
        <v>2024</v>
      </c>
      <c r="B60" s="69">
        <v>291790</v>
      </c>
      <c r="C60" s="50">
        <v>112780</v>
      </c>
      <c r="D60" s="50">
        <v>26810</v>
      </c>
      <c r="E60" s="50">
        <v>1700</v>
      </c>
      <c r="F60" s="51">
        <v>433080</v>
      </c>
      <c r="G60" s="24"/>
      <c r="H60" s="71">
        <v>195570</v>
      </c>
      <c r="I60" s="34"/>
    </row>
    <row r="61" spans="1:9" ht="13.5" customHeight="1">
      <c r="A61" s="31"/>
      <c r="B61" s="32"/>
      <c r="C61" s="32"/>
      <c r="D61" s="32"/>
      <c r="E61" s="32"/>
      <c r="F61" s="32"/>
      <c r="G61" s="24"/>
      <c r="H61" s="32"/>
      <c r="I61" s="34"/>
    </row>
    <row r="62" spans="1:9">
      <c r="A62" s="93" t="s">
        <v>168</v>
      </c>
      <c r="B62" s="35"/>
      <c r="C62" s="35"/>
      <c r="D62" s="93" t="s">
        <v>169</v>
      </c>
      <c r="F62" s="35"/>
      <c r="G62" s="35"/>
      <c r="H62" s="35"/>
      <c r="I62" s="34"/>
    </row>
    <row r="63" spans="1:9">
      <c r="I63" s="34"/>
    </row>
    <row r="64" spans="1:9">
      <c r="I64" s="34"/>
    </row>
    <row r="66" spans="1:1">
      <c r="A66" s="35" t="s">
        <v>75</v>
      </c>
    </row>
    <row r="67" spans="1:1">
      <c r="A67" s="35" t="s">
        <v>76</v>
      </c>
    </row>
    <row r="68" spans="1:1">
      <c r="A68" s="35" t="s">
        <v>77</v>
      </c>
    </row>
  </sheetData>
  <conditionalFormatting sqref="B6:F25 H6:H25">
    <cfRule type="expression" dxfId="25" priority="3">
      <formula>O6&lt;&gt;0</formula>
    </cfRule>
  </conditionalFormatting>
  <conditionalFormatting sqref="B26:F60 H26:H60">
    <cfRule type="expression" dxfId="24" priority="1">
      <formula>#REF!&lt;&gt;0</formula>
    </cfRule>
  </conditionalFormatting>
  <conditionalFormatting sqref="B61:F61 H61">
    <cfRule type="expression" dxfId="23" priority="2">
      <formula>O61&lt;&gt;0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19681-E4C3-432B-B1B3-5583E2671E27}">
  <sheetPr codeName="Tabelle40"/>
  <dimension ref="A1:E50"/>
  <sheetViews>
    <sheetView workbookViewId="0">
      <selection activeCell="A39" sqref="A39:E40"/>
    </sheetView>
  </sheetViews>
  <sheetFormatPr defaultColWidth="11.54296875" defaultRowHeight="12.5"/>
  <cols>
    <col min="1" max="1" width="12.7265625" style="4" customWidth="1"/>
    <col min="2" max="2" width="22.7265625" style="4" customWidth="1"/>
    <col min="3" max="3" width="3.26953125" style="4" customWidth="1"/>
    <col min="4" max="5" width="22.7265625" style="4" customWidth="1"/>
    <col min="6" max="16384" width="11.54296875" style="4"/>
  </cols>
  <sheetData>
    <row r="1" spans="1:5" ht="13">
      <c r="A1" s="3" t="s">
        <v>518</v>
      </c>
      <c r="E1" s="5" t="s">
        <v>519</v>
      </c>
    </row>
    <row r="2" spans="1:5" ht="13">
      <c r="A2" s="3" t="s">
        <v>520</v>
      </c>
      <c r="E2" s="5" t="s">
        <v>521</v>
      </c>
    </row>
    <row r="4" spans="1:5">
      <c r="A4" s="6" t="s">
        <v>55</v>
      </c>
      <c r="B4" s="54" t="s">
        <v>522</v>
      </c>
      <c r="C4" s="88"/>
      <c r="D4" s="39" t="s">
        <v>523</v>
      </c>
      <c r="E4" s="39" t="s">
        <v>524</v>
      </c>
    </row>
    <row r="5" spans="1:5">
      <c r="A5" s="10" t="s">
        <v>62</v>
      </c>
      <c r="B5" s="162" t="s">
        <v>525</v>
      </c>
      <c r="C5" s="90"/>
      <c r="D5" s="100" t="s">
        <v>526</v>
      </c>
      <c r="E5" s="100" t="s">
        <v>527</v>
      </c>
    </row>
    <row r="6" spans="1:5">
      <c r="A6" s="19">
        <v>1990</v>
      </c>
      <c r="B6" s="163">
        <v>3</v>
      </c>
      <c r="C6" s="145"/>
      <c r="D6" s="164">
        <v>0.2</v>
      </c>
      <c r="E6" s="165">
        <v>0</v>
      </c>
    </row>
    <row r="7" spans="1:5">
      <c r="A7" s="19">
        <v>1991</v>
      </c>
      <c r="B7" s="148">
        <v>3</v>
      </c>
      <c r="C7" s="103"/>
      <c r="D7" s="166">
        <v>0.2</v>
      </c>
      <c r="E7" s="167">
        <v>0.1</v>
      </c>
    </row>
    <row r="8" spans="1:5">
      <c r="A8" s="19">
        <v>1992</v>
      </c>
      <c r="B8" s="148">
        <v>3</v>
      </c>
      <c r="C8" s="103"/>
      <c r="D8" s="166">
        <v>0.2</v>
      </c>
      <c r="E8" s="167">
        <v>0.1</v>
      </c>
    </row>
    <row r="9" spans="1:5">
      <c r="A9" s="19">
        <v>1993</v>
      </c>
      <c r="B9" s="148">
        <v>4</v>
      </c>
      <c r="C9" s="103"/>
      <c r="D9" s="166">
        <v>0.1</v>
      </c>
      <c r="E9" s="167">
        <v>0</v>
      </c>
    </row>
    <row r="10" spans="1:5">
      <c r="A10" s="19">
        <v>1994</v>
      </c>
      <c r="B10" s="148">
        <v>6</v>
      </c>
      <c r="C10" s="103"/>
      <c r="D10" s="166">
        <v>0.2</v>
      </c>
      <c r="E10" s="167">
        <v>0.1</v>
      </c>
    </row>
    <row r="11" spans="1:5">
      <c r="A11" s="19">
        <v>1995</v>
      </c>
      <c r="B11" s="148">
        <v>7</v>
      </c>
      <c r="C11" s="103"/>
      <c r="D11" s="166">
        <v>0.3</v>
      </c>
      <c r="E11" s="167">
        <v>0.1</v>
      </c>
    </row>
    <row r="12" spans="1:5">
      <c r="A12" s="19">
        <v>1996</v>
      </c>
      <c r="B12" s="148">
        <v>8</v>
      </c>
      <c r="C12" s="103"/>
      <c r="D12" s="166">
        <v>2</v>
      </c>
      <c r="E12" s="167">
        <v>0.5</v>
      </c>
    </row>
    <row r="13" spans="1:5">
      <c r="A13" s="19">
        <v>1997</v>
      </c>
      <c r="B13" s="148">
        <v>11</v>
      </c>
      <c r="C13" s="103"/>
      <c r="D13" s="166">
        <v>2.1</v>
      </c>
      <c r="E13" s="167">
        <v>2</v>
      </c>
    </row>
    <row r="14" spans="1:5">
      <c r="A14" s="19">
        <v>1998</v>
      </c>
      <c r="B14" s="148">
        <v>11</v>
      </c>
      <c r="C14" s="103"/>
      <c r="D14" s="166">
        <v>2.8</v>
      </c>
      <c r="E14" s="167">
        <v>2.7</v>
      </c>
    </row>
    <row r="15" spans="1:5">
      <c r="A15" s="19">
        <v>1999</v>
      </c>
      <c r="B15" s="148">
        <v>11</v>
      </c>
      <c r="C15" s="103"/>
      <c r="D15" s="166">
        <v>2.8</v>
      </c>
      <c r="E15" s="167">
        <v>3.3</v>
      </c>
    </row>
    <row r="16" spans="1:5">
      <c r="A16" s="19">
        <v>2000</v>
      </c>
      <c r="B16" s="148">
        <v>11</v>
      </c>
      <c r="C16" s="103"/>
      <c r="D16" s="166">
        <v>2.8</v>
      </c>
      <c r="E16" s="167">
        <v>3</v>
      </c>
    </row>
    <row r="17" spans="1:5">
      <c r="A17" s="19">
        <v>2001</v>
      </c>
      <c r="B17" s="148">
        <v>14</v>
      </c>
      <c r="C17" s="103"/>
      <c r="D17" s="166">
        <v>4.5</v>
      </c>
      <c r="E17" s="167">
        <v>4</v>
      </c>
    </row>
    <row r="18" spans="1:5">
      <c r="A18" s="19">
        <v>2002</v>
      </c>
      <c r="B18" s="148">
        <v>21</v>
      </c>
      <c r="C18" s="103"/>
      <c r="D18" s="166">
        <v>5.3</v>
      </c>
      <c r="E18" s="167">
        <v>5.4</v>
      </c>
    </row>
    <row r="19" spans="1:5">
      <c r="A19" s="19">
        <v>2003</v>
      </c>
      <c r="B19" s="148">
        <v>22</v>
      </c>
      <c r="C19" s="103"/>
      <c r="D19" s="166">
        <v>5.4</v>
      </c>
      <c r="E19" s="167">
        <v>5.2</v>
      </c>
    </row>
    <row r="20" spans="1:5">
      <c r="A20" s="19">
        <v>2004</v>
      </c>
      <c r="B20" s="148">
        <v>23</v>
      </c>
      <c r="C20" s="103"/>
      <c r="D20" s="166">
        <v>8.6999999999999993</v>
      </c>
      <c r="E20" s="167">
        <v>6.3</v>
      </c>
    </row>
    <row r="21" spans="1:5">
      <c r="A21" s="19">
        <v>2005</v>
      </c>
      <c r="B21" s="148">
        <v>28</v>
      </c>
      <c r="C21" s="103"/>
      <c r="D21" s="166">
        <v>11.6</v>
      </c>
      <c r="E21" s="167">
        <v>8.4</v>
      </c>
    </row>
    <row r="22" spans="1:5">
      <c r="A22" s="19">
        <v>2006</v>
      </c>
      <c r="B22" s="148">
        <v>28</v>
      </c>
      <c r="C22" s="103"/>
      <c r="D22" s="166">
        <v>11.6</v>
      </c>
      <c r="E22" s="167">
        <v>15.3</v>
      </c>
    </row>
    <row r="23" spans="1:5">
      <c r="A23" s="19">
        <v>2007</v>
      </c>
      <c r="B23" s="148">
        <v>29</v>
      </c>
      <c r="C23" s="103"/>
      <c r="D23" s="166">
        <v>11.6</v>
      </c>
      <c r="E23" s="167">
        <v>16</v>
      </c>
    </row>
    <row r="24" spans="1:5">
      <c r="A24" s="19">
        <v>2008</v>
      </c>
      <c r="B24" s="148">
        <v>30</v>
      </c>
      <c r="C24" s="103"/>
      <c r="D24" s="166">
        <v>13.6</v>
      </c>
      <c r="E24" s="167">
        <v>18.5</v>
      </c>
    </row>
    <row r="25" spans="1:5">
      <c r="A25" s="19">
        <v>2009</v>
      </c>
      <c r="B25" s="148">
        <v>31</v>
      </c>
      <c r="C25" s="103"/>
      <c r="D25" s="166">
        <v>17.600000000000001</v>
      </c>
      <c r="E25" s="167">
        <v>22.6</v>
      </c>
    </row>
    <row r="26" spans="1:5">
      <c r="A26" s="19">
        <v>2010</v>
      </c>
      <c r="B26" s="148">
        <v>32</v>
      </c>
      <c r="C26" s="103"/>
      <c r="D26" s="166">
        <v>42.3</v>
      </c>
      <c r="E26" s="167">
        <v>36.6</v>
      </c>
    </row>
    <row r="27" spans="1:5">
      <c r="A27" s="19">
        <v>2011</v>
      </c>
      <c r="B27" s="148">
        <v>33</v>
      </c>
      <c r="C27" s="103"/>
      <c r="D27" s="166">
        <v>45.5</v>
      </c>
      <c r="E27" s="167">
        <v>70.099999999999994</v>
      </c>
    </row>
    <row r="28" spans="1:5">
      <c r="A28" s="19">
        <v>2012</v>
      </c>
      <c r="B28" s="148">
        <v>35</v>
      </c>
      <c r="C28" s="103"/>
      <c r="D28" s="166">
        <v>49.4</v>
      </c>
      <c r="E28" s="167">
        <v>88.1</v>
      </c>
    </row>
    <row r="29" spans="1:5">
      <c r="A29" s="19">
        <v>2013</v>
      </c>
      <c r="B29" s="148">
        <v>37</v>
      </c>
      <c r="C29" s="103"/>
      <c r="D29" s="166">
        <v>60.3</v>
      </c>
      <c r="E29" s="167">
        <v>89.5</v>
      </c>
    </row>
    <row r="30" spans="1:5">
      <c r="A30" s="19">
        <v>2014</v>
      </c>
      <c r="B30" s="148">
        <v>37</v>
      </c>
      <c r="C30" s="103"/>
      <c r="D30" s="166">
        <v>60.3</v>
      </c>
      <c r="E30" s="167">
        <v>100.9</v>
      </c>
    </row>
    <row r="31" spans="1:5">
      <c r="A31" s="19">
        <v>2015</v>
      </c>
      <c r="B31" s="148">
        <v>37</v>
      </c>
      <c r="C31" s="103"/>
      <c r="D31" s="166">
        <v>60.3</v>
      </c>
      <c r="E31" s="167">
        <v>110</v>
      </c>
    </row>
    <row r="32" spans="1:5">
      <c r="A32" s="19">
        <v>2016</v>
      </c>
      <c r="B32" s="148">
        <v>37</v>
      </c>
      <c r="C32" s="103"/>
      <c r="D32" s="166">
        <v>75.400000000000006</v>
      </c>
      <c r="E32" s="167">
        <v>108.6</v>
      </c>
    </row>
    <row r="33" spans="1:5">
      <c r="A33" s="19">
        <v>2017</v>
      </c>
      <c r="B33" s="148">
        <v>37</v>
      </c>
      <c r="C33" s="103"/>
      <c r="D33" s="166">
        <v>75.400000000000006</v>
      </c>
      <c r="E33" s="167">
        <v>132.6</v>
      </c>
    </row>
    <row r="34" spans="1:5">
      <c r="A34" s="19">
        <v>2018</v>
      </c>
      <c r="B34" s="148">
        <v>37</v>
      </c>
      <c r="C34" s="103"/>
      <c r="D34" s="166">
        <v>75.400000000000006</v>
      </c>
      <c r="E34" s="167">
        <v>121.8</v>
      </c>
    </row>
    <row r="35" spans="1:5">
      <c r="A35" s="19">
        <v>2019</v>
      </c>
      <c r="B35" s="148">
        <v>37</v>
      </c>
      <c r="C35" s="103"/>
      <c r="D35" s="166">
        <v>75.400000000000006</v>
      </c>
      <c r="E35" s="167">
        <v>145.9</v>
      </c>
    </row>
    <row r="36" spans="1:5" ht="14.5">
      <c r="A36" s="19">
        <v>2020</v>
      </c>
      <c r="B36" s="148">
        <v>38</v>
      </c>
      <c r="C36" s="168"/>
      <c r="D36" s="166">
        <v>87.1</v>
      </c>
      <c r="E36" s="167">
        <v>145.5</v>
      </c>
    </row>
    <row r="37" spans="1:5">
      <c r="A37" s="19">
        <v>2021</v>
      </c>
      <c r="B37" s="148">
        <v>66</v>
      </c>
      <c r="C37" s="103"/>
      <c r="D37" s="166">
        <v>88.3</v>
      </c>
      <c r="E37" s="167">
        <v>145</v>
      </c>
    </row>
    <row r="38" spans="1:5">
      <c r="A38" s="19">
        <v>2022</v>
      </c>
      <c r="B38" s="148">
        <v>67</v>
      </c>
      <c r="C38" s="103"/>
      <c r="D38" s="166">
        <v>88.3</v>
      </c>
      <c r="E38" s="167">
        <v>149.69999999999999</v>
      </c>
    </row>
    <row r="39" spans="1:5">
      <c r="A39" s="19">
        <v>2023</v>
      </c>
      <c r="B39" s="148">
        <v>67</v>
      </c>
      <c r="C39" s="103"/>
      <c r="D39" s="166">
        <v>88.3</v>
      </c>
      <c r="E39" s="167">
        <v>168.5</v>
      </c>
    </row>
    <row r="40" spans="1:5" ht="13">
      <c r="A40" s="48">
        <v>2024</v>
      </c>
      <c r="B40" s="149">
        <v>70</v>
      </c>
      <c r="C40" s="105"/>
      <c r="D40" s="169">
        <v>102.2</v>
      </c>
      <c r="E40" s="170">
        <v>170.5</v>
      </c>
    </row>
    <row r="41" spans="1:5" ht="13">
      <c r="A41" s="31"/>
      <c r="B41" s="32"/>
      <c r="C41" s="32"/>
      <c r="D41" s="76"/>
      <c r="E41" s="76"/>
    </row>
    <row r="42" spans="1:5" ht="13">
      <c r="A42" s="262" t="s">
        <v>528</v>
      </c>
      <c r="B42" s="262"/>
      <c r="C42" s="32"/>
      <c r="D42" s="262" t="s">
        <v>529</v>
      </c>
      <c r="E42" s="262"/>
    </row>
    <row r="43" spans="1:5" ht="13">
      <c r="A43" s="171"/>
      <c r="B43" s="171"/>
      <c r="C43" s="32"/>
      <c r="D43" s="76"/>
      <c r="E43" s="76"/>
    </row>
    <row r="44" spans="1:5" ht="12.75" customHeight="1">
      <c r="A44" s="262" t="s">
        <v>469</v>
      </c>
      <c r="B44" s="262"/>
      <c r="C44" s="171"/>
      <c r="D44" s="262" t="s">
        <v>470</v>
      </c>
      <c r="E44" s="262"/>
    </row>
    <row r="48" spans="1:5">
      <c r="A48" s="35" t="s">
        <v>75</v>
      </c>
    </row>
    <row r="49" spans="1:1">
      <c r="A49" s="35" t="s">
        <v>76</v>
      </c>
    </row>
    <row r="50" spans="1:1">
      <c r="A50" s="35" t="s">
        <v>77</v>
      </c>
    </row>
  </sheetData>
  <mergeCells count="4">
    <mergeCell ref="A42:B42"/>
    <mergeCell ref="D42:E42"/>
    <mergeCell ref="A44:B44"/>
    <mergeCell ref="D44:E44"/>
  </mergeCells>
  <conditionalFormatting sqref="B6:C41">
    <cfRule type="expression" dxfId="22" priority="2">
      <formula>M6&lt;&gt;0</formula>
    </cfRule>
  </conditionalFormatting>
  <conditionalFormatting sqref="C42:C43">
    <cfRule type="expression" dxfId="21" priority="4">
      <formula>N42&lt;&gt;0</formula>
    </cfRule>
  </conditionalFormatting>
  <conditionalFormatting sqref="D6:E41">
    <cfRule type="expression" dxfId="20" priority="1">
      <formula>N6&lt;&gt;0</formula>
    </cfRule>
  </conditionalFormatting>
  <conditionalFormatting sqref="D43:E43">
    <cfRule type="expression" dxfId="19" priority="3">
      <formula>N43&lt;&gt;0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E85C2-95FF-4AAA-B2B1-0A2CCE9FE643}">
  <sheetPr codeName="Tabelle41"/>
  <dimension ref="A1:L53"/>
  <sheetViews>
    <sheetView workbookViewId="0">
      <selection activeCell="A33" sqref="A33:K42"/>
    </sheetView>
  </sheetViews>
  <sheetFormatPr defaultColWidth="11.54296875" defaultRowHeight="12.5"/>
  <cols>
    <col min="1" max="1" width="8.7265625" style="4" customWidth="1"/>
    <col min="2" max="2" width="9.7265625" style="4" customWidth="1"/>
    <col min="3" max="3" width="1.7265625" style="4" customWidth="1"/>
    <col min="4" max="11" width="10.7265625" style="4" customWidth="1"/>
    <col min="12" max="12" width="8.7265625" style="4" customWidth="1"/>
    <col min="13" max="16384" width="11.54296875" style="4"/>
  </cols>
  <sheetData>
    <row r="1" spans="1:12" ht="13">
      <c r="A1" s="3" t="s">
        <v>530</v>
      </c>
      <c r="K1" s="5" t="s">
        <v>531</v>
      </c>
    </row>
    <row r="2" spans="1:12" ht="13">
      <c r="A2" s="3" t="s">
        <v>532</v>
      </c>
      <c r="K2" s="5" t="s">
        <v>533</v>
      </c>
    </row>
    <row r="4" spans="1:12" ht="13.15" customHeight="1">
      <c r="A4" s="290" t="s">
        <v>55</v>
      </c>
      <c r="B4" s="289" t="s">
        <v>534</v>
      </c>
      <c r="C4" s="295"/>
      <c r="D4" s="295"/>
      <c r="E4" s="295"/>
      <c r="F4" s="289" t="s">
        <v>535</v>
      </c>
      <c r="G4" s="295"/>
      <c r="H4" s="296"/>
      <c r="I4" s="289" t="s">
        <v>524</v>
      </c>
      <c r="J4" s="295"/>
      <c r="K4" s="296"/>
    </row>
    <row r="5" spans="1:12" ht="22.5" customHeight="1">
      <c r="A5" s="291"/>
      <c r="B5" s="285" t="s">
        <v>536</v>
      </c>
      <c r="C5" s="278"/>
      <c r="D5" s="97" t="s">
        <v>537</v>
      </c>
      <c r="E5" s="151" t="s">
        <v>61</v>
      </c>
      <c r="F5" s="96" t="s">
        <v>536</v>
      </c>
      <c r="G5" s="97" t="s">
        <v>538</v>
      </c>
      <c r="H5" s="42" t="s">
        <v>61</v>
      </c>
      <c r="I5" s="96" t="s">
        <v>536</v>
      </c>
      <c r="J5" s="97" t="s">
        <v>538</v>
      </c>
      <c r="K5" s="42" t="s">
        <v>61</v>
      </c>
    </row>
    <row r="6" spans="1:12" ht="13.15" customHeight="1">
      <c r="A6" s="292" t="s">
        <v>62</v>
      </c>
      <c r="B6" s="285"/>
      <c r="C6" s="298"/>
      <c r="D6" s="298" t="s">
        <v>539</v>
      </c>
      <c r="E6" s="298"/>
      <c r="F6" s="285" t="s">
        <v>540</v>
      </c>
      <c r="G6" s="298"/>
      <c r="H6" s="299"/>
      <c r="I6" s="285" t="s">
        <v>541</v>
      </c>
      <c r="J6" s="298"/>
      <c r="K6" s="299"/>
    </row>
    <row r="7" spans="1:12" ht="22">
      <c r="A7" s="293"/>
      <c r="B7" s="286" t="s">
        <v>542</v>
      </c>
      <c r="C7" s="321"/>
      <c r="D7" s="172" t="s">
        <v>543</v>
      </c>
      <c r="E7" s="173" t="s">
        <v>61</v>
      </c>
      <c r="F7" s="174" t="s">
        <v>542</v>
      </c>
      <c r="G7" s="172" t="s">
        <v>544</v>
      </c>
      <c r="H7" s="175" t="s">
        <v>61</v>
      </c>
      <c r="I7" s="174" t="s">
        <v>542</v>
      </c>
      <c r="J7" s="172" t="s">
        <v>544</v>
      </c>
      <c r="K7" s="175" t="s">
        <v>61</v>
      </c>
    </row>
    <row r="8" spans="1:12" ht="14.5">
      <c r="A8" s="14">
        <v>1990</v>
      </c>
      <c r="B8" s="176">
        <v>210</v>
      </c>
      <c r="C8" s="177"/>
      <c r="D8" s="16" t="s">
        <v>68</v>
      </c>
      <c r="E8" s="17" t="s">
        <v>68</v>
      </c>
      <c r="F8" s="164">
        <v>2.1</v>
      </c>
      <c r="G8" s="178">
        <v>0.4</v>
      </c>
      <c r="H8" s="179">
        <v>2.5</v>
      </c>
      <c r="I8" s="164">
        <v>1.3</v>
      </c>
      <c r="J8" s="178">
        <v>0.2</v>
      </c>
      <c r="K8" s="179">
        <v>1.5</v>
      </c>
      <c r="L8" s="180"/>
    </row>
    <row r="9" spans="1:12" ht="14.5">
      <c r="A9" s="19">
        <v>1991</v>
      </c>
      <c r="B9" s="181">
        <v>330</v>
      </c>
      <c r="C9" s="182"/>
      <c r="D9" s="21" t="s">
        <v>68</v>
      </c>
      <c r="E9" s="22" t="s">
        <v>68</v>
      </c>
      <c r="F9" s="166">
        <v>3.3</v>
      </c>
      <c r="G9" s="183">
        <v>0.6</v>
      </c>
      <c r="H9" s="124">
        <v>3.9</v>
      </c>
      <c r="I9" s="166">
        <v>2.1</v>
      </c>
      <c r="J9" s="183">
        <v>0.3</v>
      </c>
      <c r="K9" s="124">
        <v>2.4</v>
      </c>
      <c r="L9" s="180"/>
    </row>
    <row r="10" spans="1:12" ht="14.5">
      <c r="A10" s="19">
        <v>1992</v>
      </c>
      <c r="B10" s="181">
        <v>460</v>
      </c>
      <c r="C10" s="182"/>
      <c r="D10" s="21" t="s">
        <v>68</v>
      </c>
      <c r="E10" s="22" t="s">
        <v>68</v>
      </c>
      <c r="F10" s="166">
        <v>4.5</v>
      </c>
      <c r="G10" s="183">
        <v>0.8</v>
      </c>
      <c r="H10" s="124">
        <v>5.3</v>
      </c>
      <c r="I10" s="166">
        <v>3.1</v>
      </c>
      <c r="J10" s="183">
        <v>0.3</v>
      </c>
      <c r="K10" s="124">
        <v>3.4</v>
      </c>
      <c r="L10" s="180"/>
    </row>
    <row r="11" spans="1:12" ht="14.5">
      <c r="A11" s="19">
        <v>1993</v>
      </c>
      <c r="B11" s="181">
        <v>550</v>
      </c>
      <c r="C11" s="182"/>
      <c r="D11" s="21" t="s">
        <v>68</v>
      </c>
      <c r="E11" s="22" t="s">
        <v>68</v>
      </c>
      <c r="F11" s="166">
        <v>5.4</v>
      </c>
      <c r="G11" s="183">
        <v>1</v>
      </c>
      <c r="H11" s="124">
        <v>6.4</v>
      </c>
      <c r="I11" s="166">
        <v>4</v>
      </c>
      <c r="J11" s="183">
        <v>0.4</v>
      </c>
      <c r="K11" s="124">
        <v>4.4000000000000004</v>
      </c>
      <c r="L11" s="180"/>
    </row>
    <row r="12" spans="1:12" ht="14.5">
      <c r="A12" s="19">
        <v>1994</v>
      </c>
      <c r="B12" s="181">
        <v>650</v>
      </c>
      <c r="C12" s="182"/>
      <c r="D12" s="21" t="s">
        <v>68</v>
      </c>
      <c r="E12" s="22" t="s">
        <v>68</v>
      </c>
      <c r="F12" s="166">
        <v>6.3</v>
      </c>
      <c r="G12" s="183">
        <v>1.2</v>
      </c>
      <c r="H12" s="124">
        <v>7.5</v>
      </c>
      <c r="I12" s="166">
        <v>4.7</v>
      </c>
      <c r="J12" s="183">
        <v>0.5</v>
      </c>
      <c r="K12" s="124">
        <v>5.2</v>
      </c>
      <c r="L12" s="180"/>
    </row>
    <row r="13" spans="1:12" ht="14.5">
      <c r="A13" s="19">
        <v>1995</v>
      </c>
      <c r="B13" s="181">
        <v>720</v>
      </c>
      <c r="C13" s="182"/>
      <c r="D13" s="21" t="s">
        <v>68</v>
      </c>
      <c r="E13" s="22" t="s">
        <v>68</v>
      </c>
      <c r="F13" s="166">
        <v>7.1</v>
      </c>
      <c r="G13" s="183">
        <v>1.2</v>
      </c>
      <c r="H13" s="124">
        <v>8.3000000000000007</v>
      </c>
      <c r="I13" s="166">
        <v>5.4</v>
      </c>
      <c r="J13" s="183">
        <v>0.5</v>
      </c>
      <c r="K13" s="124">
        <v>5.9</v>
      </c>
      <c r="L13" s="180"/>
    </row>
    <row r="14" spans="1:12" ht="14.5">
      <c r="A14" s="19">
        <v>1996</v>
      </c>
      <c r="B14" s="181">
        <v>810</v>
      </c>
      <c r="C14" s="182"/>
      <c r="D14" s="21" t="s">
        <v>68</v>
      </c>
      <c r="E14" s="22" t="s">
        <v>68</v>
      </c>
      <c r="F14" s="166">
        <v>8</v>
      </c>
      <c r="G14" s="183">
        <v>1.4</v>
      </c>
      <c r="H14" s="124">
        <v>9.4</v>
      </c>
      <c r="I14" s="166">
        <v>6</v>
      </c>
      <c r="J14" s="183">
        <v>0.7</v>
      </c>
      <c r="K14" s="124">
        <v>6.7</v>
      </c>
      <c r="L14" s="180"/>
    </row>
    <row r="15" spans="1:12" ht="14.5">
      <c r="A15" s="19">
        <v>1997</v>
      </c>
      <c r="B15" s="181">
        <v>900</v>
      </c>
      <c r="C15" s="182"/>
      <c r="D15" s="21" t="s">
        <v>68</v>
      </c>
      <c r="E15" s="22" t="s">
        <v>68</v>
      </c>
      <c r="F15" s="166">
        <v>8.8000000000000007</v>
      </c>
      <c r="G15" s="183">
        <v>1.6</v>
      </c>
      <c r="H15" s="124">
        <v>10.4</v>
      </c>
      <c r="I15" s="166">
        <v>6.7</v>
      </c>
      <c r="J15" s="183">
        <v>0.7</v>
      </c>
      <c r="K15" s="124">
        <v>7.4</v>
      </c>
      <c r="L15" s="180"/>
    </row>
    <row r="16" spans="1:12" ht="14.5">
      <c r="A16" s="19">
        <v>1998</v>
      </c>
      <c r="B16" s="181">
        <v>1040</v>
      </c>
      <c r="C16" s="182"/>
      <c r="D16" s="21" t="s">
        <v>68</v>
      </c>
      <c r="E16" s="22" t="s">
        <v>68</v>
      </c>
      <c r="F16" s="166">
        <v>10.199999999999999</v>
      </c>
      <c r="G16" s="183">
        <v>1.8</v>
      </c>
      <c r="H16" s="124">
        <v>12</v>
      </c>
      <c r="I16" s="166">
        <v>7.6</v>
      </c>
      <c r="J16" s="183">
        <v>0.8</v>
      </c>
      <c r="K16" s="124">
        <v>8.4</v>
      </c>
      <c r="L16" s="180"/>
    </row>
    <row r="17" spans="1:12" ht="14.5">
      <c r="A17" s="19">
        <v>1999</v>
      </c>
      <c r="B17" s="181">
        <v>1200</v>
      </c>
      <c r="C17" s="182"/>
      <c r="D17" s="21" t="s">
        <v>68</v>
      </c>
      <c r="E17" s="22" t="s">
        <v>68</v>
      </c>
      <c r="F17" s="166">
        <v>11.7</v>
      </c>
      <c r="G17" s="183">
        <v>2.1</v>
      </c>
      <c r="H17" s="124">
        <v>13.8</v>
      </c>
      <c r="I17" s="166">
        <v>8.8000000000000007</v>
      </c>
      <c r="J17" s="183">
        <v>0.9</v>
      </c>
      <c r="K17" s="124">
        <v>9.6999999999999993</v>
      </c>
      <c r="L17" s="180"/>
    </row>
    <row r="18" spans="1:12" ht="14.5">
      <c r="A18" s="19">
        <v>2000</v>
      </c>
      <c r="B18" s="181">
        <v>1400</v>
      </c>
      <c r="C18" s="182"/>
      <c r="D18" s="21" t="s">
        <v>68</v>
      </c>
      <c r="E18" s="22" t="s">
        <v>68</v>
      </c>
      <c r="F18" s="166">
        <v>13.7</v>
      </c>
      <c r="G18" s="183">
        <v>2.2000000000000002</v>
      </c>
      <c r="H18" s="124">
        <v>15.9</v>
      </c>
      <c r="I18" s="166">
        <v>10.199999999999999</v>
      </c>
      <c r="J18" s="183">
        <v>1</v>
      </c>
      <c r="K18" s="124">
        <v>11.2</v>
      </c>
      <c r="L18" s="180"/>
    </row>
    <row r="19" spans="1:12" ht="14.5">
      <c r="A19" s="19">
        <v>2001</v>
      </c>
      <c r="B19" s="181">
        <v>1540</v>
      </c>
      <c r="C19" s="182"/>
      <c r="D19" s="21" t="s">
        <v>68</v>
      </c>
      <c r="E19" s="22" t="s">
        <v>68</v>
      </c>
      <c r="F19" s="166">
        <v>16.100000000000001</v>
      </c>
      <c r="G19" s="183">
        <v>2.2000000000000002</v>
      </c>
      <c r="H19" s="124">
        <v>18.3</v>
      </c>
      <c r="I19" s="166">
        <v>11.9</v>
      </c>
      <c r="J19" s="183">
        <v>1.1000000000000001</v>
      </c>
      <c r="K19" s="124">
        <v>13</v>
      </c>
      <c r="L19" s="180"/>
    </row>
    <row r="20" spans="1:12" ht="14.5">
      <c r="A20" s="19">
        <v>2002</v>
      </c>
      <c r="B20" s="181">
        <v>1630</v>
      </c>
      <c r="C20" s="182"/>
      <c r="D20" s="21" t="s">
        <v>68</v>
      </c>
      <c r="E20" s="22" t="s">
        <v>68</v>
      </c>
      <c r="F20" s="166">
        <v>17.899999999999999</v>
      </c>
      <c r="G20" s="183">
        <v>2.2999999999999998</v>
      </c>
      <c r="H20" s="124">
        <v>20.2</v>
      </c>
      <c r="I20" s="166">
        <v>13.6</v>
      </c>
      <c r="J20" s="183">
        <v>1.1000000000000001</v>
      </c>
      <c r="K20" s="124">
        <v>14.7</v>
      </c>
      <c r="L20" s="180"/>
    </row>
    <row r="21" spans="1:12" ht="14.5">
      <c r="A21" s="19">
        <v>2003</v>
      </c>
      <c r="B21" s="181">
        <v>1750</v>
      </c>
      <c r="C21" s="182"/>
      <c r="D21" s="21" t="s">
        <v>68</v>
      </c>
      <c r="E21" s="22" t="s">
        <v>68</v>
      </c>
      <c r="F21" s="166">
        <v>19.5</v>
      </c>
      <c r="G21" s="183">
        <v>2.4</v>
      </c>
      <c r="H21" s="124">
        <v>21.9</v>
      </c>
      <c r="I21" s="166">
        <v>16.3</v>
      </c>
      <c r="J21" s="183">
        <v>1.3</v>
      </c>
      <c r="K21" s="124">
        <v>17.600000000000001</v>
      </c>
      <c r="L21" s="180"/>
    </row>
    <row r="22" spans="1:12" ht="14.5">
      <c r="A22" s="19">
        <v>2004</v>
      </c>
      <c r="B22" s="181">
        <v>1860</v>
      </c>
      <c r="C22" s="182"/>
      <c r="D22" s="21" t="s">
        <v>68</v>
      </c>
      <c r="E22" s="22" t="s">
        <v>68</v>
      </c>
      <c r="F22" s="166">
        <v>21.8</v>
      </c>
      <c r="G22" s="183">
        <v>2.5</v>
      </c>
      <c r="H22" s="124">
        <v>24.3</v>
      </c>
      <c r="I22" s="166">
        <v>16.8</v>
      </c>
      <c r="J22" s="183">
        <v>1.3</v>
      </c>
      <c r="K22" s="124">
        <v>18.100000000000001</v>
      </c>
      <c r="L22" s="180"/>
    </row>
    <row r="23" spans="1:12" ht="14.5">
      <c r="A23" s="19">
        <v>2005</v>
      </c>
      <c r="B23" s="181">
        <v>2050</v>
      </c>
      <c r="C23" s="182"/>
      <c r="D23" s="21" t="s">
        <v>68</v>
      </c>
      <c r="E23" s="22" t="s">
        <v>68</v>
      </c>
      <c r="F23" s="166">
        <v>25.7</v>
      </c>
      <c r="G23" s="183">
        <v>2.6</v>
      </c>
      <c r="H23" s="124">
        <v>28.3</v>
      </c>
      <c r="I23" s="166">
        <v>19.5</v>
      </c>
      <c r="J23" s="183">
        <v>1.2</v>
      </c>
      <c r="K23" s="124">
        <v>20.7</v>
      </c>
      <c r="L23" s="180"/>
    </row>
    <row r="24" spans="1:12" ht="14.5">
      <c r="A24" s="19">
        <v>2006</v>
      </c>
      <c r="B24" s="181">
        <v>2180</v>
      </c>
      <c r="C24" s="182"/>
      <c r="D24" s="21" t="s">
        <v>68</v>
      </c>
      <c r="E24" s="22" t="s">
        <v>68</v>
      </c>
      <c r="F24" s="166">
        <v>27.4</v>
      </c>
      <c r="G24" s="183">
        <v>2.7</v>
      </c>
      <c r="H24" s="124">
        <v>30.1</v>
      </c>
      <c r="I24" s="166">
        <v>22.4</v>
      </c>
      <c r="J24" s="183">
        <v>1.4</v>
      </c>
      <c r="K24" s="124">
        <v>23.8</v>
      </c>
      <c r="L24" s="180"/>
    </row>
    <row r="25" spans="1:12" ht="14.5">
      <c r="A25" s="19">
        <v>2007</v>
      </c>
      <c r="B25" s="181">
        <v>2650</v>
      </c>
      <c r="C25" s="182"/>
      <c r="D25" s="21" t="s">
        <v>68</v>
      </c>
      <c r="E25" s="22" t="s">
        <v>68</v>
      </c>
      <c r="F25" s="166">
        <v>34.5</v>
      </c>
      <c r="G25" s="183">
        <v>2.9</v>
      </c>
      <c r="H25" s="124">
        <v>37.4</v>
      </c>
      <c r="I25" s="166">
        <v>27.1</v>
      </c>
      <c r="J25" s="183">
        <v>1.5</v>
      </c>
      <c r="K25" s="124">
        <v>28.6</v>
      </c>
      <c r="L25" s="180"/>
    </row>
    <row r="26" spans="1:12">
      <c r="A26" s="19">
        <v>2008</v>
      </c>
      <c r="B26" s="181">
        <v>4160</v>
      </c>
      <c r="C26" s="184"/>
      <c r="D26" s="21" t="s">
        <v>68</v>
      </c>
      <c r="E26" s="22" t="s">
        <v>68</v>
      </c>
      <c r="F26" s="166">
        <v>46.4</v>
      </c>
      <c r="G26" s="183">
        <v>3</v>
      </c>
      <c r="H26" s="124">
        <v>49.4</v>
      </c>
      <c r="I26" s="166">
        <v>35.200000000000003</v>
      </c>
      <c r="J26" s="183">
        <v>1.5</v>
      </c>
      <c r="K26" s="124">
        <v>36.700000000000003</v>
      </c>
      <c r="L26" s="180"/>
    </row>
    <row r="27" spans="1:12">
      <c r="A27" s="19">
        <v>2009</v>
      </c>
      <c r="B27" s="181">
        <v>6170</v>
      </c>
      <c r="C27" s="184"/>
      <c r="D27" s="21" t="s">
        <v>68</v>
      </c>
      <c r="E27" s="22" t="s">
        <v>68</v>
      </c>
      <c r="F27" s="166">
        <v>76.5</v>
      </c>
      <c r="G27" s="183">
        <v>3</v>
      </c>
      <c r="H27" s="124">
        <v>79.5</v>
      </c>
      <c r="I27" s="166">
        <v>52.9</v>
      </c>
      <c r="J27" s="183">
        <v>1.5</v>
      </c>
      <c r="K27" s="124">
        <v>54.4</v>
      </c>
      <c r="L27" s="180"/>
    </row>
    <row r="28" spans="1:12">
      <c r="A28" s="19">
        <v>2010</v>
      </c>
      <c r="B28" s="181">
        <v>9080</v>
      </c>
      <c r="C28" s="184"/>
      <c r="D28" s="21" t="s">
        <v>68</v>
      </c>
      <c r="E28" s="22" t="s">
        <v>68</v>
      </c>
      <c r="F28" s="166">
        <v>122.4</v>
      </c>
      <c r="G28" s="183">
        <v>3</v>
      </c>
      <c r="H28" s="124">
        <v>125.4</v>
      </c>
      <c r="I28" s="166">
        <v>92</v>
      </c>
      <c r="J28" s="183">
        <v>1.6</v>
      </c>
      <c r="K28" s="124">
        <v>93.6</v>
      </c>
      <c r="L28" s="180"/>
    </row>
    <row r="29" spans="1:12">
      <c r="A29" s="19">
        <v>2011</v>
      </c>
      <c r="B29" s="181">
        <v>13210</v>
      </c>
      <c r="C29" s="184"/>
      <c r="D29" s="21" t="s">
        <v>68</v>
      </c>
      <c r="E29" s="22" t="s">
        <v>68</v>
      </c>
      <c r="F29" s="166">
        <v>219.9</v>
      </c>
      <c r="G29" s="183">
        <v>3</v>
      </c>
      <c r="H29" s="124">
        <v>222.9</v>
      </c>
      <c r="I29" s="166">
        <v>166.3</v>
      </c>
      <c r="J29" s="183">
        <v>1.8</v>
      </c>
      <c r="K29" s="124">
        <v>168.1</v>
      </c>
      <c r="L29" s="180"/>
    </row>
    <row r="30" spans="1:12">
      <c r="A30" s="19">
        <v>2012</v>
      </c>
      <c r="B30" s="181">
        <v>23750</v>
      </c>
      <c r="C30" s="184"/>
      <c r="D30" s="21" t="s">
        <v>68</v>
      </c>
      <c r="E30" s="22" t="s">
        <v>68</v>
      </c>
      <c r="F30" s="166">
        <v>433.5</v>
      </c>
      <c r="G30" s="183">
        <v>3</v>
      </c>
      <c r="H30" s="124">
        <v>436.5</v>
      </c>
      <c r="I30" s="166">
        <v>297.7</v>
      </c>
      <c r="J30" s="183">
        <v>1.8</v>
      </c>
      <c r="K30" s="124">
        <v>299.5</v>
      </c>
      <c r="L30" s="180"/>
    </row>
    <row r="31" spans="1:12">
      <c r="A31" s="19">
        <v>2013</v>
      </c>
      <c r="B31" s="181">
        <v>31390</v>
      </c>
      <c r="C31" s="184"/>
      <c r="D31" s="21" t="s">
        <v>68</v>
      </c>
      <c r="E31" s="22" t="s">
        <v>68</v>
      </c>
      <c r="F31" s="166">
        <v>752.4</v>
      </c>
      <c r="G31" s="183">
        <v>3.2</v>
      </c>
      <c r="H31" s="124">
        <v>755.6</v>
      </c>
      <c r="I31" s="166">
        <v>498.8</v>
      </c>
      <c r="J31" s="183">
        <v>1.7</v>
      </c>
      <c r="K31" s="124">
        <v>500.5</v>
      </c>
      <c r="L31" s="180"/>
    </row>
    <row r="32" spans="1:12">
      <c r="A32" s="19">
        <v>2014</v>
      </c>
      <c r="B32" s="181">
        <v>39440</v>
      </c>
      <c r="C32" s="184"/>
      <c r="D32" s="21" t="s">
        <v>68</v>
      </c>
      <c r="E32" s="22" t="s">
        <v>68</v>
      </c>
      <c r="F32" s="166">
        <v>1056.9000000000001</v>
      </c>
      <c r="G32" s="183">
        <v>3.7</v>
      </c>
      <c r="H32" s="124">
        <v>1060.5999999999999</v>
      </c>
      <c r="I32" s="166">
        <v>839.5</v>
      </c>
      <c r="J32" s="183">
        <v>2.1</v>
      </c>
      <c r="K32" s="124">
        <v>841.6</v>
      </c>
      <c r="L32" s="180"/>
    </row>
    <row r="33" spans="1:12">
      <c r="A33" s="19">
        <v>2015</v>
      </c>
      <c r="B33" s="181">
        <v>49130</v>
      </c>
      <c r="C33" s="184"/>
      <c r="D33" s="21" t="s">
        <v>68</v>
      </c>
      <c r="E33" s="22" t="s">
        <v>68</v>
      </c>
      <c r="F33" s="166">
        <v>1390.1</v>
      </c>
      <c r="G33" s="183">
        <v>3.9</v>
      </c>
      <c r="H33" s="124">
        <v>1394</v>
      </c>
      <c r="I33" s="166">
        <v>1116.4000000000001</v>
      </c>
      <c r="J33" s="183">
        <v>2.2000000000000002</v>
      </c>
      <c r="K33" s="124">
        <v>1118.5999999999999</v>
      </c>
      <c r="L33" s="180"/>
    </row>
    <row r="34" spans="1:12">
      <c r="A34" s="19">
        <v>2016</v>
      </c>
      <c r="B34" s="181">
        <v>58080</v>
      </c>
      <c r="C34" s="184"/>
      <c r="D34" s="21" t="s">
        <v>68</v>
      </c>
      <c r="E34" s="22" t="s">
        <v>68</v>
      </c>
      <c r="F34" s="166">
        <v>1660.2</v>
      </c>
      <c r="G34" s="183">
        <v>4</v>
      </c>
      <c r="H34" s="124">
        <v>1664.2</v>
      </c>
      <c r="I34" s="166">
        <v>1331.4</v>
      </c>
      <c r="J34" s="183">
        <v>2.1</v>
      </c>
      <c r="K34" s="124">
        <v>1333.5</v>
      </c>
      <c r="L34" s="180"/>
    </row>
    <row r="35" spans="1:12">
      <c r="A35" s="19">
        <v>2017</v>
      </c>
      <c r="B35" s="181">
        <v>70070</v>
      </c>
      <c r="C35" s="184"/>
      <c r="D35" s="21" t="s">
        <v>68</v>
      </c>
      <c r="E35" s="22" t="s">
        <v>68</v>
      </c>
      <c r="F35" s="166">
        <v>1902.3</v>
      </c>
      <c r="G35" s="183">
        <v>4.0999999999999996</v>
      </c>
      <c r="H35" s="124">
        <v>1906.4</v>
      </c>
      <c r="I35" s="166">
        <v>1680.8</v>
      </c>
      <c r="J35" s="183">
        <v>2.4</v>
      </c>
      <c r="K35" s="124">
        <v>1683.2</v>
      </c>
      <c r="L35" s="180"/>
    </row>
    <row r="36" spans="1:12">
      <c r="A36" s="19">
        <v>2018</v>
      </c>
      <c r="B36" s="181">
        <v>83760</v>
      </c>
      <c r="C36" s="184"/>
      <c r="D36" s="21" t="s">
        <v>68</v>
      </c>
      <c r="E36" s="22" t="s">
        <v>68</v>
      </c>
      <c r="F36" s="166">
        <v>2167.6</v>
      </c>
      <c r="G36" s="183">
        <v>5.6</v>
      </c>
      <c r="H36" s="124">
        <v>2173.1999999999998</v>
      </c>
      <c r="I36" s="166">
        <v>1942.2</v>
      </c>
      <c r="J36" s="183">
        <v>2.9</v>
      </c>
      <c r="K36" s="124">
        <v>1945.1</v>
      </c>
      <c r="L36" s="180"/>
    </row>
    <row r="37" spans="1:12">
      <c r="A37" s="19">
        <v>2019</v>
      </c>
      <c r="B37" s="181">
        <v>98340</v>
      </c>
      <c r="C37" s="184"/>
      <c r="D37" s="21" t="s">
        <v>68</v>
      </c>
      <c r="E37" s="22" t="s">
        <v>68</v>
      </c>
      <c r="F37" s="166">
        <v>2492</v>
      </c>
      <c r="G37" s="183">
        <v>6.1</v>
      </c>
      <c r="H37" s="124">
        <v>2498.1</v>
      </c>
      <c r="I37" s="166">
        <v>2174.3000000000002</v>
      </c>
      <c r="J37" s="183">
        <v>3.4</v>
      </c>
      <c r="K37" s="124">
        <v>2177.6999999999998</v>
      </c>
    </row>
    <row r="38" spans="1:12">
      <c r="A38" s="19">
        <v>2020</v>
      </c>
      <c r="B38" s="181">
        <v>117660</v>
      </c>
      <c r="C38" s="184"/>
      <c r="D38" s="21" t="s">
        <v>68</v>
      </c>
      <c r="E38" s="22" t="s">
        <v>68</v>
      </c>
      <c r="F38" s="166">
        <v>2967.1</v>
      </c>
      <c r="G38" s="183">
        <v>6.3</v>
      </c>
      <c r="H38" s="124">
        <v>2973.4</v>
      </c>
      <c r="I38" s="166">
        <v>2688.6</v>
      </c>
      <c r="J38" s="183">
        <v>3.7</v>
      </c>
      <c r="K38" s="124">
        <v>2692.3</v>
      </c>
    </row>
    <row r="39" spans="1:12">
      <c r="A39" s="19">
        <v>2021</v>
      </c>
      <c r="B39" s="181">
        <v>144550</v>
      </c>
      <c r="C39" s="184"/>
      <c r="D39" s="21" t="s">
        <v>68</v>
      </c>
      <c r="E39" s="22" t="s">
        <v>68</v>
      </c>
      <c r="F39" s="166">
        <v>3648.7</v>
      </c>
      <c r="G39" s="183">
        <v>6.6</v>
      </c>
      <c r="H39" s="124">
        <v>3655.3</v>
      </c>
      <c r="I39" s="166">
        <v>2960.6</v>
      </c>
      <c r="J39" s="183">
        <v>3.4</v>
      </c>
      <c r="K39" s="124">
        <v>2964</v>
      </c>
    </row>
    <row r="40" spans="1:12">
      <c r="A40" s="19">
        <v>2022</v>
      </c>
      <c r="B40" s="181">
        <v>187400</v>
      </c>
      <c r="C40" s="184"/>
      <c r="D40" s="21" t="s">
        <v>68</v>
      </c>
      <c r="E40" s="22" t="s">
        <v>68</v>
      </c>
      <c r="F40" s="166">
        <v>4729.5</v>
      </c>
      <c r="G40" s="183">
        <v>7.2</v>
      </c>
      <c r="H40" s="124">
        <v>4736.7</v>
      </c>
      <c r="I40" s="166">
        <v>4063.4</v>
      </c>
      <c r="J40" s="183">
        <v>4</v>
      </c>
      <c r="K40" s="124">
        <v>4067.4</v>
      </c>
      <c r="L40" s="180"/>
    </row>
    <row r="41" spans="1:12">
      <c r="A41" s="19">
        <v>2023</v>
      </c>
      <c r="B41" s="181">
        <v>245390</v>
      </c>
      <c r="C41" s="184"/>
      <c r="D41" s="21" t="s">
        <v>68</v>
      </c>
      <c r="E41" s="22" t="s">
        <v>68</v>
      </c>
      <c r="F41" s="166">
        <v>6366.8</v>
      </c>
      <c r="G41" s="183">
        <v>7.9</v>
      </c>
      <c r="H41" s="124">
        <v>6374.7</v>
      </c>
      <c r="I41" s="166">
        <v>4910.1000000000004</v>
      </c>
      <c r="J41" s="183">
        <v>4</v>
      </c>
      <c r="K41" s="124">
        <v>4914.1000000000004</v>
      </c>
      <c r="L41" s="180"/>
    </row>
    <row r="42" spans="1:12" ht="13">
      <c r="A42" s="48">
        <v>2024</v>
      </c>
      <c r="B42" s="185">
        <v>301210</v>
      </c>
      <c r="C42" s="186"/>
      <c r="D42" s="187" t="s">
        <v>68</v>
      </c>
      <c r="E42" s="188" t="s">
        <v>68</v>
      </c>
      <c r="F42" s="169">
        <v>8161</v>
      </c>
      <c r="G42" s="189">
        <v>9.1999999999999993</v>
      </c>
      <c r="H42" s="70">
        <v>8170.2</v>
      </c>
      <c r="I42" s="169">
        <v>5956.4</v>
      </c>
      <c r="J42" s="189">
        <v>4.2</v>
      </c>
      <c r="K42" s="70">
        <v>5960.6</v>
      </c>
      <c r="L42" s="180"/>
    </row>
    <row r="43" spans="1:12" ht="13">
      <c r="A43" s="31"/>
      <c r="B43" s="190"/>
      <c r="C43" s="191"/>
      <c r="D43" s="127"/>
      <c r="E43" s="127"/>
      <c r="F43" s="76"/>
      <c r="G43" s="76"/>
      <c r="H43" s="76"/>
      <c r="I43" s="76"/>
      <c r="J43" s="76"/>
      <c r="K43" s="76"/>
    </row>
    <row r="44" spans="1:12">
      <c r="A44" s="77" t="s">
        <v>545</v>
      </c>
      <c r="G44" s="77" t="s">
        <v>546</v>
      </c>
    </row>
    <row r="45" spans="1:12">
      <c r="A45" s="77" t="s">
        <v>547</v>
      </c>
      <c r="G45" s="77" t="s">
        <v>548</v>
      </c>
    </row>
    <row r="47" spans="1:12" ht="12.75" customHeight="1">
      <c r="A47" s="262" t="s">
        <v>469</v>
      </c>
      <c r="B47" s="262"/>
      <c r="C47" s="262"/>
      <c r="D47" s="262"/>
      <c r="E47" s="262"/>
      <c r="G47" s="262" t="s">
        <v>470</v>
      </c>
      <c r="H47" s="262"/>
      <c r="I47" s="262"/>
      <c r="J47" s="262"/>
    </row>
    <row r="51" spans="1:1">
      <c r="A51" s="35" t="s">
        <v>75</v>
      </c>
    </row>
    <row r="52" spans="1:1">
      <c r="A52" s="35" t="s">
        <v>76</v>
      </c>
    </row>
    <row r="53" spans="1:1">
      <c r="A53" s="35" t="s">
        <v>77</v>
      </c>
    </row>
  </sheetData>
  <mergeCells count="12">
    <mergeCell ref="A47:E47"/>
    <mergeCell ref="G47:J47"/>
    <mergeCell ref="A4:A5"/>
    <mergeCell ref="B4:E4"/>
    <mergeCell ref="F4:H4"/>
    <mergeCell ref="I4:K4"/>
    <mergeCell ref="B5:C5"/>
    <mergeCell ref="A6:A7"/>
    <mergeCell ref="B6:E6"/>
    <mergeCell ref="F6:H6"/>
    <mergeCell ref="I6:K6"/>
    <mergeCell ref="B7:C7"/>
  </mergeCells>
  <conditionalFormatting sqref="B8:K43">
    <cfRule type="expression" dxfId="18" priority="1">
      <formula>#REF!&lt;&gt;0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49BEA-F27F-4BCA-A68F-D4FF3DC98246}">
  <sheetPr codeName="Tabelle21"/>
  <dimension ref="A1:T65"/>
  <sheetViews>
    <sheetView workbookViewId="0">
      <selection activeCell="F12" sqref="F12"/>
    </sheetView>
  </sheetViews>
  <sheetFormatPr defaultColWidth="11.54296875" defaultRowHeight="12.5"/>
  <cols>
    <col min="1" max="1" width="8.7265625" style="4" customWidth="1"/>
    <col min="2" max="2" width="10.7265625" style="4" customWidth="1"/>
    <col min="3" max="3" width="7.7265625" style="4" customWidth="1"/>
    <col min="4" max="4" width="10.7265625" style="4" customWidth="1"/>
    <col min="5" max="5" width="7.7265625" style="4" customWidth="1"/>
    <col min="6" max="6" width="10.7265625" style="4" customWidth="1"/>
    <col min="7" max="7" width="7.7265625" style="4" customWidth="1"/>
    <col min="8" max="8" width="10.7265625" style="4" customWidth="1"/>
    <col min="9" max="9" width="7.7265625" style="4" customWidth="1"/>
    <col min="10" max="10" width="10.7265625" style="4" customWidth="1"/>
    <col min="11" max="11" width="7.7265625" style="4" customWidth="1"/>
    <col min="12" max="12" width="10.7265625" style="4" customWidth="1"/>
    <col min="13" max="13" width="7.7265625" style="4" customWidth="1"/>
    <col min="14" max="14" width="10.7265625" style="4" customWidth="1"/>
    <col min="15" max="15" width="7.7265625" style="4" customWidth="1"/>
    <col min="16" max="16" width="10.7265625" style="4" customWidth="1"/>
    <col min="17" max="17" width="7.7265625" style="4" customWidth="1"/>
    <col min="18" max="18" width="10.7265625" style="4" customWidth="1"/>
    <col min="19" max="19" width="7.7265625" style="4" customWidth="1"/>
    <col min="20" max="20" width="10.7265625" style="4" customWidth="1"/>
    <col min="21" max="16384" width="11.54296875" style="4"/>
  </cols>
  <sheetData>
    <row r="1" spans="1:20" ht="13">
      <c r="A1" s="3" t="s">
        <v>221</v>
      </c>
    </row>
    <row r="2" spans="1:20" ht="13">
      <c r="A2" s="3" t="s">
        <v>222</v>
      </c>
    </row>
    <row r="4" spans="1:20" ht="13">
      <c r="A4" s="3" t="s">
        <v>223</v>
      </c>
      <c r="T4" s="5" t="s">
        <v>224</v>
      </c>
    </row>
    <row r="5" spans="1:20" ht="13">
      <c r="A5" s="3" t="s">
        <v>225</v>
      </c>
      <c r="T5" s="5" t="s">
        <v>226</v>
      </c>
    </row>
    <row r="7" spans="1:20" ht="12" customHeight="1">
      <c r="A7" s="54" t="s">
        <v>55</v>
      </c>
      <c r="B7" s="270" t="s">
        <v>116</v>
      </c>
      <c r="C7" s="314"/>
      <c r="D7" s="314"/>
      <c r="E7" s="272"/>
      <c r="F7" s="270" t="s">
        <v>161</v>
      </c>
      <c r="G7" s="272"/>
      <c r="H7" s="270" t="s">
        <v>59</v>
      </c>
      <c r="I7" s="272"/>
      <c r="J7" s="270" t="s">
        <v>83</v>
      </c>
      <c r="K7" s="272"/>
      <c r="L7" s="270" t="s">
        <v>193</v>
      </c>
      <c r="M7" s="272"/>
      <c r="N7" s="270" t="s">
        <v>177</v>
      </c>
      <c r="O7" s="272"/>
      <c r="P7" s="270" t="s">
        <v>227</v>
      </c>
      <c r="Q7" s="272"/>
      <c r="R7" s="270" t="s">
        <v>228</v>
      </c>
      <c r="S7" s="272"/>
      <c r="T7" s="290" t="s">
        <v>229</v>
      </c>
    </row>
    <row r="8" spans="1:20" ht="12" customHeight="1">
      <c r="A8" s="108"/>
      <c r="B8" s="271" t="s">
        <v>61</v>
      </c>
      <c r="C8" s="273"/>
      <c r="D8" s="271" t="s">
        <v>230</v>
      </c>
      <c r="E8" s="273"/>
      <c r="F8" s="271"/>
      <c r="G8" s="273"/>
      <c r="H8" s="271"/>
      <c r="I8" s="273"/>
      <c r="J8" s="271"/>
      <c r="K8" s="273"/>
      <c r="L8" s="271"/>
      <c r="M8" s="273"/>
      <c r="N8" s="271"/>
      <c r="O8" s="273"/>
      <c r="P8" s="271"/>
      <c r="Q8" s="273"/>
      <c r="R8" s="271"/>
      <c r="S8" s="273"/>
      <c r="T8" s="300"/>
    </row>
    <row r="9" spans="1:20" ht="12" customHeight="1">
      <c r="A9" s="263" t="s">
        <v>62</v>
      </c>
      <c r="B9" s="263" t="s">
        <v>119</v>
      </c>
      <c r="C9" s="313"/>
      <c r="D9" s="313"/>
      <c r="E9" s="268"/>
      <c r="F9" s="263" t="s">
        <v>164</v>
      </c>
      <c r="G9" s="268"/>
      <c r="H9" s="263" t="s">
        <v>66</v>
      </c>
      <c r="I9" s="268"/>
      <c r="J9" s="263" t="s">
        <v>92</v>
      </c>
      <c r="K9" s="268"/>
      <c r="L9" s="263" t="s">
        <v>203</v>
      </c>
      <c r="M9" s="268"/>
      <c r="N9" s="263" t="s">
        <v>182</v>
      </c>
      <c r="O9" s="268"/>
      <c r="P9" s="263" t="s">
        <v>231</v>
      </c>
      <c r="Q9" s="268"/>
      <c r="R9" s="263" t="s">
        <v>232</v>
      </c>
      <c r="S9" s="268"/>
      <c r="T9" s="300"/>
    </row>
    <row r="10" spans="1:20" ht="12" customHeight="1">
      <c r="A10" s="297"/>
      <c r="B10" s="271" t="s">
        <v>61</v>
      </c>
      <c r="C10" s="273"/>
      <c r="D10" s="271" t="s">
        <v>233</v>
      </c>
      <c r="E10" s="273"/>
      <c r="F10" s="271"/>
      <c r="G10" s="273"/>
      <c r="H10" s="271"/>
      <c r="I10" s="273"/>
      <c r="J10" s="271"/>
      <c r="K10" s="273"/>
      <c r="L10" s="271"/>
      <c r="M10" s="273"/>
      <c r="N10" s="271"/>
      <c r="O10" s="273"/>
      <c r="P10" s="271"/>
      <c r="Q10" s="273"/>
      <c r="R10" s="271"/>
      <c r="S10" s="273"/>
      <c r="T10" s="291"/>
    </row>
    <row r="11" spans="1:20">
      <c r="A11" s="264"/>
      <c r="B11" s="56" t="s">
        <v>100</v>
      </c>
      <c r="C11" s="45" t="s">
        <v>138</v>
      </c>
      <c r="D11" s="56" t="s">
        <v>100</v>
      </c>
      <c r="E11" s="45" t="s">
        <v>138</v>
      </c>
      <c r="F11" s="56" t="s">
        <v>100</v>
      </c>
      <c r="G11" s="45" t="s">
        <v>138</v>
      </c>
      <c r="H11" s="56" t="s">
        <v>100</v>
      </c>
      <c r="I11" s="45" t="s">
        <v>138</v>
      </c>
      <c r="J11" s="56" t="s">
        <v>100</v>
      </c>
      <c r="K11" s="45" t="s">
        <v>138</v>
      </c>
      <c r="L11" s="56" t="s">
        <v>100</v>
      </c>
      <c r="M11" s="45" t="s">
        <v>138</v>
      </c>
      <c r="N11" s="56" t="s">
        <v>100</v>
      </c>
      <c r="O11" s="45" t="s">
        <v>138</v>
      </c>
      <c r="P11" s="56" t="s">
        <v>100</v>
      </c>
      <c r="Q11" s="45" t="s">
        <v>138</v>
      </c>
      <c r="R11" s="56" t="s">
        <v>100</v>
      </c>
      <c r="S11" s="45" t="s">
        <v>138</v>
      </c>
      <c r="T11" s="57" t="s">
        <v>100</v>
      </c>
    </row>
    <row r="12" spans="1:20">
      <c r="A12" s="19">
        <v>1980</v>
      </c>
      <c r="B12" s="59">
        <v>164890</v>
      </c>
      <c r="C12" s="58">
        <v>68</v>
      </c>
      <c r="D12" s="59">
        <v>164890</v>
      </c>
      <c r="E12" s="58">
        <v>68</v>
      </c>
      <c r="F12" s="59">
        <v>36270</v>
      </c>
      <c r="G12" s="58">
        <v>15</v>
      </c>
      <c r="H12" s="59">
        <v>11370</v>
      </c>
      <c r="I12" s="58">
        <v>4.7</v>
      </c>
      <c r="J12" s="59">
        <v>3710</v>
      </c>
      <c r="K12" s="58">
        <v>1.5</v>
      </c>
      <c r="L12" s="59">
        <v>23910</v>
      </c>
      <c r="M12" s="58">
        <v>9.9</v>
      </c>
      <c r="N12" s="59">
        <v>2160</v>
      </c>
      <c r="O12" s="58">
        <v>0.9</v>
      </c>
      <c r="P12" s="59" t="s">
        <v>68</v>
      </c>
      <c r="Q12" s="58" t="s">
        <v>68</v>
      </c>
      <c r="R12" s="59" t="s">
        <v>68</v>
      </c>
      <c r="S12" s="58" t="s">
        <v>68</v>
      </c>
      <c r="T12" s="63">
        <v>242310</v>
      </c>
    </row>
    <row r="13" spans="1:20">
      <c r="A13" s="19">
        <v>1981</v>
      </c>
      <c r="B13" s="59">
        <v>152670</v>
      </c>
      <c r="C13" s="58">
        <v>66.5</v>
      </c>
      <c r="D13" s="59">
        <v>152670</v>
      </c>
      <c r="E13" s="58">
        <v>66.5</v>
      </c>
      <c r="F13" s="59">
        <v>36620</v>
      </c>
      <c r="G13" s="58">
        <v>16</v>
      </c>
      <c r="H13" s="59">
        <v>12210</v>
      </c>
      <c r="I13" s="58">
        <v>5.3</v>
      </c>
      <c r="J13" s="59">
        <v>3060</v>
      </c>
      <c r="K13" s="58">
        <v>1.3</v>
      </c>
      <c r="L13" s="59">
        <v>22670</v>
      </c>
      <c r="M13" s="58">
        <v>9.9</v>
      </c>
      <c r="N13" s="59">
        <v>2220</v>
      </c>
      <c r="O13" s="58">
        <v>1</v>
      </c>
      <c r="P13" s="59" t="s">
        <v>68</v>
      </c>
      <c r="Q13" s="58" t="s">
        <v>68</v>
      </c>
      <c r="R13" s="59" t="s">
        <v>68</v>
      </c>
      <c r="S13" s="58" t="s">
        <v>68</v>
      </c>
      <c r="T13" s="63">
        <v>229450</v>
      </c>
    </row>
    <row r="14" spans="1:20">
      <c r="A14" s="19">
        <v>1982</v>
      </c>
      <c r="B14" s="59">
        <v>145530</v>
      </c>
      <c r="C14" s="58">
        <v>65.5</v>
      </c>
      <c r="D14" s="59">
        <v>145530</v>
      </c>
      <c r="E14" s="58">
        <v>65.5</v>
      </c>
      <c r="F14" s="59">
        <v>35910</v>
      </c>
      <c r="G14" s="58">
        <v>16.2</v>
      </c>
      <c r="H14" s="59">
        <v>13520</v>
      </c>
      <c r="I14" s="58">
        <v>6.1</v>
      </c>
      <c r="J14" s="59">
        <v>3190</v>
      </c>
      <c r="K14" s="58">
        <v>1.4</v>
      </c>
      <c r="L14" s="59">
        <v>21710</v>
      </c>
      <c r="M14" s="58">
        <v>9.8000000000000007</v>
      </c>
      <c r="N14" s="59">
        <v>2390</v>
      </c>
      <c r="O14" s="58">
        <v>1.1000000000000001</v>
      </c>
      <c r="P14" s="59" t="s">
        <v>68</v>
      </c>
      <c r="Q14" s="58" t="s">
        <v>68</v>
      </c>
      <c r="R14" s="59" t="s">
        <v>68</v>
      </c>
      <c r="S14" s="58" t="s">
        <v>68</v>
      </c>
      <c r="T14" s="63">
        <v>222250</v>
      </c>
    </row>
    <row r="15" spans="1:20">
      <c r="A15" s="19">
        <v>1983</v>
      </c>
      <c r="B15" s="59">
        <v>151740</v>
      </c>
      <c r="C15" s="58">
        <v>65.3</v>
      </c>
      <c r="D15" s="59">
        <v>151740</v>
      </c>
      <c r="E15" s="58">
        <v>65.3</v>
      </c>
      <c r="F15" s="59">
        <v>37620</v>
      </c>
      <c r="G15" s="58">
        <v>16.2</v>
      </c>
      <c r="H15" s="59">
        <v>15710</v>
      </c>
      <c r="I15" s="58">
        <v>6.8</v>
      </c>
      <c r="J15" s="59">
        <v>2500</v>
      </c>
      <c r="K15" s="58">
        <v>1.1000000000000001</v>
      </c>
      <c r="L15" s="59">
        <v>21970</v>
      </c>
      <c r="M15" s="58">
        <v>9.5</v>
      </c>
      <c r="N15" s="59">
        <v>2930</v>
      </c>
      <c r="O15" s="58">
        <v>1.3</v>
      </c>
      <c r="P15" s="59" t="s">
        <v>68</v>
      </c>
      <c r="Q15" s="58" t="s">
        <v>68</v>
      </c>
      <c r="R15" s="59" t="s">
        <v>68</v>
      </c>
      <c r="S15" s="58" t="s">
        <v>68</v>
      </c>
      <c r="T15" s="63">
        <v>232470</v>
      </c>
    </row>
    <row r="16" spans="1:20">
      <c r="A16" s="19">
        <v>1984</v>
      </c>
      <c r="B16" s="59">
        <v>154910</v>
      </c>
      <c r="C16" s="58">
        <v>64</v>
      </c>
      <c r="D16" s="59">
        <v>154910</v>
      </c>
      <c r="E16" s="58">
        <v>64</v>
      </c>
      <c r="F16" s="59">
        <v>41020</v>
      </c>
      <c r="G16" s="58">
        <v>16.899999999999999</v>
      </c>
      <c r="H16" s="59">
        <v>17670</v>
      </c>
      <c r="I16" s="58">
        <v>7.3</v>
      </c>
      <c r="J16" s="59">
        <v>2180</v>
      </c>
      <c r="K16" s="58">
        <v>0.9</v>
      </c>
      <c r="L16" s="59">
        <v>22990</v>
      </c>
      <c r="M16" s="58">
        <v>9.5</v>
      </c>
      <c r="N16" s="59">
        <v>3260</v>
      </c>
      <c r="O16" s="58">
        <v>1.3</v>
      </c>
      <c r="P16" s="59" t="s">
        <v>68</v>
      </c>
      <c r="Q16" s="58" t="s">
        <v>68</v>
      </c>
      <c r="R16" s="59" t="s">
        <v>68</v>
      </c>
      <c r="S16" s="58" t="s">
        <v>68</v>
      </c>
      <c r="T16" s="63">
        <v>242030</v>
      </c>
    </row>
    <row r="17" spans="1:20">
      <c r="A17" s="19">
        <v>1985</v>
      </c>
      <c r="B17" s="59">
        <v>152720</v>
      </c>
      <c r="C17" s="58">
        <v>62.8</v>
      </c>
      <c r="D17" s="59">
        <v>152720</v>
      </c>
      <c r="E17" s="58">
        <v>62.8</v>
      </c>
      <c r="F17" s="59">
        <v>43060</v>
      </c>
      <c r="G17" s="58">
        <v>17.7</v>
      </c>
      <c r="H17" s="59">
        <v>18560</v>
      </c>
      <c r="I17" s="58">
        <v>7.6</v>
      </c>
      <c r="J17" s="59">
        <v>2150</v>
      </c>
      <c r="K17" s="58">
        <v>0.9</v>
      </c>
      <c r="L17" s="59">
        <v>23160</v>
      </c>
      <c r="M17" s="58">
        <v>9.5</v>
      </c>
      <c r="N17" s="59">
        <v>3350</v>
      </c>
      <c r="O17" s="58">
        <v>1.4</v>
      </c>
      <c r="P17" s="59" t="s">
        <v>68</v>
      </c>
      <c r="Q17" s="58" t="s">
        <v>68</v>
      </c>
      <c r="R17" s="59" t="s">
        <v>68</v>
      </c>
      <c r="S17" s="58" t="s">
        <v>68</v>
      </c>
      <c r="T17" s="63">
        <v>243000</v>
      </c>
    </row>
    <row r="18" spans="1:20">
      <c r="A18" s="19">
        <v>1986</v>
      </c>
      <c r="B18" s="59">
        <v>156570</v>
      </c>
      <c r="C18" s="58">
        <v>63.1</v>
      </c>
      <c r="D18" s="59">
        <v>156570</v>
      </c>
      <c r="E18" s="58">
        <v>63.1</v>
      </c>
      <c r="F18" s="59">
        <v>44310</v>
      </c>
      <c r="G18" s="58">
        <v>17.899999999999999</v>
      </c>
      <c r="H18" s="59">
        <v>19220</v>
      </c>
      <c r="I18" s="58">
        <v>7.7</v>
      </c>
      <c r="J18" s="59">
        <v>1890</v>
      </c>
      <c r="K18" s="58">
        <v>0.8</v>
      </c>
      <c r="L18" s="59">
        <v>22510</v>
      </c>
      <c r="M18" s="58">
        <v>9.1</v>
      </c>
      <c r="N18" s="59">
        <v>3630</v>
      </c>
      <c r="O18" s="58">
        <v>1.5</v>
      </c>
      <c r="P18" s="59" t="s">
        <v>68</v>
      </c>
      <c r="Q18" s="58" t="s">
        <v>68</v>
      </c>
      <c r="R18" s="59" t="s">
        <v>68</v>
      </c>
      <c r="S18" s="58" t="s">
        <v>68</v>
      </c>
      <c r="T18" s="63">
        <v>248130</v>
      </c>
    </row>
    <row r="19" spans="1:20">
      <c r="A19" s="19">
        <v>1987</v>
      </c>
      <c r="B19" s="59">
        <v>148260</v>
      </c>
      <c r="C19" s="58">
        <v>60.9</v>
      </c>
      <c r="D19" s="59">
        <v>148260</v>
      </c>
      <c r="E19" s="58">
        <v>60.9</v>
      </c>
      <c r="F19" s="59">
        <v>45680</v>
      </c>
      <c r="G19" s="58">
        <v>18.8</v>
      </c>
      <c r="H19" s="59">
        <v>21070</v>
      </c>
      <c r="I19" s="58">
        <v>8.6999999999999993</v>
      </c>
      <c r="J19" s="59">
        <v>1550</v>
      </c>
      <c r="K19" s="58">
        <v>0.6</v>
      </c>
      <c r="L19" s="59">
        <v>22560</v>
      </c>
      <c r="M19" s="58">
        <v>9.3000000000000007</v>
      </c>
      <c r="N19" s="59">
        <v>4310</v>
      </c>
      <c r="O19" s="58">
        <v>1.8</v>
      </c>
      <c r="P19" s="59" t="s">
        <v>68</v>
      </c>
      <c r="Q19" s="58" t="s">
        <v>68</v>
      </c>
      <c r="R19" s="59" t="s">
        <v>68</v>
      </c>
      <c r="S19" s="58" t="s">
        <v>68</v>
      </c>
      <c r="T19" s="63">
        <v>243430</v>
      </c>
    </row>
    <row r="20" spans="1:20">
      <c r="A20" s="19">
        <v>1988</v>
      </c>
      <c r="B20" s="59">
        <v>144530</v>
      </c>
      <c r="C20" s="58">
        <v>60.5</v>
      </c>
      <c r="D20" s="59">
        <v>144530</v>
      </c>
      <c r="E20" s="58">
        <v>60.5</v>
      </c>
      <c r="F20" s="59">
        <v>45600</v>
      </c>
      <c r="G20" s="58">
        <v>19.100000000000001</v>
      </c>
      <c r="H20" s="59">
        <v>22600</v>
      </c>
      <c r="I20" s="58">
        <v>9.5</v>
      </c>
      <c r="J20" s="59">
        <v>1120</v>
      </c>
      <c r="K20" s="58">
        <v>0.5</v>
      </c>
      <c r="L20" s="59">
        <v>21140</v>
      </c>
      <c r="M20" s="58">
        <v>8.8000000000000007</v>
      </c>
      <c r="N20" s="59">
        <v>4090</v>
      </c>
      <c r="O20" s="58">
        <v>1.7</v>
      </c>
      <c r="P20" s="59" t="s">
        <v>68</v>
      </c>
      <c r="Q20" s="58" t="s">
        <v>68</v>
      </c>
      <c r="R20" s="59" t="s">
        <v>68</v>
      </c>
      <c r="S20" s="58" t="s">
        <v>68</v>
      </c>
      <c r="T20" s="63">
        <v>239080</v>
      </c>
    </row>
    <row r="21" spans="1:20">
      <c r="A21" s="19">
        <v>1989</v>
      </c>
      <c r="B21" s="59">
        <v>136410</v>
      </c>
      <c r="C21" s="58">
        <v>58.5</v>
      </c>
      <c r="D21" s="59">
        <v>136410</v>
      </c>
      <c r="E21" s="58">
        <v>58.5</v>
      </c>
      <c r="F21" s="59">
        <v>46350</v>
      </c>
      <c r="G21" s="58">
        <v>19.899999999999999</v>
      </c>
      <c r="H21" s="59">
        <v>24160</v>
      </c>
      <c r="I21" s="58">
        <v>10.4</v>
      </c>
      <c r="J21" s="59">
        <v>970</v>
      </c>
      <c r="K21" s="58">
        <v>0.4</v>
      </c>
      <c r="L21" s="59">
        <v>20960</v>
      </c>
      <c r="M21" s="58">
        <v>9</v>
      </c>
      <c r="N21" s="59">
        <v>4160</v>
      </c>
      <c r="O21" s="58">
        <v>1.8</v>
      </c>
      <c r="P21" s="59" t="s">
        <v>68</v>
      </c>
      <c r="Q21" s="58" t="s">
        <v>68</v>
      </c>
      <c r="R21" s="59" t="s">
        <v>68</v>
      </c>
      <c r="S21" s="58" t="s">
        <v>68</v>
      </c>
      <c r="T21" s="63">
        <v>233010</v>
      </c>
    </row>
    <row r="22" spans="1:20">
      <c r="A22" s="19">
        <v>1990</v>
      </c>
      <c r="B22" s="59">
        <v>137140</v>
      </c>
      <c r="C22" s="58">
        <v>57.3</v>
      </c>
      <c r="D22" s="59">
        <v>137140</v>
      </c>
      <c r="E22" s="58">
        <v>57.3</v>
      </c>
      <c r="F22" s="59">
        <v>47570</v>
      </c>
      <c r="G22" s="58">
        <v>19.899999999999999</v>
      </c>
      <c r="H22" s="59">
        <v>26190</v>
      </c>
      <c r="I22" s="58">
        <v>10.9</v>
      </c>
      <c r="J22" s="59">
        <v>630</v>
      </c>
      <c r="K22" s="58">
        <v>0.3</v>
      </c>
      <c r="L22" s="59">
        <v>21030</v>
      </c>
      <c r="M22" s="58">
        <v>8.8000000000000007</v>
      </c>
      <c r="N22" s="59">
        <v>4440</v>
      </c>
      <c r="O22" s="58">
        <v>1.9</v>
      </c>
      <c r="P22" s="59" t="s">
        <v>68</v>
      </c>
      <c r="Q22" s="58" t="s">
        <v>68</v>
      </c>
      <c r="R22" s="59">
        <v>2370</v>
      </c>
      <c r="S22" s="58">
        <v>1</v>
      </c>
      <c r="T22" s="63">
        <v>239370</v>
      </c>
    </row>
    <row r="23" spans="1:20">
      <c r="A23" s="19">
        <v>1991</v>
      </c>
      <c r="B23" s="59">
        <v>143190</v>
      </c>
      <c r="C23" s="58">
        <v>56.3</v>
      </c>
      <c r="D23" s="59">
        <v>143190</v>
      </c>
      <c r="E23" s="58">
        <v>56.3</v>
      </c>
      <c r="F23" s="59">
        <v>49850</v>
      </c>
      <c r="G23" s="58">
        <v>19.600000000000001</v>
      </c>
      <c r="H23" s="59">
        <v>29900</v>
      </c>
      <c r="I23" s="58">
        <v>11.7</v>
      </c>
      <c r="J23" s="59">
        <v>750</v>
      </c>
      <c r="K23" s="58">
        <v>0.3</v>
      </c>
      <c r="L23" s="59">
        <v>22920</v>
      </c>
      <c r="M23" s="58">
        <v>9</v>
      </c>
      <c r="N23" s="59">
        <v>5150</v>
      </c>
      <c r="O23" s="58">
        <v>2</v>
      </c>
      <c r="P23" s="59" t="s">
        <v>68</v>
      </c>
      <c r="Q23" s="58" t="s">
        <v>68</v>
      </c>
      <c r="R23" s="59">
        <v>2750</v>
      </c>
      <c r="S23" s="58">
        <v>1.1000000000000001</v>
      </c>
      <c r="T23" s="63">
        <v>254510</v>
      </c>
    </row>
    <row r="24" spans="1:20">
      <c r="A24" s="19">
        <v>1992</v>
      </c>
      <c r="B24" s="59">
        <v>142420</v>
      </c>
      <c r="C24" s="58">
        <v>55.9</v>
      </c>
      <c r="D24" s="59">
        <v>142420</v>
      </c>
      <c r="E24" s="58">
        <v>55.9</v>
      </c>
      <c r="F24" s="59">
        <v>51000</v>
      </c>
      <c r="G24" s="58">
        <v>20</v>
      </c>
      <c r="H24" s="59">
        <v>31310</v>
      </c>
      <c r="I24" s="58">
        <v>12.3</v>
      </c>
      <c r="J24" s="59">
        <v>620</v>
      </c>
      <c r="K24" s="58">
        <v>0.2</v>
      </c>
      <c r="L24" s="59">
        <v>21760</v>
      </c>
      <c r="M24" s="58">
        <v>8.5</v>
      </c>
      <c r="N24" s="59">
        <v>5100</v>
      </c>
      <c r="O24" s="58">
        <v>2</v>
      </c>
      <c r="P24" s="59" t="s">
        <v>68</v>
      </c>
      <c r="Q24" s="58" t="s">
        <v>68</v>
      </c>
      <c r="R24" s="59">
        <v>2740</v>
      </c>
      <c r="S24" s="58">
        <v>1.1000000000000001</v>
      </c>
      <c r="T24" s="63">
        <v>254950</v>
      </c>
    </row>
    <row r="25" spans="1:20">
      <c r="A25" s="19">
        <v>1993</v>
      </c>
      <c r="B25" s="59">
        <v>133280</v>
      </c>
      <c r="C25" s="58">
        <v>54.3</v>
      </c>
      <c r="D25" s="59">
        <v>133280</v>
      </c>
      <c r="E25" s="58">
        <v>54.3</v>
      </c>
      <c r="F25" s="59">
        <v>51020</v>
      </c>
      <c r="G25" s="58">
        <v>20.8</v>
      </c>
      <c r="H25" s="59">
        <v>31670</v>
      </c>
      <c r="I25" s="58">
        <v>12.9</v>
      </c>
      <c r="J25" s="59">
        <v>530</v>
      </c>
      <c r="K25" s="58">
        <v>0.2</v>
      </c>
      <c r="L25" s="59">
        <v>21460</v>
      </c>
      <c r="M25" s="58">
        <v>8.6999999999999993</v>
      </c>
      <c r="N25" s="59">
        <v>4680</v>
      </c>
      <c r="O25" s="58">
        <v>1.9</v>
      </c>
      <c r="P25" s="59" t="s">
        <v>68</v>
      </c>
      <c r="Q25" s="58" t="s">
        <v>68</v>
      </c>
      <c r="R25" s="59">
        <v>2860</v>
      </c>
      <c r="S25" s="58">
        <v>1.2</v>
      </c>
      <c r="T25" s="63">
        <v>245500</v>
      </c>
    </row>
    <row r="26" spans="1:20">
      <c r="A26" s="19">
        <v>1994</v>
      </c>
      <c r="B26" s="59">
        <v>125680</v>
      </c>
      <c r="C26" s="58">
        <v>53.7</v>
      </c>
      <c r="D26" s="59">
        <v>125680</v>
      </c>
      <c r="E26" s="58">
        <v>53.7</v>
      </c>
      <c r="F26" s="59">
        <v>51090</v>
      </c>
      <c r="G26" s="58">
        <v>21.8</v>
      </c>
      <c r="H26" s="59">
        <v>30060</v>
      </c>
      <c r="I26" s="58">
        <v>12.8</v>
      </c>
      <c r="J26" s="59">
        <v>480</v>
      </c>
      <c r="K26" s="58">
        <v>0.2</v>
      </c>
      <c r="L26" s="59">
        <v>19510</v>
      </c>
      <c r="M26" s="58">
        <v>8.3000000000000007</v>
      </c>
      <c r="N26" s="59">
        <v>4510</v>
      </c>
      <c r="O26" s="58">
        <v>1.9</v>
      </c>
      <c r="P26" s="59" t="s">
        <v>68</v>
      </c>
      <c r="Q26" s="58" t="s">
        <v>68</v>
      </c>
      <c r="R26" s="59">
        <v>2820</v>
      </c>
      <c r="S26" s="58">
        <v>1.2</v>
      </c>
      <c r="T26" s="63">
        <v>234150</v>
      </c>
    </row>
    <row r="27" spans="1:20">
      <c r="A27" s="19">
        <v>1995</v>
      </c>
      <c r="B27" s="59">
        <v>133760</v>
      </c>
      <c r="C27" s="58">
        <v>53.5</v>
      </c>
      <c r="D27" s="59">
        <v>133760</v>
      </c>
      <c r="E27" s="58">
        <v>53.5</v>
      </c>
      <c r="F27" s="59">
        <v>52850</v>
      </c>
      <c r="G27" s="58">
        <v>21.1</v>
      </c>
      <c r="H27" s="59">
        <v>34470</v>
      </c>
      <c r="I27" s="58">
        <v>13.8</v>
      </c>
      <c r="J27" s="59">
        <v>460</v>
      </c>
      <c r="K27" s="58">
        <v>0.2</v>
      </c>
      <c r="L27" s="59">
        <v>20540</v>
      </c>
      <c r="M27" s="58">
        <v>8.1999999999999993</v>
      </c>
      <c r="N27" s="59">
        <v>4850</v>
      </c>
      <c r="O27" s="58">
        <v>1.9</v>
      </c>
      <c r="P27" s="59" t="s">
        <v>68</v>
      </c>
      <c r="Q27" s="58" t="s">
        <v>68</v>
      </c>
      <c r="R27" s="59">
        <v>3160</v>
      </c>
      <c r="S27" s="58">
        <v>1.3</v>
      </c>
      <c r="T27" s="63">
        <v>250090</v>
      </c>
    </row>
    <row r="28" spans="1:20">
      <c r="A28" s="19">
        <v>1996</v>
      </c>
      <c r="B28" s="59">
        <v>135840</v>
      </c>
      <c r="C28" s="58">
        <v>52.2</v>
      </c>
      <c r="D28" s="59">
        <v>135840</v>
      </c>
      <c r="E28" s="58">
        <v>52.2</v>
      </c>
      <c r="F28" s="59">
        <v>54980</v>
      </c>
      <c r="G28" s="58">
        <v>21.1</v>
      </c>
      <c r="H28" s="59">
        <v>38560</v>
      </c>
      <c r="I28" s="58">
        <v>14.8</v>
      </c>
      <c r="J28" s="59">
        <v>260</v>
      </c>
      <c r="K28" s="58">
        <v>0.1</v>
      </c>
      <c r="L28" s="59">
        <v>22130</v>
      </c>
      <c r="M28" s="58">
        <v>8.5</v>
      </c>
      <c r="N28" s="59">
        <v>5160</v>
      </c>
      <c r="O28" s="58">
        <v>2</v>
      </c>
      <c r="P28" s="59" t="s">
        <v>68</v>
      </c>
      <c r="Q28" s="58" t="s">
        <v>68</v>
      </c>
      <c r="R28" s="59">
        <v>3530</v>
      </c>
      <c r="S28" s="58">
        <v>1.4</v>
      </c>
      <c r="T28" s="63">
        <v>260460</v>
      </c>
    </row>
    <row r="29" spans="1:20">
      <c r="A29" s="19">
        <v>1997</v>
      </c>
      <c r="B29" s="59">
        <v>127800</v>
      </c>
      <c r="C29" s="58">
        <v>52.2</v>
      </c>
      <c r="D29" s="59">
        <v>127800</v>
      </c>
      <c r="E29" s="58">
        <v>52.2</v>
      </c>
      <c r="F29" s="59">
        <v>53490</v>
      </c>
      <c r="G29" s="58">
        <v>21.9</v>
      </c>
      <c r="H29" s="59">
        <v>34970</v>
      </c>
      <c r="I29" s="58">
        <v>14.3</v>
      </c>
      <c r="J29" s="59">
        <v>220</v>
      </c>
      <c r="K29" s="58">
        <v>0.1</v>
      </c>
      <c r="L29" s="59">
        <v>19410</v>
      </c>
      <c r="M29" s="58">
        <v>7.9</v>
      </c>
      <c r="N29" s="59">
        <v>5490</v>
      </c>
      <c r="O29" s="58">
        <v>2.2000000000000002</v>
      </c>
      <c r="P29" s="59" t="s">
        <v>68</v>
      </c>
      <c r="Q29" s="58" t="s">
        <v>68</v>
      </c>
      <c r="R29" s="59">
        <v>3420</v>
      </c>
      <c r="S29" s="58">
        <v>1.4</v>
      </c>
      <c r="T29" s="63">
        <v>244800</v>
      </c>
    </row>
    <row r="30" spans="1:20">
      <c r="A30" s="19">
        <v>1998</v>
      </c>
      <c r="B30" s="59">
        <v>132040</v>
      </c>
      <c r="C30" s="58">
        <v>52.4</v>
      </c>
      <c r="D30" s="59">
        <v>132040</v>
      </c>
      <c r="E30" s="58">
        <v>52.4</v>
      </c>
      <c r="F30" s="59">
        <v>54440</v>
      </c>
      <c r="G30" s="58">
        <v>21.6</v>
      </c>
      <c r="H30" s="59">
        <v>36460</v>
      </c>
      <c r="I30" s="58">
        <v>14.5</v>
      </c>
      <c r="J30" s="59">
        <v>140</v>
      </c>
      <c r="K30" s="58">
        <v>0.1</v>
      </c>
      <c r="L30" s="59">
        <v>19830</v>
      </c>
      <c r="M30" s="58">
        <v>7.9</v>
      </c>
      <c r="N30" s="59">
        <v>5600</v>
      </c>
      <c r="O30" s="58">
        <v>2.2000000000000002</v>
      </c>
      <c r="P30" s="59" t="s">
        <v>68</v>
      </c>
      <c r="Q30" s="58" t="s">
        <v>68</v>
      </c>
      <c r="R30" s="59">
        <v>3700</v>
      </c>
      <c r="S30" s="58">
        <v>1.5</v>
      </c>
      <c r="T30" s="63">
        <v>252210</v>
      </c>
    </row>
    <row r="31" spans="1:20">
      <c r="A31" s="19">
        <v>1999</v>
      </c>
      <c r="B31" s="59">
        <v>127330</v>
      </c>
      <c r="C31" s="58">
        <v>50.8</v>
      </c>
      <c r="D31" s="59">
        <v>127330</v>
      </c>
      <c r="E31" s="58">
        <v>50.8</v>
      </c>
      <c r="F31" s="59">
        <v>56010</v>
      </c>
      <c r="G31" s="58">
        <v>22.4</v>
      </c>
      <c r="H31" s="59">
        <v>38450</v>
      </c>
      <c r="I31" s="58">
        <v>15.4</v>
      </c>
      <c r="J31" s="59">
        <v>140</v>
      </c>
      <c r="K31" s="58">
        <v>0.1</v>
      </c>
      <c r="L31" s="59">
        <v>19540</v>
      </c>
      <c r="M31" s="58">
        <v>7.8</v>
      </c>
      <c r="N31" s="59">
        <v>5080</v>
      </c>
      <c r="O31" s="58">
        <v>2</v>
      </c>
      <c r="P31" s="59" t="s">
        <v>68</v>
      </c>
      <c r="Q31" s="58" t="s">
        <v>68</v>
      </c>
      <c r="R31" s="59">
        <v>3860</v>
      </c>
      <c r="S31" s="58">
        <v>1.5</v>
      </c>
      <c r="T31" s="63">
        <v>250410</v>
      </c>
    </row>
    <row r="32" spans="1:20">
      <c r="A32" s="19">
        <v>2000</v>
      </c>
      <c r="B32" s="59">
        <v>116480</v>
      </c>
      <c r="C32" s="58">
        <v>49.3</v>
      </c>
      <c r="D32" s="59">
        <v>116480</v>
      </c>
      <c r="E32" s="58">
        <v>49.3</v>
      </c>
      <c r="F32" s="59">
        <v>56620</v>
      </c>
      <c r="G32" s="58">
        <v>23.9</v>
      </c>
      <c r="H32" s="59">
        <v>36590</v>
      </c>
      <c r="I32" s="58">
        <v>15.5</v>
      </c>
      <c r="J32" s="59">
        <v>130</v>
      </c>
      <c r="K32" s="58">
        <v>0.1</v>
      </c>
      <c r="L32" s="59">
        <v>17990</v>
      </c>
      <c r="M32" s="58">
        <v>7.6</v>
      </c>
      <c r="N32" s="59">
        <v>4800</v>
      </c>
      <c r="O32" s="58">
        <v>2</v>
      </c>
      <c r="P32" s="59" t="s">
        <v>68</v>
      </c>
      <c r="Q32" s="58" t="s">
        <v>68</v>
      </c>
      <c r="R32" s="59">
        <v>3880</v>
      </c>
      <c r="S32" s="58">
        <v>1.6</v>
      </c>
      <c r="T32" s="63">
        <v>236490</v>
      </c>
    </row>
    <row r="33" spans="1:20">
      <c r="A33" s="19">
        <v>2001</v>
      </c>
      <c r="B33" s="59">
        <v>122850</v>
      </c>
      <c r="C33" s="58">
        <v>49.6</v>
      </c>
      <c r="D33" s="59">
        <v>122850</v>
      </c>
      <c r="E33" s="58">
        <v>49.6</v>
      </c>
      <c r="F33" s="59">
        <v>57890</v>
      </c>
      <c r="G33" s="58">
        <v>23.4</v>
      </c>
      <c r="H33" s="59">
        <v>38240</v>
      </c>
      <c r="I33" s="58">
        <v>15.5</v>
      </c>
      <c r="J33" s="59">
        <v>130</v>
      </c>
      <c r="K33" s="58">
        <v>0.1</v>
      </c>
      <c r="L33" s="59">
        <v>19000</v>
      </c>
      <c r="M33" s="58">
        <v>7.7</v>
      </c>
      <c r="N33" s="59">
        <v>5150</v>
      </c>
      <c r="O33" s="58">
        <v>2.1</v>
      </c>
      <c r="P33" s="59" t="s">
        <v>68</v>
      </c>
      <c r="Q33" s="58" t="s">
        <v>68</v>
      </c>
      <c r="R33" s="59">
        <v>4210</v>
      </c>
      <c r="S33" s="58">
        <v>1.7</v>
      </c>
      <c r="T33" s="63">
        <v>247470</v>
      </c>
    </row>
    <row r="34" spans="1:20">
      <c r="A34" s="19">
        <v>2002</v>
      </c>
      <c r="B34" s="59">
        <v>117820</v>
      </c>
      <c r="C34" s="58">
        <v>48.7</v>
      </c>
      <c r="D34" s="59">
        <v>117820</v>
      </c>
      <c r="E34" s="58">
        <v>48.7</v>
      </c>
      <c r="F34" s="59">
        <v>58650</v>
      </c>
      <c r="G34" s="58">
        <v>24.2</v>
      </c>
      <c r="H34" s="59">
        <v>37930</v>
      </c>
      <c r="I34" s="58">
        <v>15.7</v>
      </c>
      <c r="J34" s="59">
        <v>130</v>
      </c>
      <c r="K34" s="58">
        <v>0.1</v>
      </c>
      <c r="L34" s="59">
        <v>17980</v>
      </c>
      <c r="M34" s="58">
        <v>7.4</v>
      </c>
      <c r="N34" s="59">
        <v>5210</v>
      </c>
      <c r="O34" s="58">
        <v>2.2000000000000002</v>
      </c>
      <c r="P34" s="59" t="s">
        <v>68</v>
      </c>
      <c r="Q34" s="58" t="s">
        <v>68</v>
      </c>
      <c r="R34" s="59">
        <v>4340</v>
      </c>
      <c r="S34" s="58">
        <v>1.8</v>
      </c>
      <c r="T34" s="63">
        <v>242060</v>
      </c>
    </row>
    <row r="35" spans="1:20">
      <c r="A35" s="19">
        <v>2003</v>
      </c>
      <c r="B35" s="59">
        <v>124270</v>
      </c>
      <c r="C35" s="58">
        <v>49</v>
      </c>
      <c r="D35" s="59">
        <v>124270</v>
      </c>
      <c r="E35" s="58">
        <v>49</v>
      </c>
      <c r="F35" s="59">
        <v>60040</v>
      </c>
      <c r="G35" s="58">
        <v>23.7</v>
      </c>
      <c r="H35" s="59">
        <v>40470</v>
      </c>
      <c r="I35" s="58">
        <v>16</v>
      </c>
      <c r="J35" s="59">
        <v>130</v>
      </c>
      <c r="K35" s="58">
        <v>0.1</v>
      </c>
      <c r="L35" s="59">
        <v>19080</v>
      </c>
      <c r="M35" s="58">
        <v>7.5</v>
      </c>
      <c r="N35" s="59">
        <v>4980</v>
      </c>
      <c r="O35" s="58">
        <v>2</v>
      </c>
      <c r="P35" s="59" t="s">
        <v>68</v>
      </c>
      <c r="Q35" s="58" t="s">
        <v>68</v>
      </c>
      <c r="R35" s="59">
        <v>4740</v>
      </c>
      <c r="S35" s="58">
        <v>1.9</v>
      </c>
      <c r="T35" s="63">
        <v>253710</v>
      </c>
    </row>
    <row r="36" spans="1:20">
      <c r="A36" s="19">
        <v>2004</v>
      </c>
      <c r="B36" s="59">
        <v>123020</v>
      </c>
      <c r="C36" s="58">
        <v>48.1</v>
      </c>
      <c r="D36" s="59">
        <v>123020</v>
      </c>
      <c r="E36" s="58">
        <v>48.1</v>
      </c>
      <c r="F36" s="59">
        <v>61610</v>
      </c>
      <c r="G36" s="58">
        <v>24.1</v>
      </c>
      <c r="H36" s="59">
        <v>41790</v>
      </c>
      <c r="I36" s="58">
        <v>16.3</v>
      </c>
      <c r="J36" s="59">
        <v>400</v>
      </c>
      <c r="K36" s="58">
        <v>0.2</v>
      </c>
      <c r="L36" s="59">
        <v>18770</v>
      </c>
      <c r="M36" s="58">
        <v>7.3</v>
      </c>
      <c r="N36" s="59">
        <v>5150</v>
      </c>
      <c r="O36" s="58">
        <v>2</v>
      </c>
      <c r="P36" s="59" t="s">
        <v>68</v>
      </c>
      <c r="Q36" s="58" t="s">
        <v>68</v>
      </c>
      <c r="R36" s="59">
        <v>4980</v>
      </c>
      <c r="S36" s="58">
        <v>1.9</v>
      </c>
      <c r="T36" s="63">
        <v>255720</v>
      </c>
    </row>
    <row r="37" spans="1:20">
      <c r="A37" s="19">
        <v>2005</v>
      </c>
      <c r="B37" s="59">
        <v>124220</v>
      </c>
      <c r="C37" s="58">
        <v>47.5</v>
      </c>
      <c r="D37" s="59">
        <v>124220</v>
      </c>
      <c r="E37" s="58">
        <v>47.5</v>
      </c>
      <c r="F37" s="59">
        <v>63450</v>
      </c>
      <c r="G37" s="58">
        <v>24.3</v>
      </c>
      <c r="H37" s="59">
        <v>42920</v>
      </c>
      <c r="I37" s="58">
        <v>16.399999999999999</v>
      </c>
      <c r="J37" s="59">
        <v>400</v>
      </c>
      <c r="K37" s="58">
        <v>0.2</v>
      </c>
      <c r="L37" s="59">
        <v>19450</v>
      </c>
      <c r="M37" s="58">
        <v>7.4</v>
      </c>
      <c r="N37" s="59">
        <v>5410</v>
      </c>
      <c r="O37" s="58">
        <v>2.1</v>
      </c>
      <c r="P37" s="59" t="s">
        <v>68</v>
      </c>
      <c r="Q37" s="58" t="s">
        <v>68</v>
      </c>
      <c r="R37" s="59">
        <v>5500</v>
      </c>
      <c r="S37" s="58">
        <v>2.1</v>
      </c>
      <c r="T37" s="63">
        <v>261350</v>
      </c>
    </row>
    <row r="38" spans="1:20">
      <c r="A38" s="19">
        <v>2006</v>
      </c>
      <c r="B38" s="59">
        <v>119090</v>
      </c>
      <c r="C38" s="58">
        <v>46.7</v>
      </c>
      <c r="D38" s="59">
        <v>119090</v>
      </c>
      <c r="E38" s="58">
        <v>46.7</v>
      </c>
      <c r="F38" s="59">
        <v>63730</v>
      </c>
      <c r="G38" s="58">
        <v>25</v>
      </c>
      <c r="H38" s="59">
        <v>41200</v>
      </c>
      <c r="I38" s="58">
        <v>16.2</v>
      </c>
      <c r="J38" s="59">
        <v>400</v>
      </c>
      <c r="K38" s="58">
        <v>0.2</v>
      </c>
      <c r="L38" s="59">
        <v>19390</v>
      </c>
      <c r="M38" s="58">
        <v>7.6</v>
      </c>
      <c r="N38" s="59">
        <v>5500</v>
      </c>
      <c r="O38" s="58">
        <v>2.2000000000000002</v>
      </c>
      <c r="P38" s="59" t="s">
        <v>68</v>
      </c>
      <c r="Q38" s="58" t="s">
        <v>68</v>
      </c>
      <c r="R38" s="59">
        <v>5740</v>
      </c>
      <c r="S38" s="58">
        <v>2.2999999999999998</v>
      </c>
      <c r="T38" s="63">
        <v>255050</v>
      </c>
    </row>
    <row r="39" spans="1:20">
      <c r="A39" s="19">
        <v>2007</v>
      </c>
      <c r="B39" s="59">
        <v>102850</v>
      </c>
      <c r="C39" s="58">
        <v>43.9</v>
      </c>
      <c r="D39" s="59">
        <v>102850</v>
      </c>
      <c r="E39" s="58">
        <v>43.9</v>
      </c>
      <c r="F39" s="59">
        <v>62900</v>
      </c>
      <c r="G39" s="58">
        <v>26.8</v>
      </c>
      <c r="H39" s="59">
        <v>39430</v>
      </c>
      <c r="I39" s="58">
        <v>16.8</v>
      </c>
      <c r="J39" s="59">
        <v>400</v>
      </c>
      <c r="K39" s="58">
        <v>0.2</v>
      </c>
      <c r="L39" s="59">
        <v>17710</v>
      </c>
      <c r="M39" s="58">
        <v>7.6</v>
      </c>
      <c r="N39" s="59">
        <v>4950</v>
      </c>
      <c r="O39" s="58">
        <v>2.1</v>
      </c>
      <c r="P39" s="59" t="s">
        <v>68</v>
      </c>
      <c r="Q39" s="58" t="s">
        <v>68</v>
      </c>
      <c r="R39" s="59">
        <v>6220</v>
      </c>
      <c r="S39" s="58">
        <v>2.7</v>
      </c>
      <c r="T39" s="63">
        <v>234460</v>
      </c>
    </row>
    <row r="40" spans="1:20">
      <c r="A40" s="19">
        <v>2008</v>
      </c>
      <c r="B40" s="59">
        <v>108870</v>
      </c>
      <c r="C40" s="58">
        <v>43.7</v>
      </c>
      <c r="D40" s="59">
        <v>108870</v>
      </c>
      <c r="E40" s="58">
        <v>43.7</v>
      </c>
      <c r="F40" s="59">
        <v>64430</v>
      </c>
      <c r="G40" s="58">
        <v>25.9</v>
      </c>
      <c r="H40" s="59">
        <v>42660</v>
      </c>
      <c r="I40" s="58">
        <v>17.100000000000001</v>
      </c>
      <c r="J40" s="59">
        <v>400</v>
      </c>
      <c r="K40" s="58">
        <v>0.2</v>
      </c>
      <c r="L40" s="59">
        <v>19660</v>
      </c>
      <c r="M40" s="58">
        <v>7.9</v>
      </c>
      <c r="N40" s="59">
        <v>5600</v>
      </c>
      <c r="O40" s="58">
        <v>2.2000000000000002</v>
      </c>
      <c r="P40" s="59" t="s">
        <v>68</v>
      </c>
      <c r="Q40" s="58" t="s">
        <v>68</v>
      </c>
      <c r="R40" s="59">
        <v>7380</v>
      </c>
      <c r="S40" s="58">
        <v>3</v>
      </c>
      <c r="T40" s="63">
        <v>249000</v>
      </c>
    </row>
    <row r="41" spans="1:20">
      <c r="A41" s="19">
        <v>2009</v>
      </c>
      <c r="B41" s="59">
        <v>105470</v>
      </c>
      <c r="C41" s="58">
        <v>42.7</v>
      </c>
      <c r="D41" s="59">
        <v>105470</v>
      </c>
      <c r="E41" s="58">
        <v>42.7</v>
      </c>
      <c r="F41" s="59">
        <v>64510</v>
      </c>
      <c r="G41" s="58">
        <v>26.1</v>
      </c>
      <c r="H41" s="59">
        <v>42740</v>
      </c>
      <c r="I41" s="58">
        <v>17.3</v>
      </c>
      <c r="J41" s="59">
        <v>400</v>
      </c>
      <c r="K41" s="58">
        <v>0.2</v>
      </c>
      <c r="L41" s="59">
        <v>19860</v>
      </c>
      <c r="M41" s="58">
        <v>8</v>
      </c>
      <c r="N41" s="59">
        <v>5650</v>
      </c>
      <c r="O41" s="58">
        <v>2.2999999999999998</v>
      </c>
      <c r="P41" s="59" t="s">
        <v>68</v>
      </c>
      <c r="Q41" s="58" t="s">
        <v>68</v>
      </c>
      <c r="R41" s="59">
        <v>8190</v>
      </c>
      <c r="S41" s="58">
        <v>3.3</v>
      </c>
      <c r="T41" s="63">
        <v>246820</v>
      </c>
    </row>
    <row r="42" spans="1:20">
      <c r="A42" s="19">
        <v>2010</v>
      </c>
      <c r="B42" s="59">
        <v>111870</v>
      </c>
      <c r="C42" s="58">
        <v>42</v>
      </c>
      <c r="D42" s="59">
        <v>111870</v>
      </c>
      <c r="E42" s="58">
        <v>42</v>
      </c>
      <c r="F42" s="59">
        <v>67020</v>
      </c>
      <c r="G42" s="58">
        <v>25.2</v>
      </c>
      <c r="H42" s="59">
        <v>48500</v>
      </c>
      <c r="I42" s="58">
        <v>18.2</v>
      </c>
      <c r="J42" s="59">
        <v>400</v>
      </c>
      <c r="K42" s="58">
        <v>0.2</v>
      </c>
      <c r="L42" s="59">
        <v>21730</v>
      </c>
      <c r="M42" s="58">
        <v>8.1999999999999993</v>
      </c>
      <c r="N42" s="59">
        <v>6940</v>
      </c>
      <c r="O42" s="58">
        <v>2.6</v>
      </c>
      <c r="P42" s="59" t="s">
        <v>68</v>
      </c>
      <c r="Q42" s="58" t="s">
        <v>68</v>
      </c>
      <c r="R42" s="59">
        <v>9890</v>
      </c>
      <c r="S42" s="58">
        <v>3.7</v>
      </c>
      <c r="T42" s="63">
        <v>266350</v>
      </c>
    </row>
    <row r="43" spans="1:20">
      <c r="A43" s="19">
        <v>2011</v>
      </c>
      <c r="B43" s="59">
        <v>87110</v>
      </c>
      <c r="C43" s="58">
        <v>38.4</v>
      </c>
      <c r="D43" s="59">
        <v>87110</v>
      </c>
      <c r="E43" s="58">
        <v>38.4</v>
      </c>
      <c r="F43" s="59">
        <v>64580</v>
      </c>
      <c r="G43" s="58">
        <v>28.5</v>
      </c>
      <c r="H43" s="59">
        <v>41170</v>
      </c>
      <c r="I43" s="58">
        <v>18.2</v>
      </c>
      <c r="J43" s="59">
        <v>300</v>
      </c>
      <c r="K43" s="58">
        <v>0.1</v>
      </c>
      <c r="L43" s="59">
        <v>17950</v>
      </c>
      <c r="M43" s="58">
        <v>7.9</v>
      </c>
      <c r="N43" s="59">
        <v>5900</v>
      </c>
      <c r="O43" s="58">
        <v>2.6</v>
      </c>
      <c r="P43" s="59" t="s">
        <v>68</v>
      </c>
      <c r="Q43" s="58" t="s">
        <v>68</v>
      </c>
      <c r="R43" s="59">
        <v>9720</v>
      </c>
      <c r="S43" s="58">
        <v>4.3</v>
      </c>
      <c r="T43" s="63">
        <v>226730</v>
      </c>
    </row>
    <row r="44" spans="1:20">
      <c r="A44" s="19">
        <v>2012</v>
      </c>
      <c r="B44" s="59">
        <v>94230</v>
      </c>
      <c r="C44" s="58">
        <v>38.4</v>
      </c>
      <c r="D44" s="59">
        <v>94230</v>
      </c>
      <c r="E44" s="58">
        <v>38.4</v>
      </c>
      <c r="F44" s="59">
        <v>65980</v>
      </c>
      <c r="G44" s="58">
        <v>26.9</v>
      </c>
      <c r="H44" s="59">
        <v>47310</v>
      </c>
      <c r="I44" s="58">
        <v>19.3</v>
      </c>
      <c r="J44" s="59">
        <v>300</v>
      </c>
      <c r="K44" s="58">
        <v>0.1</v>
      </c>
      <c r="L44" s="59">
        <v>19740</v>
      </c>
      <c r="M44" s="58">
        <v>8.1</v>
      </c>
      <c r="N44" s="59">
        <v>6340</v>
      </c>
      <c r="O44" s="58">
        <v>2.6</v>
      </c>
      <c r="P44" s="59" t="s">
        <v>68</v>
      </c>
      <c r="Q44" s="58" t="s">
        <v>68</v>
      </c>
      <c r="R44" s="59">
        <v>11310</v>
      </c>
      <c r="S44" s="58">
        <v>4.5999999999999996</v>
      </c>
      <c r="T44" s="63">
        <v>245210</v>
      </c>
    </row>
    <row r="45" spans="1:20">
      <c r="A45" s="19">
        <v>2013</v>
      </c>
      <c r="B45" s="59">
        <v>99510</v>
      </c>
      <c r="C45" s="58">
        <v>38.200000000000003</v>
      </c>
      <c r="D45" s="59">
        <v>99510</v>
      </c>
      <c r="E45" s="58">
        <v>38.200000000000003</v>
      </c>
      <c r="F45" s="59">
        <v>67540</v>
      </c>
      <c r="G45" s="58">
        <v>26</v>
      </c>
      <c r="H45" s="59">
        <v>51230</v>
      </c>
      <c r="I45" s="58">
        <v>19.7</v>
      </c>
      <c r="J45" s="59">
        <v>300</v>
      </c>
      <c r="K45" s="58">
        <v>0.1</v>
      </c>
      <c r="L45" s="59">
        <v>21910</v>
      </c>
      <c r="M45" s="58">
        <v>8.4</v>
      </c>
      <c r="N45" s="59">
        <v>7150</v>
      </c>
      <c r="O45" s="58">
        <v>2.7</v>
      </c>
      <c r="P45" s="59" t="s">
        <v>68</v>
      </c>
      <c r="Q45" s="58" t="s">
        <v>68</v>
      </c>
      <c r="R45" s="59">
        <v>12620</v>
      </c>
      <c r="S45" s="58">
        <v>4.8</v>
      </c>
      <c r="T45" s="63">
        <v>260260</v>
      </c>
    </row>
    <row r="46" spans="1:20">
      <c r="A46" s="19">
        <v>2014</v>
      </c>
      <c r="B46" s="59">
        <v>75230</v>
      </c>
      <c r="C46" s="58">
        <v>34.200000000000003</v>
      </c>
      <c r="D46" s="59">
        <v>75230</v>
      </c>
      <c r="E46" s="58">
        <v>34.200000000000003</v>
      </c>
      <c r="F46" s="59">
        <v>65790</v>
      </c>
      <c r="G46" s="58">
        <v>29.9</v>
      </c>
      <c r="H46" s="59">
        <v>42620</v>
      </c>
      <c r="I46" s="58">
        <v>19.399999999999999</v>
      </c>
      <c r="J46" s="59">
        <v>200</v>
      </c>
      <c r="K46" s="58">
        <v>0.1</v>
      </c>
      <c r="L46" s="59">
        <v>17450</v>
      </c>
      <c r="M46" s="58">
        <v>7.9</v>
      </c>
      <c r="N46" s="59">
        <v>6480</v>
      </c>
      <c r="O46" s="58">
        <v>2.9</v>
      </c>
      <c r="P46" s="59" t="s">
        <v>68</v>
      </c>
      <c r="Q46" s="58" t="s">
        <v>68</v>
      </c>
      <c r="R46" s="59">
        <v>11950</v>
      </c>
      <c r="S46" s="58">
        <v>5.4</v>
      </c>
      <c r="T46" s="63">
        <v>219720</v>
      </c>
    </row>
    <row r="47" spans="1:20">
      <c r="A47" s="19">
        <v>2015</v>
      </c>
      <c r="B47" s="59">
        <v>79520</v>
      </c>
      <c r="C47" s="58">
        <v>34</v>
      </c>
      <c r="D47" s="59">
        <v>79520</v>
      </c>
      <c r="E47" s="58">
        <v>34</v>
      </c>
      <c r="F47" s="59">
        <v>67480</v>
      </c>
      <c r="G47" s="58">
        <v>28.9</v>
      </c>
      <c r="H47" s="59">
        <v>46360</v>
      </c>
      <c r="I47" s="58">
        <v>19.899999999999999</v>
      </c>
      <c r="J47" s="59">
        <v>200</v>
      </c>
      <c r="K47" s="58">
        <v>0.1</v>
      </c>
      <c r="L47" s="59">
        <v>18950</v>
      </c>
      <c r="M47" s="58">
        <v>8.1</v>
      </c>
      <c r="N47" s="59">
        <v>7530</v>
      </c>
      <c r="O47" s="58">
        <v>3.2</v>
      </c>
      <c r="P47" s="59" t="s">
        <v>68</v>
      </c>
      <c r="Q47" s="58" t="s">
        <v>68</v>
      </c>
      <c r="R47" s="59">
        <v>13500</v>
      </c>
      <c r="S47" s="58">
        <v>5.8</v>
      </c>
      <c r="T47" s="63">
        <v>233540</v>
      </c>
    </row>
    <row r="48" spans="1:20">
      <c r="A48" s="19">
        <v>2016</v>
      </c>
      <c r="B48" s="59">
        <v>81430</v>
      </c>
      <c r="C48" s="58">
        <v>33.6</v>
      </c>
      <c r="D48" s="59">
        <v>81430</v>
      </c>
      <c r="E48" s="58">
        <v>33.6</v>
      </c>
      <c r="F48" s="59">
        <v>68580</v>
      </c>
      <c r="G48" s="58">
        <v>28.3</v>
      </c>
      <c r="H48" s="59">
        <v>49090</v>
      </c>
      <c r="I48" s="58">
        <v>20.3</v>
      </c>
      <c r="J48" s="59">
        <v>200</v>
      </c>
      <c r="K48" s="58">
        <v>0.1</v>
      </c>
      <c r="L48" s="59">
        <v>20420</v>
      </c>
      <c r="M48" s="58">
        <v>8.4</v>
      </c>
      <c r="N48" s="59">
        <v>7460</v>
      </c>
      <c r="O48" s="58">
        <v>3.1</v>
      </c>
      <c r="P48" s="59" t="s">
        <v>68</v>
      </c>
      <c r="Q48" s="58" t="s">
        <v>68</v>
      </c>
      <c r="R48" s="59">
        <v>14820</v>
      </c>
      <c r="S48" s="58">
        <v>6.1</v>
      </c>
      <c r="T48" s="63">
        <v>242000</v>
      </c>
    </row>
    <row r="49" spans="1:20">
      <c r="A49" s="19">
        <v>2017</v>
      </c>
      <c r="B49" s="59">
        <v>76210</v>
      </c>
      <c r="C49" s="58">
        <v>32.1</v>
      </c>
      <c r="D49" s="59">
        <v>76210</v>
      </c>
      <c r="E49" s="58">
        <v>32.1</v>
      </c>
      <c r="F49" s="59">
        <v>69080</v>
      </c>
      <c r="G49" s="58">
        <v>29.1</v>
      </c>
      <c r="H49" s="59">
        <v>48590</v>
      </c>
      <c r="I49" s="58">
        <v>20.5</v>
      </c>
      <c r="J49" s="59">
        <v>100</v>
      </c>
      <c r="K49" s="58">
        <v>0</v>
      </c>
      <c r="L49" s="59">
        <v>20140</v>
      </c>
      <c r="M49" s="58">
        <v>8.5</v>
      </c>
      <c r="N49" s="59">
        <v>7730</v>
      </c>
      <c r="O49" s="58">
        <v>3.3</v>
      </c>
      <c r="P49" s="59" t="s">
        <v>68</v>
      </c>
      <c r="Q49" s="58" t="s">
        <v>68</v>
      </c>
      <c r="R49" s="59">
        <v>15460</v>
      </c>
      <c r="S49" s="58">
        <v>6.5</v>
      </c>
      <c r="T49" s="63">
        <v>237310</v>
      </c>
    </row>
    <row r="50" spans="1:20">
      <c r="A50" s="19">
        <v>2018</v>
      </c>
      <c r="B50" s="59">
        <v>67980</v>
      </c>
      <c r="C50" s="58">
        <v>30.3</v>
      </c>
      <c r="D50" s="59">
        <v>67980</v>
      </c>
      <c r="E50" s="58">
        <v>30.3</v>
      </c>
      <c r="F50" s="59">
        <v>68530</v>
      </c>
      <c r="G50" s="58">
        <v>30.5</v>
      </c>
      <c r="H50" s="59">
        <v>46180</v>
      </c>
      <c r="I50" s="58">
        <v>20.6</v>
      </c>
      <c r="J50" s="59">
        <v>100</v>
      </c>
      <c r="K50" s="58">
        <v>0</v>
      </c>
      <c r="L50" s="59">
        <v>18990</v>
      </c>
      <c r="M50" s="58">
        <v>8.5</v>
      </c>
      <c r="N50" s="59">
        <v>7520</v>
      </c>
      <c r="O50" s="58">
        <v>3.3</v>
      </c>
      <c r="P50" s="59" t="s">
        <v>68</v>
      </c>
      <c r="Q50" s="58" t="s">
        <v>68</v>
      </c>
      <c r="R50" s="59">
        <v>15280</v>
      </c>
      <c r="S50" s="58">
        <v>6.8</v>
      </c>
      <c r="T50" s="63">
        <v>224580</v>
      </c>
    </row>
    <row r="51" spans="1:20">
      <c r="A51" s="19">
        <v>2019</v>
      </c>
      <c r="B51" s="59">
        <v>66740</v>
      </c>
      <c r="C51" s="58">
        <v>29.3</v>
      </c>
      <c r="D51" s="59">
        <v>66740</v>
      </c>
      <c r="E51" s="58">
        <v>29.3</v>
      </c>
      <c r="F51" s="59">
        <v>68490</v>
      </c>
      <c r="G51" s="58">
        <v>30.1</v>
      </c>
      <c r="H51" s="59">
        <v>47840</v>
      </c>
      <c r="I51" s="58">
        <v>21</v>
      </c>
      <c r="J51" s="59">
        <v>100</v>
      </c>
      <c r="K51" s="58">
        <v>0</v>
      </c>
      <c r="L51" s="59">
        <v>19050</v>
      </c>
      <c r="M51" s="58">
        <v>8.4</v>
      </c>
      <c r="N51" s="59">
        <v>8570</v>
      </c>
      <c r="O51" s="58">
        <v>3.8</v>
      </c>
      <c r="P51" s="59" t="s">
        <v>68</v>
      </c>
      <c r="Q51" s="58" t="s">
        <v>68</v>
      </c>
      <c r="R51" s="59">
        <v>16650</v>
      </c>
      <c r="S51" s="58">
        <v>7.3</v>
      </c>
      <c r="T51" s="63">
        <v>227440</v>
      </c>
    </row>
    <row r="52" spans="1:20">
      <c r="A52" s="19">
        <v>2020</v>
      </c>
      <c r="B52" s="59">
        <v>59470</v>
      </c>
      <c r="C52" s="58">
        <v>27</v>
      </c>
      <c r="D52" s="59">
        <v>59470</v>
      </c>
      <c r="E52" s="58">
        <v>27</v>
      </c>
      <c r="F52" s="59">
        <v>69670</v>
      </c>
      <c r="G52" s="58">
        <v>31.7</v>
      </c>
      <c r="H52" s="59">
        <v>47110</v>
      </c>
      <c r="I52" s="58">
        <v>21.4</v>
      </c>
      <c r="J52" s="59">
        <v>100</v>
      </c>
      <c r="K52" s="58">
        <v>0</v>
      </c>
      <c r="L52" s="59">
        <v>17910</v>
      </c>
      <c r="M52" s="58">
        <v>8.1</v>
      </c>
      <c r="N52" s="59">
        <v>8640</v>
      </c>
      <c r="O52" s="58">
        <v>3.9</v>
      </c>
      <c r="P52" s="59" t="s">
        <v>68</v>
      </c>
      <c r="Q52" s="58" t="s">
        <v>68</v>
      </c>
      <c r="R52" s="59">
        <v>17200</v>
      </c>
      <c r="S52" s="58">
        <v>7.8</v>
      </c>
      <c r="T52" s="63">
        <v>220100</v>
      </c>
    </row>
    <row r="53" spans="1:20">
      <c r="A53" s="19">
        <v>2021</v>
      </c>
      <c r="B53" s="59">
        <v>66130</v>
      </c>
      <c r="C53" s="58">
        <v>27.3</v>
      </c>
      <c r="D53" s="59">
        <v>66130</v>
      </c>
      <c r="E53" s="58">
        <v>27.3</v>
      </c>
      <c r="F53" s="59">
        <v>73410</v>
      </c>
      <c r="G53" s="58">
        <v>30.3</v>
      </c>
      <c r="H53" s="59">
        <v>53030</v>
      </c>
      <c r="I53" s="58">
        <v>21.9</v>
      </c>
      <c r="J53" s="59">
        <v>100</v>
      </c>
      <c r="K53" s="58">
        <v>0</v>
      </c>
      <c r="L53" s="59">
        <v>20550</v>
      </c>
      <c r="M53" s="58">
        <v>8.5</v>
      </c>
      <c r="N53" s="59">
        <v>9600</v>
      </c>
      <c r="O53" s="58">
        <v>4</v>
      </c>
      <c r="P53" s="59" t="s">
        <v>68</v>
      </c>
      <c r="Q53" s="58" t="s">
        <v>68</v>
      </c>
      <c r="R53" s="59">
        <v>19850</v>
      </c>
      <c r="S53" s="58">
        <v>8.1999999999999993</v>
      </c>
      <c r="T53" s="63">
        <v>242670</v>
      </c>
    </row>
    <row r="54" spans="1:20">
      <c r="A54" s="19">
        <v>2022</v>
      </c>
      <c r="B54" s="59">
        <v>51320</v>
      </c>
      <c r="C54" s="58">
        <v>24.1</v>
      </c>
      <c r="D54" s="59">
        <v>51320</v>
      </c>
      <c r="E54" s="58">
        <v>24.1</v>
      </c>
      <c r="F54" s="59">
        <v>70690</v>
      </c>
      <c r="G54" s="58">
        <v>33.200000000000003</v>
      </c>
      <c r="H54" s="59">
        <v>45300</v>
      </c>
      <c r="I54" s="58">
        <v>21.3</v>
      </c>
      <c r="J54" s="59">
        <v>50</v>
      </c>
      <c r="K54" s="58">
        <v>0</v>
      </c>
      <c r="L54" s="59">
        <v>17910</v>
      </c>
      <c r="M54" s="58">
        <v>8.4</v>
      </c>
      <c r="N54" s="59">
        <v>8520</v>
      </c>
      <c r="O54" s="58">
        <v>4</v>
      </c>
      <c r="P54" s="59" t="s">
        <v>68</v>
      </c>
      <c r="Q54" s="58" t="s">
        <v>68</v>
      </c>
      <c r="R54" s="59">
        <v>19020</v>
      </c>
      <c r="S54" s="58">
        <v>8.9</v>
      </c>
      <c r="T54" s="63">
        <v>212810</v>
      </c>
    </row>
    <row r="55" spans="1:20">
      <c r="A55" s="19">
        <v>2023</v>
      </c>
      <c r="B55" s="59">
        <v>49880</v>
      </c>
      <c r="C55" s="58">
        <v>23.6</v>
      </c>
      <c r="D55" s="59">
        <v>49880</v>
      </c>
      <c r="E55" s="58">
        <v>23.6</v>
      </c>
      <c r="F55" s="59">
        <v>69930</v>
      </c>
      <c r="G55" s="58">
        <v>33.1</v>
      </c>
      <c r="H55" s="59">
        <v>42830</v>
      </c>
      <c r="I55" s="58">
        <v>20.3</v>
      </c>
      <c r="J55" s="59">
        <v>50</v>
      </c>
      <c r="K55" s="58">
        <v>0</v>
      </c>
      <c r="L55" s="59">
        <v>18610</v>
      </c>
      <c r="M55" s="58">
        <v>8.8000000000000007</v>
      </c>
      <c r="N55" s="59">
        <v>9240</v>
      </c>
      <c r="O55" s="58">
        <v>4.4000000000000004</v>
      </c>
      <c r="P55" s="59" t="s">
        <v>68</v>
      </c>
      <c r="Q55" s="58" t="s">
        <v>68</v>
      </c>
      <c r="R55" s="59">
        <v>20630</v>
      </c>
      <c r="S55" s="58">
        <v>9.8000000000000007</v>
      </c>
      <c r="T55" s="63">
        <v>211170</v>
      </c>
    </row>
    <row r="56" spans="1:20" s="30" customFormat="1" ht="13">
      <c r="A56" s="25">
        <v>2024</v>
      </c>
      <c r="B56" s="69">
        <v>47830</v>
      </c>
      <c r="C56" s="70">
        <v>22.5</v>
      </c>
      <c r="D56" s="69">
        <v>47830</v>
      </c>
      <c r="E56" s="70">
        <v>22.5</v>
      </c>
      <c r="F56" s="69">
        <v>71340</v>
      </c>
      <c r="G56" s="70">
        <v>33.5</v>
      </c>
      <c r="H56" s="69">
        <v>42660</v>
      </c>
      <c r="I56" s="70">
        <v>20.100000000000001</v>
      </c>
      <c r="J56" s="69">
        <v>40</v>
      </c>
      <c r="K56" s="70">
        <v>0</v>
      </c>
      <c r="L56" s="69">
        <v>18950</v>
      </c>
      <c r="M56" s="70">
        <v>8.9</v>
      </c>
      <c r="N56" s="69">
        <v>10060</v>
      </c>
      <c r="O56" s="70">
        <v>4.7</v>
      </c>
      <c r="P56" s="69" t="s">
        <v>68</v>
      </c>
      <c r="Q56" s="70" t="s">
        <v>68</v>
      </c>
      <c r="R56" s="69">
        <v>21840</v>
      </c>
      <c r="S56" s="70">
        <v>10.3</v>
      </c>
      <c r="T56" s="71">
        <v>212720</v>
      </c>
    </row>
    <row r="57" spans="1:20" ht="13">
      <c r="A57" s="31"/>
      <c r="B57" s="32"/>
      <c r="C57" s="76"/>
      <c r="D57" s="32"/>
      <c r="E57" s="76"/>
      <c r="F57" s="32"/>
      <c r="G57" s="76"/>
      <c r="H57" s="32"/>
      <c r="I57" s="76"/>
      <c r="J57" s="32"/>
      <c r="K57" s="76"/>
      <c r="L57" s="32"/>
      <c r="M57" s="76"/>
      <c r="N57" s="32"/>
      <c r="O57" s="76"/>
      <c r="P57" s="32"/>
      <c r="Q57" s="76"/>
      <c r="R57" s="32"/>
      <c r="S57" s="76"/>
      <c r="T57" s="32"/>
    </row>
    <row r="58" spans="1:20" ht="12.75" customHeight="1">
      <c r="A58" s="77" t="s">
        <v>234</v>
      </c>
      <c r="B58" s="78"/>
      <c r="C58" s="78"/>
      <c r="D58" s="78"/>
      <c r="E58" s="78"/>
      <c r="F58" s="78"/>
      <c r="G58" s="78"/>
      <c r="L58" s="77" t="s">
        <v>70</v>
      </c>
      <c r="M58" s="78"/>
      <c r="N58" s="78"/>
      <c r="O58" s="78"/>
      <c r="P58" s="78"/>
    </row>
    <row r="59" spans="1:20" ht="12.75" customHeight="1">
      <c r="A59" s="77" t="s">
        <v>235</v>
      </c>
      <c r="B59" s="78"/>
      <c r="C59" s="78"/>
      <c r="D59" s="78"/>
      <c r="E59" s="78"/>
      <c r="F59" s="78"/>
      <c r="G59" s="78"/>
      <c r="L59" s="77" t="s">
        <v>236</v>
      </c>
      <c r="M59" s="78"/>
      <c r="N59" s="78"/>
      <c r="O59" s="78"/>
      <c r="P59" s="78"/>
    </row>
    <row r="63" spans="1:20">
      <c r="A63" s="35" t="s">
        <v>75</v>
      </c>
    </row>
    <row r="64" spans="1:20">
      <c r="A64" s="35" t="s">
        <v>76</v>
      </c>
    </row>
    <row r="65" spans="1:1">
      <c r="A65" s="35" t="s">
        <v>77</v>
      </c>
    </row>
  </sheetData>
  <mergeCells count="22">
    <mergeCell ref="A9:A11"/>
    <mergeCell ref="B9:E9"/>
    <mergeCell ref="F9:G10"/>
    <mergeCell ref="H9:I10"/>
    <mergeCell ref="J9:K10"/>
    <mergeCell ref="D10:E10"/>
    <mergeCell ref="P7:Q8"/>
    <mergeCell ref="R7:S8"/>
    <mergeCell ref="T7:T10"/>
    <mergeCell ref="B8:C8"/>
    <mergeCell ref="D8:E8"/>
    <mergeCell ref="B7:E7"/>
    <mergeCell ref="F7:G8"/>
    <mergeCell ref="H7:I8"/>
    <mergeCell ref="J7:K8"/>
    <mergeCell ref="L7:M8"/>
    <mergeCell ref="N7:O8"/>
    <mergeCell ref="L9:M10"/>
    <mergeCell ref="N9:O10"/>
    <mergeCell ref="P9:Q10"/>
    <mergeCell ref="R9:S10"/>
    <mergeCell ref="B10:C10"/>
  </mergeCells>
  <conditionalFormatting sqref="B12:T57">
    <cfRule type="expression" dxfId="17" priority="1">
      <formula>Z12&lt;&gt;0</formula>
    </cfRule>
  </conditionalFormatting>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8CBC4-F8F2-4E32-BE2A-F1714E6223FA}">
  <sheetPr codeName="Tabelle22"/>
  <dimension ref="A1:AR68"/>
  <sheetViews>
    <sheetView workbookViewId="0">
      <selection activeCell="A12" sqref="A12:T56"/>
    </sheetView>
  </sheetViews>
  <sheetFormatPr defaultColWidth="11.54296875" defaultRowHeight="12.5"/>
  <cols>
    <col min="1" max="1" width="8.7265625" style="4" customWidth="1"/>
    <col min="2" max="2" width="10.7265625" style="4" customWidth="1"/>
    <col min="3" max="3" width="7.7265625" style="4" customWidth="1"/>
    <col min="4" max="4" width="10.7265625" style="4" customWidth="1"/>
    <col min="5" max="5" width="7.7265625" style="4" customWidth="1"/>
    <col min="6" max="6" width="10.7265625" style="4" customWidth="1"/>
    <col min="7" max="7" width="7.7265625" style="4" customWidth="1"/>
    <col min="8" max="8" width="10.7265625" style="4" customWidth="1"/>
    <col min="9" max="9" width="7.7265625" style="4" customWidth="1"/>
    <col min="10" max="10" width="10.7265625" style="4" customWidth="1"/>
    <col min="11" max="11" width="7.7265625" style="4" customWidth="1"/>
    <col min="12" max="12" width="10.7265625" style="4" customWidth="1"/>
    <col min="13" max="13" width="7.7265625" style="4" customWidth="1"/>
    <col min="14" max="14" width="10.7265625" style="4" customWidth="1"/>
    <col min="15" max="15" width="7.7265625" style="4" customWidth="1"/>
    <col min="16" max="16" width="10.7265625" style="4" customWidth="1"/>
    <col min="17" max="17" width="7.7265625" style="4" customWidth="1"/>
    <col min="18" max="18" width="10.7265625" style="4" customWidth="1"/>
    <col min="19" max="19" width="7.7265625" style="4" customWidth="1"/>
    <col min="20" max="20" width="10.7265625" style="4" customWidth="1"/>
    <col min="21" max="16384" width="11.54296875" style="4"/>
  </cols>
  <sheetData>
    <row r="1" spans="1:20" ht="13">
      <c r="A1" s="3" t="s">
        <v>221</v>
      </c>
    </row>
    <row r="2" spans="1:20" ht="13">
      <c r="A2" s="3" t="s">
        <v>222</v>
      </c>
    </row>
    <row r="4" spans="1:20" ht="13">
      <c r="A4" s="3" t="s">
        <v>237</v>
      </c>
      <c r="T4" s="5" t="s">
        <v>238</v>
      </c>
    </row>
    <row r="5" spans="1:20" ht="13">
      <c r="A5" s="3" t="s">
        <v>239</v>
      </c>
      <c r="T5" s="5" t="s">
        <v>240</v>
      </c>
    </row>
    <row r="7" spans="1:20" ht="12" customHeight="1">
      <c r="A7" s="270" t="s">
        <v>55</v>
      </c>
      <c r="B7" s="270" t="s">
        <v>241</v>
      </c>
      <c r="C7" s="314"/>
      <c r="D7" s="314"/>
      <c r="E7" s="272"/>
      <c r="F7" s="270" t="s">
        <v>117</v>
      </c>
      <c r="G7" s="272"/>
      <c r="H7" s="270" t="s">
        <v>59</v>
      </c>
      <c r="I7" s="272"/>
      <c r="J7" s="270" t="s">
        <v>83</v>
      </c>
      <c r="K7" s="272"/>
      <c r="L7" s="270" t="s">
        <v>242</v>
      </c>
      <c r="M7" s="272"/>
      <c r="N7" s="270" t="s">
        <v>243</v>
      </c>
      <c r="O7" s="272"/>
      <c r="P7" s="270" t="s">
        <v>227</v>
      </c>
      <c r="Q7" s="272"/>
      <c r="R7" s="270" t="s">
        <v>244</v>
      </c>
      <c r="S7" s="272"/>
      <c r="T7" s="290" t="s">
        <v>229</v>
      </c>
    </row>
    <row r="8" spans="1:20" ht="12" customHeight="1">
      <c r="A8" s="271"/>
      <c r="B8" s="271" t="s">
        <v>61</v>
      </c>
      <c r="C8" s="273"/>
      <c r="D8" s="271" t="s">
        <v>230</v>
      </c>
      <c r="E8" s="273"/>
      <c r="F8" s="271"/>
      <c r="G8" s="273"/>
      <c r="H8" s="271"/>
      <c r="I8" s="273"/>
      <c r="J8" s="271"/>
      <c r="K8" s="273"/>
      <c r="L8" s="271"/>
      <c r="M8" s="273"/>
      <c r="N8" s="271"/>
      <c r="O8" s="273"/>
      <c r="P8" s="271"/>
      <c r="Q8" s="273"/>
      <c r="R8" s="271"/>
      <c r="S8" s="273"/>
      <c r="T8" s="300"/>
    </row>
    <row r="9" spans="1:20" ht="12" customHeight="1">
      <c r="A9" s="263" t="s">
        <v>62</v>
      </c>
      <c r="B9" s="263" t="s">
        <v>245</v>
      </c>
      <c r="C9" s="313"/>
      <c r="D9" s="313"/>
      <c r="E9" s="268"/>
      <c r="F9" s="263" t="s">
        <v>120</v>
      </c>
      <c r="G9" s="268"/>
      <c r="H9" s="263" t="s">
        <v>66</v>
      </c>
      <c r="I9" s="268"/>
      <c r="J9" s="263" t="s">
        <v>92</v>
      </c>
      <c r="K9" s="268"/>
      <c r="L9" s="263" t="s">
        <v>246</v>
      </c>
      <c r="M9" s="268"/>
      <c r="N9" s="263" t="s">
        <v>247</v>
      </c>
      <c r="O9" s="268"/>
      <c r="P9" s="263" t="s">
        <v>248</v>
      </c>
      <c r="Q9" s="268"/>
      <c r="R9" s="263" t="s">
        <v>249</v>
      </c>
      <c r="S9" s="268"/>
      <c r="T9" s="300"/>
    </row>
    <row r="10" spans="1:20" ht="12" customHeight="1">
      <c r="A10" s="297"/>
      <c r="B10" s="271" t="s">
        <v>61</v>
      </c>
      <c r="C10" s="273"/>
      <c r="D10" s="271" t="s">
        <v>233</v>
      </c>
      <c r="E10" s="273"/>
      <c r="F10" s="271"/>
      <c r="G10" s="273"/>
      <c r="H10" s="271"/>
      <c r="I10" s="273"/>
      <c r="J10" s="271"/>
      <c r="K10" s="273"/>
      <c r="L10" s="271"/>
      <c r="M10" s="273"/>
      <c r="N10" s="271"/>
      <c r="O10" s="273"/>
      <c r="P10" s="271"/>
      <c r="Q10" s="273"/>
      <c r="R10" s="271"/>
      <c r="S10" s="273"/>
      <c r="T10" s="291"/>
    </row>
    <row r="11" spans="1:20">
      <c r="A11" s="264"/>
      <c r="B11" s="56" t="s">
        <v>100</v>
      </c>
      <c r="C11" s="45" t="s">
        <v>138</v>
      </c>
      <c r="D11" s="56" t="s">
        <v>100</v>
      </c>
      <c r="E11" s="45" t="s">
        <v>138</v>
      </c>
      <c r="F11" s="56" t="s">
        <v>100</v>
      </c>
      <c r="G11" s="45" t="s">
        <v>138</v>
      </c>
      <c r="H11" s="56" t="s">
        <v>100</v>
      </c>
      <c r="I11" s="45" t="s">
        <v>138</v>
      </c>
      <c r="J11" s="56" t="s">
        <v>100</v>
      </c>
      <c r="K11" s="45" t="s">
        <v>138</v>
      </c>
      <c r="L11" s="56" t="s">
        <v>100</v>
      </c>
      <c r="M11" s="45" t="s">
        <v>138</v>
      </c>
      <c r="N11" s="56" t="s">
        <v>100</v>
      </c>
      <c r="O11" s="45" t="s">
        <v>138</v>
      </c>
      <c r="P11" s="56" t="s">
        <v>100</v>
      </c>
      <c r="Q11" s="45" t="s">
        <v>138</v>
      </c>
      <c r="R11" s="56" t="s">
        <v>100</v>
      </c>
      <c r="S11" s="45" t="s">
        <v>138</v>
      </c>
      <c r="T11" s="57" t="s">
        <v>100</v>
      </c>
    </row>
    <row r="12" spans="1:20">
      <c r="A12" s="19">
        <v>1980</v>
      </c>
      <c r="B12" s="59">
        <v>67020</v>
      </c>
      <c r="C12" s="58">
        <v>46.5</v>
      </c>
      <c r="D12" s="59">
        <v>17070</v>
      </c>
      <c r="E12" s="58">
        <v>11.8</v>
      </c>
      <c r="F12" s="59">
        <v>48670</v>
      </c>
      <c r="G12" s="58">
        <v>33.799999999999997</v>
      </c>
      <c r="H12" s="59">
        <v>12380</v>
      </c>
      <c r="I12" s="58">
        <v>8.6</v>
      </c>
      <c r="J12" s="59">
        <v>9880</v>
      </c>
      <c r="K12" s="58">
        <v>6.9</v>
      </c>
      <c r="L12" s="59">
        <v>1410</v>
      </c>
      <c r="M12" s="58">
        <v>1</v>
      </c>
      <c r="N12" s="59">
        <v>1140</v>
      </c>
      <c r="O12" s="58">
        <v>0.8</v>
      </c>
      <c r="P12" s="59">
        <v>3700</v>
      </c>
      <c r="Q12" s="58">
        <v>2.6</v>
      </c>
      <c r="R12" s="59" t="s">
        <v>68</v>
      </c>
      <c r="S12" s="58" t="s">
        <v>68</v>
      </c>
      <c r="T12" s="63">
        <v>144200</v>
      </c>
    </row>
    <row r="13" spans="1:20">
      <c r="A13" s="19">
        <v>1981</v>
      </c>
      <c r="B13" s="59">
        <v>54490</v>
      </c>
      <c r="C13" s="58">
        <v>38.4</v>
      </c>
      <c r="D13" s="59">
        <v>15310</v>
      </c>
      <c r="E13" s="58">
        <v>10.8</v>
      </c>
      <c r="F13" s="59">
        <v>49370</v>
      </c>
      <c r="G13" s="58">
        <v>34.799999999999997</v>
      </c>
      <c r="H13" s="59">
        <v>13260</v>
      </c>
      <c r="I13" s="58">
        <v>9.4</v>
      </c>
      <c r="J13" s="59">
        <v>17020</v>
      </c>
      <c r="K13" s="58">
        <v>12</v>
      </c>
      <c r="L13" s="59">
        <v>1760</v>
      </c>
      <c r="M13" s="58">
        <v>1.2</v>
      </c>
      <c r="N13" s="59">
        <v>1240</v>
      </c>
      <c r="O13" s="58">
        <v>0.9</v>
      </c>
      <c r="P13" s="59">
        <v>4600</v>
      </c>
      <c r="Q13" s="58">
        <v>3.2</v>
      </c>
      <c r="R13" s="59" t="s">
        <v>68</v>
      </c>
      <c r="S13" s="58" t="s">
        <v>68</v>
      </c>
      <c r="T13" s="63">
        <v>141740</v>
      </c>
    </row>
    <row r="14" spans="1:20">
      <c r="A14" s="19">
        <v>1982</v>
      </c>
      <c r="B14" s="59">
        <v>49650</v>
      </c>
      <c r="C14" s="58">
        <v>36.6</v>
      </c>
      <c r="D14" s="59">
        <v>14500</v>
      </c>
      <c r="E14" s="58">
        <v>10.7</v>
      </c>
      <c r="F14" s="59">
        <v>49430</v>
      </c>
      <c r="G14" s="58">
        <v>36.4</v>
      </c>
      <c r="H14" s="59">
        <v>13520</v>
      </c>
      <c r="I14" s="58">
        <v>10</v>
      </c>
      <c r="J14" s="59">
        <v>14560</v>
      </c>
      <c r="K14" s="58">
        <v>10.7</v>
      </c>
      <c r="L14" s="59">
        <v>2110</v>
      </c>
      <c r="M14" s="58">
        <v>1.6</v>
      </c>
      <c r="N14" s="59">
        <v>1590</v>
      </c>
      <c r="O14" s="58">
        <v>1.2</v>
      </c>
      <c r="P14" s="59">
        <v>4880</v>
      </c>
      <c r="Q14" s="58">
        <v>3.6</v>
      </c>
      <c r="R14" s="59" t="s">
        <v>68</v>
      </c>
      <c r="S14" s="58" t="s">
        <v>68</v>
      </c>
      <c r="T14" s="63">
        <v>135740</v>
      </c>
    </row>
    <row r="15" spans="1:20">
      <c r="A15" s="19">
        <v>1983</v>
      </c>
      <c r="B15" s="59">
        <v>46710</v>
      </c>
      <c r="C15" s="58">
        <v>35.299999999999997</v>
      </c>
      <c r="D15" s="59">
        <v>13690</v>
      </c>
      <c r="E15" s="58">
        <v>10.4</v>
      </c>
      <c r="F15" s="59">
        <v>49940</v>
      </c>
      <c r="G15" s="58">
        <v>37.799999999999997</v>
      </c>
      <c r="H15" s="59">
        <v>13750</v>
      </c>
      <c r="I15" s="58">
        <v>10.4</v>
      </c>
      <c r="J15" s="59">
        <v>12760</v>
      </c>
      <c r="K15" s="58">
        <v>9.6999999999999993</v>
      </c>
      <c r="L15" s="59">
        <v>2250</v>
      </c>
      <c r="M15" s="58">
        <v>1.7</v>
      </c>
      <c r="N15" s="59">
        <v>1590</v>
      </c>
      <c r="O15" s="58">
        <v>1.2</v>
      </c>
      <c r="P15" s="59">
        <v>5160</v>
      </c>
      <c r="Q15" s="58">
        <v>3.9</v>
      </c>
      <c r="R15" s="59" t="s">
        <v>68</v>
      </c>
      <c r="S15" s="58" t="s">
        <v>68</v>
      </c>
      <c r="T15" s="63">
        <v>132160</v>
      </c>
    </row>
    <row r="16" spans="1:20">
      <c r="A16" s="19">
        <v>1984</v>
      </c>
      <c r="B16" s="59">
        <v>40420</v>
      </c>
      <c r="C16" s="58">
        <v>29.5</v>
      </c>
      <c r="D16" s="59">
        <v>13220</v>
      </c>
      <c r="E16" s="58">
        <v>9.6999999999999993</v>
      </c>
      <c r="F16" s="59">
        <v>52340</v>
      </c>
      <c r="G16" s="58">
        <v>38.200000000000003</v>
      </c>
      <c r="H16" s="59">
        <v>16210</v>
      </c>
      <c r="I16" s="58">
        <v>11.8</v>
      </c>
      <c r="J16" s="59">
        <v>17550</v>
      </c>
      <c r="K16" s="58">
        <v>12.8</v>
      </c>
      <c r="L16" s="59">
        <v>2460</v>
      </c>
      <c r="M16" s="58">
        <v>1.8</v>
      </c>
      <c r="N16" s="59">
        <v>1680</v>
      </c>
      <c r="O16" s="58">
        <v>1.2</v>
      </c>
      <c r="P16" s="59">
        <v>6280</v>
      </c>
      <c r="Q16" s="58">
        <v>4.5999999999999996</v>
      </c>
      <c r="R16" s="59" t="s">
        <v>68</v>
      </c>
      <c r="S16" s="58" t="s">
        <v>68</v>
      </c>
      <c r="T16" s="63">
        <v>136940</v>
      </c>
    </row>
    <row r="17" spans="1:20">
      <c r="A17" s="19">
        <v>1985</v>
      </c>
      <c r="B17" s="59">
        <v>39170</v>
      </c>
      <c r="C17" s="58">
        <v>27.8</v>
      </c>
      <c r="D17" s="59">
        <v>13980</v>
      </c>
      <c r="E17" s="58">
        <v>9.9</v>
      </c>
      <c r="F17" s="59">
        <v>56320</v>
      </c>
      <c r="G17" s="58">
        <v>40</v>
      </c>
      <c r="H17" s="59">
        <v>16960</v>
      </c>
      <c r="I17" s="58">
        <v>12</v>
      </c>
      <c r="J17" s="59">
        <v>17590</v>
      </c>
      <c r="K17" s="58">
        <v>12.5</v>
      </c>
      <c r="L17" s="59">
        <v>2720</v>
      </c>
      <c r="M17" s="58">
        <v>1.9</v>
      </c>
      <c r="N17" s="59">
        <v>1630</v>
      </c>
      <c r="O17" s="58">
        <v>1.2</v>
      </c>
      <c r="P17" s="59">
        <v>6400</v>
      </c>
      <c r="Q17" s="58">
        <v>4.5</v>
      </c>
      <c r="R17" s="59" t="s">
        <v>68</v>
      </c>
      <c r="S17" s="58" t="s">
        <v>68</v>
      </c>
      <c r="T17" s="63">
        <v>140790</v>
      </c>
    </row>
    <row r="18" spans="1:20">
      <c r="A18" s="19">
        <v>1986</v>
      </c>
      <c r="B18" s="59">
        <v>43440</v>
      </c>
      <c r="C18" s="58">
        <v>30.2</v>
      </c>
      <c r="D18" s="59">
        <v>14170</v>
      </c>
      <c r="E18" s="58">
        <v>9.8000000000000007</v>
      </c>
      <c r="F18" s="59">
        <v>57170</v>
      </c>
      <c r="G18" s="58">
        <v>39.700000000000003</v>
      </c>
      <c r="H18" s="59">
        <v>17080</v>
      </c>
      <c r="I18" s="58">
        <v>11.9</v>
      </c>
      <c r="J18" s="59">
        <v>15260</v>
      </c>
      <c r="K18" s="58">
        <v>10.6</v>
      </c>
      <c r="L18" s="59">
        <v>2640</v>
      </c>
      <c r="M18" s="58">
        <v>1.8</v>
      </c>
      <c r="N18" s="59">
        <v>1940</v>
      </c>
      <c r="O18" s="58">
        <v>1.3</v>
      </c>
      <c r="P18" s="59">
        <v>6530</v>
      </c>
      <c r="Q18" s="58">
        <v>4.5</v>
      </c>
      <c r="R18" s="59" t="s">
        <v>68</v>
      </c>
      <c r="S18" s="58" t="s">
        <v>68</v>
      </c>
      <c r="T18" s="63">
        <v>144060</v>
      </c>
    </row>
    <row r="19" spans="1:20">
      <c r="A19" s="19">
        <v>1987</v>
      </c>
      <c r="B19" s="59">
        <v>48310</v>
      </c>
      <c r="C19" s="58">
        <v>32.4</v>
      </c>
      <c r="D19" s="59">
        <v>15960</v>
      </c>
      <c r="E19" s="58">
        <v>10.7</v>
      </c>
      <c r="F19" s="59">
        <v>57740</v>
      </c>
      <c r="G19" s="58">
        <v>38.700000000000003</v>
      </c>
      <c r="H19" s="59">
        <v>16710</v>
      </c>
      <c r="I19" s="58">
        <v>11.2</v>
      </c>
      <c r="J19" s="59">
        <v>14830</v>
      </c>
      <c r="K19" s="58">
        <v>10</v>
      </c>
      <c r="L19" s="59">
        <v>2670</v>
      </c>
      <c r="M19" s="58">
        <v>1.8</v>
      </c>
      <c r="N19" s="59">
        <v>2220</v>
      </c>
      <c r="O19" s="58">
        <v>1.5</v>
      </c>
      <c r="P19" s="59">
        <v>6560</v>
      </c>
      <c r="Q19" s="58">
        <v>4.4000000000000004</v>
      </c>
      <c r="R19" s="59" t="s">
        <v>68</v>
      </c>
      <c r="S19" s="58" t="s">
        <v>68</v>
      </c>
      <c r="T19" s="63">
        <v>149040</v>
      </c>
    </row>
    <row r="20" spans="1:20">
      <c r="A20" s="19">
        <v>1988</v>
      </c>
      <c r="B20" s="59">
        <v>53000</v>
      </c>
      <c r="C20" s="58">
        <v>34.5</v>
      </c>
      <c r="D20" s="59">
        <v>17900</v>
      </c>
      <c r="E20" s="58">
        <v>11.7</v>
      </c>
      <c r="F20" s="59">
        <v>59810</v>
      </c>
      <c r="G20" s="58">
        <v>39</v>
      </c>
      <c r="H20" s="59">
        <v>16450</v>
      </c>
      <c r="I20" s="58">
        <v>10.7</v>
      </c>
      <c r="J20" s="59">
        <v>12870</v>
      </c>
      <c r="K20" s="58">
        <v>8.4</v>
      </c>
      <c r="L20" s="59">
        <v>2710</v>
      </c>
      <c r="M20" s="58">
        <v>1.8</v>
      </c>
      <c r="N20" s="59">
        <v>2110</v>
      </c>
      <c r="O20" s="58">
        <v>1.4</v>
      </c>
      <c r="P20" s="59">
        <v>6590</v>
      </c>
      <c r="Q20" s="58">
        <v>4.3</v>
      </c>
      <c r="R20" s="59" t="s">
        <v>68</v>
      </c>
      <c r="S20" s="58" t="s">
        <v>68</v>
      </c>
      <c r="T20" s="63">
        <v>153540</v>
      </c>
    </row>
    <row r="21" spans="1:20">
      <c r="A21" s="19">
        <v>1989</v>
      </c>
      <c r="B21" s="59">
        <v>51710</v>
      </c>
      <c r="C21" s="58">
        <v>33.200000000000003</v>
      </c>
      <c r="D21" s="59">
        <v>21130</v>
      </c>
      <c r="E21" s="58">
        <v>13.5</v>
      </c>
      <c r="F21" s="59">
        <v>61380</v>
      </c>
      <c r="G21" s="58">
        <v>39.4</v>
      </c>
      <c r="H21" s="59">
        <v>18390</v>
      </c>
      <c r="I21" s="58">
        <v>11.8</v>
      </c>
      <c r="J21" s="59">
        <v>13000</v>
      </c>
      <c r="K21" s="58">
        <v>8.3000000000000007</v>
      </c>
      <c r="L21" s="59">
        <v>2740</v>
      </c>
      <c r="M21" s="58">
        <v>1.8</v>
      </c>
      <c r="N21" s="59">
        <v>2110</v>
      </c>
      <c r="O21" s="58">
        <v>1.4</v>
      </c>
      <c r="P21" s="59">
        <v>6640</v>
      </c>
      <c r="Q21" s="58">
        <v>4.3</v>
      </c>
      <c r="R21" s="59" t="s">
        <v>68</v>
      </c>
      <c r="S21" s="58" t="s">
        <v>68</v>
      </c>
      <c r="T21" s="63">
        <v>155970</v>
      </c>
    </row>
    <row r="22" spans="1:20">
      <c r="A22" s="19">
        <v>1990</v>
      </c>
      <c r="B22" s="59">
        <v>46450</v>
      </c>
      <c r="C22" s="58">
        <v>29.5</v>
      </c>
      <c r="D22" s="59">
        <v>23160</v>
      </c>
      <c r="E22" s="58">
        <v>14.7</v>
      </c>
      <c r="F22" s="59">
        <v>62050</v>
      </c>
      <c r="G22" s="58">
        <v>39.5</v>
      </c>
      <c r="H22" s="59">
        <v>19610</v>
      </c>
      <c r="I22" s="58">
        <v>12.5</v>
      </c>
      <c r="J22" s="59">
        <v>13700</v>
      </c>
      <c r="K22" s="58">
        <v>8.6999999999999993</v>
      </c>
      <c r="L22" s="59">
        <v>4550</v>
      </c>
      <c r="M22" s="58">
        <v>2.9</v>
      </c>
      <c r="N22" s="59">
        <v>1980</v>
      </c>
      <c r="O22" s="58">
        <v>1.3</v>
      </c>
      <c r="P22" s="59">
        <v>8680</v>
      </c>
      <c r="Q22" s="58">
        <v>5.5</v>
      </c>
      <c r="R22" s="59">
        <v>250</v>
      </c>
      <c r="S22" s="58">
        <v>0.2</v>
      </c>
      <c r="T22" s="63">
        <v>157270</v>
      </c>
    </row>
    <row r="23" spans="1:20">
      <c r="A23" s="19">
        <v>1991</v>
      </c>
      <c r="B23" s="59">
        <v>50300</v>
      </c>
      <c r="C23" s="58">
        <v>30.5</v>
      </c>
      <c r="D23" s="59">
        <v>28360</v>
      </c>
      <c r="E23" s="58">
        <v>17.2</v>
      </c>
      <c r="F23" s="59">
        <v>62120</v>
      </c>
      <c r="G23" s="58">
        <v>37.700000000000003</v>
      </c>
      <c r="H23" s="59">
        <v>22270</v>
      </c>
      <c r="I23" s="58">
        <v>13.5</v>
      </c>
      <c r="J23" s="59">
        <v>11760</v>
      </c>
      <c r="K23" s="58">
        <v>7.1</v>
      </c>
      <c r="L23" s="59">
        <v>5020</v>
      </c>
      <c r="M23" s="58">
        <v>3</v>
      </c>
      <c r="N23" s="59">
        <v>2300</v>
      </c>
      <c r="O23" s="58">
        <v>1.4</v>
      </c>
      <c r="P23" s="59">
        <v>10740</v>
      </c>
      <c r="Q23" s="58">
        <v>6.5</v>
      </c>
      <c r="R23" s="59">
        <v>270</v>
      </c>
      <c r="S23" s="58">
        <v>0.2</v>
      </c>
      <c r="T23" s="63">
        <v>164780</v>
      </c>
    </row>
    <row r="24" spans="1:20">
      <c r="A24" s="19">
        <v>1992</v>
      </c>
      <c r="B24" s="59">
        <v>47750</v>
      </c>
      <c r="C24" s="58">
        <v>30.1</v>
      </c>
      <c r="D24" s="59">
        <v>27420</v>
      </c>
      <c r="E24" s="58">
        <v>17.3</v>
      </c>
      <c r="F24" s="59">
        <v>60730</v>
      </c>
      <c r="G24" s="58">
        <v>38.299999999999997</v>
      </c>
      <c r="H24" s="59">
        <v>23690</v>
      </c>
      <c r="I24" s="58">
        <v>14.9</v>
      </c>
      <c r="J24" s="59">
        <v>8020</v>
      </c>
      <c r="K24" s="58">
        <v>5.0999999999999996</v>
      </c>
      <c r="L24" s="59">
        <v>5140</v>
      </c>
      <c r="M24" s="58">
        <v>3.2</v>
      </c>
      <c r="N24" s="59">
        <v>2280</v>
      </c>
      <c r="O24" s="58">
        <v>1.4</v>
      </c>
      <c r="P24" s="59">
        <v>10720</v>
      </c>
      <c r="Q24" s="58">
        <v>6.8</v>
      </c>
      <c r="R24" s="59">
        <v>310</v>
      </c>
      <c r="S24" s="58">
        <v>0.2</v>
      </c>
      <c r="T24" s="63">
        <v>158640</v>
      </c>
    </row>
    <row r="25" spans="1:20">
      <c r="A25" s="19">
        <v>1993</v>
      </c>
      <c r="B25" s="59">
        <v>44440</v>
      </c>
      <c r="C25" s="58">
        <v>28.5</v>
      </c>
      <c r="D25" s="59">
        <v>25880</v>
      </c>
      <c r="E25" s="58">
        <v>16.600000000000001</v>
      </c>
      <c r="F25" s="59">
        <v>58320</v>
      </c>
      <c r="G25" s="58">
        <v>37.4</v>
      </c>
      <c r="H25" s="59">
        <v>26260</v>
      </c>
      <c r="I25" s="58">
        <v>16.899999999999999</v>
      </c>
      <c r="J25" s="59">
        <v>6730</v>
      </c>
      <c r="K25" s="58">
        <v>4.3</v>
      </c>
      <c r="L25" s="59">
        <v>5380</v>
      </c>
      <c r="M25" s="58">
        <v>3.5</v>
      </c>
      <c r="N25" s="59">
        <v>2410</v>
      </c>
      <c r="O25" s="58">
        <v>1.5</v>
      </c>
      <c r="P25" s="59">
        <v>11960</v>
      </c>
      <c r="Q25" s="58">
        <v>7.7</v>
      </c>
      <c r="R25" s="59">
        <v>330</v>
      </c>
      <c r="S25" s="58">
        <v>0.2</v>
      </c>
      <c r="T25" s="63">
        <v>155830</v>
      </c>
    </row>
    <row r="26" spans="1:20">
      <c r="A26" s="19">
        <v>1994</v>
      </c>
      <c r="B26" s="59">
        <v>43090</v>
      </c>
      <c r="C26" s="58">
        <v>28.3</v>
      </c>
      <c r="D26" s="59">
        <v>23590</v>
      </c>
      <c r="E26" s="58">
        <v>15.5</v>
      </c>
      <c r="F26" s="59">
        <v>57230</v>
      </c>
      <c r="G26" s="58">
        <v>37.5</v>
      </c>
      <c r="H26" s="59">
        <v>26820</v>
      </c>
      <c r="I26" s="58">
        <v>17.600000000000001</v>
      </c>
      <c r="J26" s="59">
        <v>6850</v>
      </c>
      <c r="K26" s="58">
        <v>4.5</v>
      </c>
      <c r="L26" s="59">
        <v>5370</v>
      </c>
      <c r="M26" s="58">
        <v>3.5</v>
      </c>
      <c r="N26" s="59">
        <v>2700</v>
      </c>
      <c r="O26" s="58">
        <v>1.8</v>
      </c>
      <c r="P26" s="59">
        <v>10110</v>
      </c>
      <c r="Q26" s="58">
        <v>6.6</v>
      </c>
      <c r="R26" s="59">
        <v>330</v>
      </c>
      <c r="S26" s="58">
        <v>0.2</v>
      </c>
      <c r="T26" s="63">
        <v>152500</v>
      </c>
    </row>
    <row r="27" spans="1:20">
      <c r="A27" s="19">
        <v>1995</v>
      </c>
      <c r="B27" s="59">
        <v>42760</v>
      </c>
      <c r="C27" s="58">
        <v>27.4</v>
      </c>
      <c r="D27" s="59">
        <v>24680</v>
      </c>
      <c r="E27" s="58">
        <v>15.8</v>
      </c>
      <c r="F27" s="59">
        <v>57930</v>
      </c>
      <c r="G27" s="58">
        <v>37.1</v>
      </c>
      <c r="H27" s="59">
        <v>28700</v>
      </c>
      <c r="I27" s="58">
        <v>18.399999999999999</v>
      </c>
      <c r="J27" s="59">
        <v>7440</v>
      </c>
      <c r="K27" s="58">
        <v>4.8</v>
      </c>
      <c r="L27" s="59">
        <v>5720</v>
      </c>
      <c r="M27" s="58">
        <v>3.7</v>
      </c>
      <c r="N27" s="59">
        <v>2820</v>
      </c>
      <c r="O27" s="58">
        <v>1.8</v>
      </c>
      <c r="P27" s="59">
        <v>10440</v>
      </c>
      <c r="Q27" s="58">
        <v>6.7</v>
      </c>
      <c r="R27" s="59">
        <v>360</v>
      </c>
      <c r="S27" s="58">
        <v>0.2</v>
      </c>
      <c r="T27" s="63">
        <v>156170</v>
      </c>
    </row>
    <row r="28" spans="1:20">
      <c r="A28" s="19">
        <v>1996</v>
      </c>
      <c r="B28" s="59">
        <v>41370</v>
      </c>
      <c r="C28" s="58">
        <v>26.7</v>
      </c>
      <c r="D28" s="59">
        <v>25950</v>
      </c>
      <c r="E28" s="58">
        <v>16.8</v>
      </c>
      <c r="F28" s="59">
        <v>57590</v>
      </c>
      <c r="G28" s="58">
        <v>37.200000000000003</v>
      </c>
      <c r="H28" s="59">
        <v>29180</v>
      </c>
      <c r="I28" s="58">
        <v>18.899999999999999</v>
      </c>
      <c r="J28" s="59">
        <v>5670</v>
      </c>
      <c r="K28" s="58">
        <v>3.7</v>
      </c>
      <c r="L28" s="59">
        <v>6620</v>
      </c>
      <c r="M28" s="58">
        <v>4.3</v>
      </c>
      <c r="N28" s="59">
        <v>2860</v>
      </c>
      <c r="O28" s="58">
        <v>1.8</v>
      </c>
      <c r="P28" s="59">
        <v>11110</v>
      </c>
      <c r="Q28" s="58">
        <v>7.2</v>
      </c>
      <c r="R28" s="59">
        <v>400</v>
      </c>
      <c r="S28" s="58">
        <v>0.3</v>
      </c>
      <c r="T28" s="63">
        <v>154800</v>
      </c>
    </row>
    <row r="29" spans="1:20">
      <c r="A29" s="19">
        <v>1997</v>
      </c>
      <c r="B29" s="59">
        <v>41370</v>
      </c>
      <c r="C29" s="58">
        <v>27</v>
      </c>
      <c r="D29" s="59">
        <v>27470</v>
      </c>
      <c r="E29" s="58">
        <v>17.899999999999999</v>
      </c>
      <c r="F29" s="59">
        <v>58420</v>
      </c>
      <c r="G29" s="58">
        <v>38.1</v>
      </c>
      <c r="H29" s="59">
        <v>29760</v>
      </c>
      <c r="I29" s="58">
        <v>19.399999999999999</v>
      </c>
      <c r="J29" s="59">
        <v>4350</v>
      </c>
      <c r="K29" s="58">
        <v>2.8</v>
      </c>
      <c r="L29" s="59">
        <v>5740</v>
      </c>
      <c r="M29" s="58">
        <v>3.7</v>
      </c>
      <c r="N29" s="59">
        <v>3010</v>
      </c>
      <c r="O29" s="58">
        <v>2</v>
      </c>
      <c r="P29" s="59">
        <v>10090</v>
      </c>
      <c r="Q29" s="58">
        <v>6.6</v>
      </c>
      <c r="R29" s="59">
        <v>400</v>
      </c>
      <c r="S29" s="58">
        <v>0.3</v>
      </c>
      <c r="T29" s="63">
        <v>153140</v>
      </c>
    </row>
    <row r="30" spans="1:20">
      <c r="A30" s="19">
        <v>1998</v>
      </c>
      <c r="B30" s="59">
        <v>43630</v>
      </c>
      <c r="C30" s="58">
        <v>27.8</v>
      </c>
      <c r="D30" s="59">
        <v>28680</v>
      </c>
      <c r="E30" s="58">
        <v>18.2</v>
      </c>
      <c r="F30" s="59">
        <v>59970</v>
      </c>
      <c r="G30" s="58">
        <v>38.200000000000003</v>
      </c>
      <c r="H30" s="59">
        <v>30370</v>
      </c>
      <c r="I30" s="58">
        <v>19.3</v>
      </c>
      <c r="J30" s="59">
        <v>3660</v>
      </c>
      <c r="K30" s="58">
        <v>2.2999999999999998</v>
      </c>
      <c r="L30" s="59">
        <v>5670</v>
      </c>
      <c r="M30" s="58">
        <v>3.6</v>
      </c>
      <c r="N30" s="59">
        <v>3100</v>
      </c>
      <c r="O30" s="58">
        <v>2</v>
      </c>
      <c r="P30" s="59">
        <v>10320</v>
      </c>
      <c r="Q30" s="58">
        <v>6.6</v>
      </c>
      <c r="R30" s="59">
        <v>440</v>
      </c>
      <c r="S30" s="58">
        <v>0.3</v>
      </c>
      <c r="T30" s="63">
        <v>157160</v>
      </c>
    </row>
    <row r="31" spans="1:20">
      <c r="A31" s="19">
        <v>1999</v>
      </c>
      <c r="B31" s="59">
        <v>40990</v>
      </c>
      <c r="C31" s="58">
        <v>26</v>
      </c>
      <c r="D31" s="59">
        <v>27850</v>
      </c>
      <c r="E31" s="58">
        <v>17.7</v>
      </c>
      <c r="F31" s="59">
        <v>61280</v>
      </c>
      <c r="G31" s="58">
        <v>38.9</v>
      </c>
      <c r="H31" s="59">
        <v>31080</v>
      </c>
      <c r="I31" s="58">
        <v>19.7</v>
      </c>
      <c r="J31" s="59">
        <v>3590</v>
      </c>
      <c r="K31" s="58">
        <v>2.2999999999999998</v>
      </c>
      <c r="L31" s="59">
        <v>5520</v>
      </c>
      <c r="M31" s="58">
        <v>3.5</v>
      </c>
      <c r="N31" s="59">
        <v>5680</v>
      </c>
      <c r="O31" s="58">
        <v>3.6</v>
      </c>
      <c r="P31" s="59">
        <v>8930</v>
      </c>
      <c r="Q31" s="58">
        <v>5.7</v>
      </c>
      <c r="R31" s="59">
        <v>460</v>
      </c>
      <c r="S31" s="58">
        <v>0.3</v>
      </c>
      <c r="T31" s="63">
        <v>157530</v>
      </c>
    </row>
    <row r="32" spans="1:20">
      <c r="A32" s="19">
        <v>2000</v>
      </c>
      <c r="B32" s="59">
        <v>36250</v>
      </c>
      <c r="C32" s="58">
        <v>22.5</v>
      </c>
      <c r="D32" s="59">
        <v>26080</v>
      </c>
      <c r="E32" s="58">
        <v>16.2</v>
      </c>
      <c r="F32" s="59">
        <v>64890</v>
      </c>
      <c r="G32" s="58">
        <v>40.4</v>
      </c>
      <c r="H32" s="59">
        <v>32000</v>
      </c>
      <c r="I32" s="58">
        <v>19.899999999999999</v>
      </c>
      <c r="J32" s="59">
        <v>5550</v>
      </c>
      <c r="K32" s="58">
        <v>3.5</v>
      </c>
      <c r="L32" s="59">
        <v>5610</v>
      </c>
      <c r="M32" s="58">
        <v>3.5</v>
      </c>
      <c r="N32" s="59">
        <v>5560</v>
      </c>
      <c r="O32" s="58">
        <v>3.5</v>
      </c>
      <c r="P32" s="59">
        <v>10440</v>
      </c>
      <c r="Q32" s="58">
        <v>6.5</v>
      </c>
      <c r="R32" s="59">
        <v>470</v>
      </c>
      <c r="S32" s="58">
        <v>0.3</v>
      </c>
      <c r="T32" s="63">
        <v>160770</v>
      </c>
    </row>
    <row r="33" spans="1:20">
      <c r="A33" s="19">
        <v>2001</v>
      </c>
      <c r="B33" s="59">
        <v>38870</v>
      </c>
      <c r="C33" s="58">
        <v>23.4</v>
      </c>
      <c r="D33" s="59">
        <v>27110</v>
      </c>
      <c r="E33" s="58">
        <v>16.3</v>
      </c>
      <c r="F33" s="59">
        <v>65870</v>
      </c>
      <c r="G33" s="58">
        <v>39.6</v>
      </c>
      <c r="H33" s="59">
        <v>32860</v>
      </c>
      <c r="I33" s="58">
        <v>19.8</v>
      </c>
      <c r="J33" s="59">
        <v>5900</v>
      </c>
      <c r="K33" s="58">
        <v>3.5</v>
      </c>
      <c r="L33" s="59">
        <v>6000</v>
      </c>
      <c r="M33" s="58">
        <v>3.6</v>
      </c>
      <c r="N33" s="59">
        <v>5820</v>
      </c>
      <c r="O33" s="58">
        <v>3.5</v>
      </c>
      <c r="P33" s="59">
        <v>10450</v>
      </c>
      <c r="Q33" s="58">
        <v>6.3</v>
      </c>
      <c r="R33" s="59">
        <v>490</v>
      </c>
      <c r="S33" s="58">
        <v>0.3</v>
      </c>
      <c r="T33" s="63">
        <v>166260</v>
      </c>
    </row>
    <row r="34" spans="1:20">
      <c r="A34" s="19">
        <v>2002</v>
      </c>
      <c r="B34" s="59">
        <v>34400</v>
      </c>
      <c r="C34" s="58">
        <v>21.7</v>
      </c>
      <c r="D34" s="59">
        <v>25050</v>
      </c>
      <c r="E34" s="58">
        <v>15.8</v>
      </c>
      <c r="F34" s="59">
        <v>65260</v>
      </c>
      <c r="G34" s="58">
        <v>41.1</v>
      </c>
      <c r="H34" s="59">
        <v>31170</v>
      </c>
      <c r="I34" s="58">
        <v>19.600000000000001</v>
      </c>
      <c r="J34" s="59">
        <v>5430</v>
      </c>
      <c r="K34" s="58">
        <v>3.4</v>
      </c>
      <c r="L34" s="59">
        <v>5970</v>
      </c>
      <c r="M34" s="58">
        <v>3.8</v>
      </c>
      <c r="N34" s="59">
        <v>5890</v>
      </c>
      <c r="O34" s="58">
        <v>3.7</v>
      </c>
      <c r="P34" s="59">
        <v>10190</v>
      </c>
      <c r="Q34" s="58">
        <v>6.4</v>
      </c>
      <c r="R34" s="59">
        <v>510</v>
      </c>
      <c r="S34" s="58">
        <v>0.3</v>
      </c>
      <c r="T34" s="63">
        <v>158820</v>
      </c>
    </row>
    <row r="35" spans="1:20">
      <c r="A35" s="19">
        <v>2003</v>
      </c>
      <c r="B35" s="59">
        <v>34620</v>
      </c>
      <c r="C35" s="58">
        <v>21.3</v>
      </c>
      <c r="D35" s="59">
        <v>26000</v>
      </c>
      <c r="E35" s="58">
        <v>16</v>
      </c>
      <c r="F35" s="59">
        <v>65650</v>
      </c>
      <c r="G35" s="58">
        <v>40.4</v>
      </c>
      <c r="H35" s="59">
        <v>32540</v>
      </c>
      <c r="I35" s="58">
        <v>20</v>
      </c>
      <c r="J35" s="59">
        <v>5580</v>
      </c>
      <c r="K35" s="58">
        <v>3.4</v>
      </c>
      <c r="L35" s="59">
        <v>6430</v>
      </c>
      <c r="M35" s="58">
        <v>4</v>
      </c>
      <c r="N35" s="59">
        <v>6110</v>
      </c>
      <c r="O35" s="58">
        <v>3.8</v>
      </c>
      <c r="P35" s="59">
        <v>11060</v>
      </c>
      <c r="Q35" s="58">
        <v>6.8</v>
      </c>
      <c r="R35" s="59">
        <v>550</v>
      </c>
      <c r="S35" s="58">
        <v>0.3</v>
      </c>
      <c r="T35" s="63">
        <v>162540</v>
      </c>
    </row>
    <row r="36" spans="1:20">
      <c r="A36" s="19">
        <v>2004</v>
      </c>
      <c r="B36" s="59">
        <v>35460</v>
      </c>
      <c r="C36" s="58">
        <v>21.5</v>
      </c>
      <c r="D36" s="59">
        <v>25320</v>
      </c>
      <c r="E36" s="58">
        <v>15.3</v>
      </c>
      <c r="F36" s="59">
        <v>66910</v>
      </c>
      <c r="G36" s="58">
        <v>40.6</v>
      </c>
      <c r="H36" s="59">
        <v>33760</v>
      </c>
      <c r="I36" s="58">
        <v>20.5</v>
      </c>
      <c r="J36" s="59">
        <v>5020</v>
      </c>
      <c r="K36" s="58">
        <v>3</v>
      </c>
      <c r="L36" s="59">
        <v>6420</v>
      </c>
      <c r="M36" s="58">
        <v>3.9</v>
      </c>
      <c r="N36" s="59">
        <v>5870</v>
      </c>
      <c r="O36" s="58">
        <v>3.6</v>
      </c>
      <c r="P36" s="59">
        <v>10980</v>
      </c>
      <c r="Q36" s="58">
        <v>6.7</v>
      </c>
      <c r="R36" s="59">
        <v>580</v>
      </c>
      <c r="S36" s="58">
        <v>0.4</v>
      </c>
      <c r="T36" s="63">
        <v>165000</v>
      </c>
    </row>
    <row r="37" spans="1:20">
      <c r="A37" s="19">
        <v>2005</v>
      </c>
      <c r="B37" s="59">
        <v>34290</v>
      </c>
      <c r="C37" s="58">
        <v>20.5</v>
      </c>
      <c r="D37" s="59">
        <v>25510</v>
      </c>
      <c r="E37" s="58">
        <v>15.3</v>
      </c>
      <c r="F37" s="59">
        <v>67840</v>
      </c>
      <c r="G37" s="58">
        <v>40.6</v>
      </c>
      <c r="H37" s="59">
        <v>34870</v>
      </c>
      <c r="I37" s="58">
        <v>20.9</v>
      </c>
      <c r="J37" s="59">
        <v>5640</v>
      </c>
      <c r="K37" s="58">
        <v>3.4</v>
      </c>
      <c r="L37" s="59">
        <v>6640</v>
      </c>
      <c r="M37" s="58">
        <v>4</v>
      </c>
      <c r="N37" s="59">
        <v>6140</v>
      </c>
      <c r="O37" s="58">
        <v>3.7</v>
      </c>
      <c r="P37" s="59">
        <v>10880</v>
      </c>
      <c r="Q37" s="58">
        <v>6.5</v>
      </c>
      <c r="R37" s="59">
        <v>620</v>
      </c>
      <c r="S37" s="58">
        <v>0.4</v>
      </c>
      <c r="T37" s="63">
        <v>166920</v>
      </c>
    </row>
    <row r="38" spans="1:20">
      <c r="A38" s="19">
        <v>2006</v>
      </c>
      <c r="B38" s="59">
        <v>34580</v>
      </c>
      <c r="C38" s="58">
        <v>20.3</v>
      </c>
      <c r="D38" s="59">
        <v>24260</v>
      </c>
      <c r="E38" s="58">
        <v>14.2</v>
      </c>
      <c r="F38" s="59">
        <v>68200</v>
      </c>
      <c r="G38" s="58">
        <v>40</v>
      </c>
      <c r="H38" s="59">
        <v>36270</v>
      </c>
      <c r="I38" s="58">
        <v>21.3</v>
      </c>
      <c r="J38" s="59">
        <v>6120</v>
      </c>
      <c r="K38" s="58">
        <v>3.6</v>
      </c>
      <c r="L38" s="59">
        <v>6990</v>
      </c>
      <c r="M38" s="58">
        <v>4.0999999999999996</v>
      </c>
      <c r="N38" s="59">
        <v>6710</v>
      </c>
      <c r="O38" s="58">
        <v>3.9</v>
      </c>
      <c r="P38" s="59">
        <v>10990</v>
      </c>
      <c r="Q38" s="58">
        <v>6.4</v>
      </c>
      <c r="R38" s="59">
        <v>670</v>
      </c>
      <c r="S38" s="58">
        <v>0.4</v>
      </c>
      <c r="T38" s="63">
        <v>170530</v>
      </c>
    </row>
    <row r="39" spans="1:20">
      <c r="A39" s="19">
        <v>2007</v>
      </c>
      <c r="B39" s="59">
        <v>30390</v>
      </c>
      <c r="C39" s="58">
        <v>18</v>
      </c>
      <c r="D39" s="59">
        <v>22300</v>
      </c>
      <c r="E39" s="58">
        <v>13.2</v>
      </c>
      <c r="F39" s="59">
        <v>68190</v>
      </c>
      <c r="G39" s="58">
        <v>40.4</v>
      </c>
      <c r="H39" s="59">
        <v>37390</v>
      </c>
      <c r="I39" s="58">
        <v>22.2</v>
      </c>
      <c r="J39" s="59">
        <v>6900</v>
      </c>
      <c r="K39" s="58">
        <v>4.0999999999999996</v>
      </c>
      <c r="L39" s="59">
        <v>7920</v>
      </c>
      <c r="M39" s="58">
        <v>4.7</v>
      </c>
      <c r="N39" s="59">
        <v>6470</v>
      </c>
      <c r="O39" s="58">
        <v>3.8</v>
      </c>
      <c r="P39" s="59">
        <v>10600</v>
      </c>
      <c r="Q39" s="58">
        <v>6.3</v>
      </c>
      <c r="R39" s="59">
        <v>720</v>
      </c>
      <c r="S39" s="58">
        <v>0.4</v>
      </c>
      <c r="T39" s="63">
        <v>168580</v>
      </c>
    </row>
    <row r="40" spans="1:20">
      <c r="A40" s="19">
        <v>2008</v>
      </c>
      <c r="B40" s="59">
        <v>29720</v>
      </c>
      <c r="C40" s="58">
        <v>17.3</v>
      </c>
      <c r="D40" s="59">
        <v>22040</v>
      </c>
      <c r="E40" s="58">
        <v>12.9</v>
      </c>
      <c r="F40" s="59">
        <v>69220</v>
      </c>
      <c r="G40" s="58">
        <v>40.4</v>
      </c>
      <c r="H40" s="59">
        <v>39140</v>
      </c>
      <c r="I40" s="58">
        <v>22.8</v>
      </c>
      <c r="J40" s="59">
        <v>6160</v>
      </c>
      <c r="K40" s="58">
        <v>3.6</v>
      </c>
      <c r="L40" s="59">
        <v>9000</v>
      </c>
      <c r="M40" s="58">
        <v>5.3</v>
      </c>
      <c r="N40" s="59">
        <v>6130</v>
      </c>
      <c r="O40" s="58">
        <v>3.6</v>
      </c>
      <c r="P40" s="59">
        <v>11110</v>
      </c>
      <c r="Q40" s="58">
        <v>6.5</v>
      </c>
      <c r="R40" s="59">
        <v>830</v>
      </c>
      <c r="S40" s="58">
        <v>0.5</v>
      </c>
      <c r="T40" s="63">
        <v>171310</v>
      </c>
    </row>
    <row r="41" spans="1:20">
      <c r="A41" s="19">
        <v>2009</v>
      </c>
      <c r="B41" s="59">
        <v>28700</v>
      </c>
      <c r="C41" s="58">
        <v>17.8</v>
      </c>
      <c r="D41" s="59">
        <v>21700</v>
      </c>
      <c r="E41" s="58">
        <v>13.5</v>
      </c>
      <c r="F41" s="59">
        <v>65360</v>
      </c>
      <c r="G41" s="58">
        <v>40.5</v>
      </c>
      <c r="H41" s="59">
        <v>35550</v>
      </c>
      <c r="I41" s="58">
        <v>22.1</v>
      </c>
      <c r="J41" s="59">
        <v>5790</v>
      </c>
      <c r="K41" s="58">
        <v>3.6</v>
      </c>
      <c r="L41" s="59">
        <v>9500</v>
      </c>
      <c r="M41" s="58">
        <v>5.9</v>
      </c>
      <c r="N41" s="59">
        <v>5930</v>
      </c>
      <c r="O41" s="58">
        <v>3.7</v>
      </c>
      <c r="P41" s="59">
        <v>9460</v>
      </c>
      <c r="Q41" s="58">
        <v>5.9</v>
      </c>
      <c r="R41" s="59">
        <v>920</v>
      </c>
      <c r="S41" s="58">
        <v>0.6</v>
      </c>
      <c r="T41" s="63">
        <v>161210</v>
      </c>
    </row>
    <row r="42" spans="1:20">
      <c r="A42" s="19">
        <v>2010</v>
      </c>
      <c r="B42" s="59">
        <v>27790</v>
      </c>
      <c r="C42" s="58">
        <v>16.5</v>
      </c>
      <c r="D42" s="59">
        <v>21280</v>
      </c>
      <c r="E42" s="58">
        <v>12.6</v>
      </c>
      <c r="F42" s="59">
        <v>69180</v>
      </c>
      <c r="G42" s="58">
        <v>41</v>
      </c>
      <c r="H42" s="59">
        <v>38420</v>
      </c>
      <c r="I42" s="58">
        <v>22.7</v>
      </c>
      <c r="J42" s="59">
        <v>5810</v>
      </c>
      <c r="K42" s="58">
        <v>3.4</v>
      </c>
      <c r="L42" s="59">
        <v>10400</v>
      </c>
      <c r="M42" s="58">
        <v>6.2</v>
      </c>
      <c r="N42" s="59">
        <v>6020</v>
      </c>
      <c r="O42" s="58">
        <v>3.6</v>
      </c>
      <c r="P42" s="59">
        <v>10190</v>
      </c>
      <c r="Q42" s="58">
        <v>6</v>
      </c>
      <c r="R42" s="59">
        <v>1110</v>
      </c>
      <c r="S42" s="58">
        <v>0.7</v>
      </c>
      <c r="T42" s="63">
        <v>168920</v>
      </c>
    </row>
    <row r="43" spans="1:20">
      <c r="A43" s="19">
        <v>2011</v>
      </c>
      <c r="B43" s="59">
        <v>22940</v>
      </c>
      <c r="C43" s="58">
        <v>14.1</v>
      </c>
      <c r="D43" s="59">
        <v>17440</v>
      </c>
      <c r="E43" s="58">
        <v>10.7</v>
      </c>
      <c r="F43" s="59">
        <v>68940</v>
      </c>
      <c r="G43" s="58">
        <v>42.4</v>
      </c>
      <c r="H43" s="59">
        <v>37340</v>
      </c>
      <c r="I43" s="58">
        <v>23</v>
      </c>
      <c r="J43" s="59">
        <v>5440</v>
      </c>
      <c r="K43" s="58">
        <v>3.3</v>
      </c>
      <c r="L43" s="59">
        <v>9940</v>
      </c>
      <c r="M43" s="58">
        <v>6.1</v>
      </c>
      <c r="N43" s="59">
        <v>6100</v>
      </c>
      <c r="O43" s="58">
        <v>3.8</v>
      </c>
      <c r="P43" s="59">
        <v>10720</v>
      </c>
      <c r="Q43" s="58">
        <v>6.6</v>
      </c>
      <c r="R43" s="59">
        <v>1180</v>
      </c>
      <c r="S43" s="58">
        <v>0.7</v>
      </c>
      <c r="T43" s="63">
        <v>162600</v>
      </c>
    </row>
    <row r="44" spans="1:20">
      <c r="A44" s="19">
        <v>2012</v>
      </c>
      <c r="B44" s="59">
        <v>23220</v>
      </c>
      <c r="C44" s="58">
        <v>14.1</v>
      </c>
      <c r="D44" s="59">
        <v>17700</v>
      </c>
      <c r="E44" s="58">
        <v>10.8</v>
      </c>
      <c r="F44" s="59">
        <v>68310</v>
      </c>
      <c r="G44" s="58">
        <v>41.6</v>
      </c>
      <c r="H44" s="59">
        <v>38370</v>
      </c>
      <c r="I44" s="58">
        <v>23.4</v>
      </c>
      <c r="J44" s="59">
        <v>4870</v>
      </c>
      <c r="K44" s="58">
        <v>3</v>
      </c>
      <c r="L44" s="59">
        <v>10670</v>
      </c>
      <c r="M44" s="58">
        <v>6.5</v>
      </c>
      <c r="N44" s="59">
        <v>6590</v>
      </c>
      <c r="O44" s="58">
        <v>4</v>
      </c>
      <c r="P44" s="59">
        <v>10870</v>
      </c>
      <c r="Q44" s="58">
        <v>6.6</v>
      </c>
      <c r="R44" s="59">
        <v>1370</v>
      </c>
      <c r="S44" s="58">
        <v>0.8</v>
      </c>
      <c r="T44" s="63">
        <v>164270</v>
      </c>
    </row>
    <row r="45" spans="1:20">
      <c r="A45" s="19">
        <v>2013</v>
      </c>
      <c r="B45" s="59">
        <v>22730</v>
      </c>
      <c r="C45" s="58">
        <v>13.8</v>
      </c>
      <c r="D45" s="59">
        <v>18140</v>
      </c>
      <c r="E45" s="58">
        <v>11</v>
      </c>
      <c r="F45" s="59">
        <v>67370</v>
      </c>
      <c r="G45" s="58">
        <v>40.799999999999997</v>
      </c>
      <c r="H45" s="59">
        <v>39710</v>
      </c>
      <c r="I45" s="58">
        <v>24</v>
      </c>
      <c r="J45" s="59">
        <v>5270</v>
      </c>
      <c r="K45" s="58">
        <v>3.2</v>
      </c>
      <c r="L45" s="59">
        <v>11550</v>
      </c>
      <c r="M45" s="58">
        <v>7</v>
      </c>
      <c r="N45" s="59">
        <v>6110</v>
      </c>
      <c r="O45" s="58">
        <v>3.7</v>
      </c>
      <c r="P45" s="59">
        <v>11000</v>
      </c>
      <c r="Q45" s="58">
        <v>6.7</v>
      </c>
      <c r="R45" s="59">
        <v>1480</v>
      </c>
      <c r="S45" s="58">
        <v>0.9</v>
      </c>
      <c r="T45" s="63">
        <v>165220</v>
      </c>
    </row>
    <row r="46" spans="1:20">
      <c r="A46" s="19">
        <v>2014</v>
      </c>
      <c r="B46" s="59">
        <v>16510</v>
      </c>
      <c r="C46" s="58">
        <v>10.5</v>
      </c>
      <c r="D46" s="59">
        <v>12540</v>
      </c>
      <c r="E46" s="58">
        <v>8</v>
      </c>
      <c r="F46" s="59">
        <v>64670</v>
      </c>
      <c r="G46" s="58">
        <v>41</v>
      </c>
      <c r="H46" s="59">
        <v>40310</v>
      </c>
      <c r="I46" s="58">
        <v>25.6</v>
      </c>
      <c r="J46" s="59">
        <v>5500</v>
      </c>
      <c r="K46" s="58">
        <v>3.5</v>
      </c>
      <c r="L46" s="59">
        <v>10850</v>
      </c>
      <c r="M46" s="58">
        <v>6.9</v>
      </c>
      <c r="N46" s="59">
        <v>5890</v>
      </c>
      <c r="O46" s="58">
        <v>3.7</v>
      </c>
      <c r="P46" s="59">
        <v>12480</v>
      </c>
      <c r="Q46" s="58">
        <v>7.9</v>
      </c>
      <c r="R46" s="59">
        <v>1440</v>
      </c>
      <c r="S46" s="58">
        <v>0.9</v>
      </c>
      <c r="T46" s="63">
        <v>157650</v>
      </c>
    </row>
    <row r="47" spans="1:20">
      <c r="A47" s="19">
        <v>2015</v>
      </c>
      <c r="B47" s="59">
        <v>16270</v>
      </c>
      <c r="C47" s="58">
        <v>10.5</v>
      </c>
      <c r="D47" s="59">
        <v>12840</v>
      </c>
      <c r="E47" s="58">
        <v>8.3000000000000007</v>
      </c>
      <c r="F47" s="59">
        <v>64560</v>
      </c>
      <c r="G47" s="58">
        <v>41.6</v>
      </c>
      <c r="H47" s="59">
        <v>39450</v>
      </c>
      <c r="I47" s="58">
        <v>25.4</v>
      </c>
      <c r="J47" s="59">
        <v>5010</v>
      </c>
      <c r="K47" s="58">
        <v>3.2</v>
      </c>
      <c r="L47" s="59">
        <v>10880</v>
      </c>
      <c r="M47" s="58">
        <v>7</v>
      </c>
      <c r="N47" s="59">
        <v>6640</v>
      </c>
      <c r="O47" s="58">
        <v>4.3</v>
      </c>
      <c r="P47" s="59">
        <v>10720</v>
      </c>
      <c r="Q47" s="58">
        <v>6.9</v>
      </c>
      <c r="R47" s="59">
        <v>1560</v>
      </c>
      <c r="S47" s="58">
        <v>1</v>
      </c>
      <c r="T47" s="63">
        <v>155090</v>
      </c>
    </row>
    <row r="48" spans="1:20">
      <c r="A48" s="19">
        <v>2016</v>
      </c>
      <c r="B48" s="59">
        <v>15910</v>
      </c>
      <c r="C48" s="58">
        <v>10.199999999999999</v>
      </c>
      <c r="D48" s="59">
        <v>12900</v>
      </c>
      <c r="E48" s="58">
        <v>8.3000000000000007</v>
      </c>
      <c r="F48" s="59">
        <v>63730</v>
      </c>
      <c r="G48" s="58">
        <v>41</v>
      </c>
      <c r="H48" s="59">
        <v>39960</v>
      </c>
      <c r="I48" s="58">
        <v>25.7</v>
      </c>
      <c r="J48" s="59">
        <v>4590</v>
      </c>
      <c r="K48" s="58">
        <v>3</v>
      </c>
      <c r="L48" s="59">
        <v>11490</v>
      </c>
      <c r="M48" s="58">
        <v>7.4</v>
      </c>
      <c r="N48" s="59">
        <v>6770</v>
      </c>
      <c r="O48" s="58">
        <v>4.4000000000000004</v>
      </c>
      <c r="P48" s="59">
        <v>11260</v>
      </c>
      <c r="Q48" s="58">
        <v>7.2</v>
      </c>
      <c r="R48" s="59">
        <v>1700</v>
      </c>
      <c r="S48" s="58">
        <v>1.1000000000000001</v>
      </c>
      <c r="T48" s="63">
        <v>155410</v>
      </c>
    </row>
    <row r="49" spans="1:44">
      <c r="A49" s="19">
        <v>2017</v>
      </c>
      <c r="B49" s="59">
        <v>14670</v>
      </c>
      <c r="C49" s="58">
        <v>9.4</v>
      </c>
      <c r="D49" s="59">
        <v>11590</v>
      </c>
      <c r="E49" s="58">
        <v>7.4</v>
      </c>
      <c r="F49" s="59">
        <v>64210</v>
      </c>
      <c r="G49" s="58">
        <v>41.1</v>
      </c>
      <c r="H49" s="59">
        <v>41000</v>
      </c>
      <c r="I49" s="58">
        <v>26.2</v>
      </c>
      <c r="J49" s="59">
        <v>4510</v>
      </c>
      <c r="K49" s="58">
        <v>2.9</v>
      </c>
      <c r="L49" s="59">
        <v>12060</v>
      </c>
      <c r="M49" s="58">
        <v>7.7</v>
      </c>
      <c r="N49" s="59">
        <v>6840</v>
      </c>
      <c r="O49" s="58">
        <v>4.4000000000000004</v>
      </c>
      <c r="P49" s="59">
        <v>11290</v>
      </c>
      <c r="Q49" s="58">
        <v>7.2</v>
      </c>
      <c r="R49" s="59">
        <v>1760</v>
      </c>
      <c r="S49" s="58">
        <v>1.1000000000000001</v>
      </c>
      <c r="T49" s="63">
        <v>156340</v>
      </c>
    </row>
    <row r="50" spans="1:44">
      <c r="A50" s="19">
        <v>2018</v>
      </c>
      <c r="B50" s="59">
        <v>14250</v>
      </c>
      <c r="C50" s="58">
        <v>9.4</v>
      </c>
      <c r="D50" s="59">
        <v>10950</v>
      </c>
      <c r="E50" s="58">
        <v>7.3</v>
      </c>
      <c r="F50" s="59">
        <v>62100</v>
      </c>
      <c r="G50" s="58">
        <v>41.2</v>
      </c>
      <c r="H50" s="59">
        <v>39320</v>
      </c>
      <c r="I50" s="58">
        <v>26.1</v>
      </c>
      <c r="J50" s="59">
        <v>4190</v>
      </c>
      <c r="K50" s="58">
        <v>2.8</v>
      </c>
      <c r="L50" s="59">
        <v>11400</v>
      </c>
      <c r="M50" s="58">
        <v>7.6</v>
      </c>
      <c r="N50" s="59">
        <v>6890</v>
      </c>
      <c r="O50" s="58">
        <v>4.5999999999999996</v>
      </c>
      <c r="P50" s="59">
        <v>11040</v>
      </c>
      <c r="Q50" s="58">
        <v>7.3</v>
      </c>
      <c r="R50" s="59">
        <v>1690</v>
      </c>
      <c r="S50" s="58">
        <v>1.1000000000000001</v>
      </c>
      <c r="T50" s="63">
        <v>150880</v>
      </c>
    </row>
    <row r="51" spans="1:44">
      <c r="A51" s="19">
        <v>2019</v>
      </c>
      <c r="B51" s="59">
        <v>12770</v>
      </c>
      <c r="C51" s="58">
        <v>8.5</v>
      </c>
      <c r="D51" s="59">
        <v>10170</v>
      </c>
      <c r="E51" s="58">
        <v>6.8</v>
      </c>
      <c r="F51" s="59">
        <v>61950</v>
      </c>
      <c r="G51" s="58">
        <v>41.2</v>
      </c>
      <c r="H51" s="59">
        <v>39560</v>
      </c>
      <c r="I51" s="58">
        <v>26.3</v>
      </c>
      <c r="J51" s="59">
        <v>3740</v>
      </c>
      <c r="K51" s="58">
        <v>2.5</v>
      </c>
      <c r="L51" s="59">
        <v>11690</v>
      </c>
      <c r="M51" s="58">
        <v>7.8</v>
      </c>
      <c r="N51" s="59">
        <v>7380</v>
      </c>
      <c r="O51" s="58">
        <v>4.9000000000000004</v>
      </c>
      <c r="P51" s="59">
        <v>11640</v>
      </c>
      <c r="Q51" s="58">
        <v>7.7</v>
      </c>
      <c r="R51" s="59">
        <v>1810</v>
      </c>
      <c r="S51" s="58">
        <v>1.2</v>
      </c>
      <c r="T51" s="63">
        <v>150540</v>
      </c>
    </row>
    <row r="52" spans="1:44">
      <c r="A52" s="19">
        <v>2020</v>
      </c>
      <c r="B52" s="59">
        <v>11680</v>
      </c>
      <c r="C52" s="58">
        <v>8</v>
      </c>
      <c r="D52" s="59">
        <v>8950</v>
      </c>
      <c r="E52" s="58">
        <v>6.1</v>
      </c>
      <c r="F52" s="59">
        <v>60240</v>
      </c>
      <c r="G52" s="58">
        <v>41.3</v>
      </c>
      <c r="H52" s="59">
        <v>37890</v>
      </c>
      <c r="I52" s="58">
        <v>26</v>
      </c>
      <c r="J52" s="59">
        <v>3600</v>
      </c>
      <c r="K52" s="58">
        <v>2.5</v>
      </c>
      <c r="L52" s="59">
        <v>11760</v>
      </c>
      <c r="M52" s="58">
        <v>8.1</v>
      </c>
      <c r="N52" s="59">
        <v>7320</v>
      </c>
      <c r="O52" s="58">
        <v>5</v>
      </c>
      <c r="P52" s="59">
        <v>11410</v>
      </c>
      <c r="Q52" s="58">
        <v>7.8</v>
      </c>
      <c r="R52" s="59">
        <v>1850</v>
      </c>
      <c r="S52" s="58">
        <v>1.3</v>
      </c>
      <c r="T52" s="63">
        <v>145750</v>
      </c>
    </row>
    <row r="53" spans="1:44">
      <c r="A53" s="19">
        <v>2021</v>
      </c>
      <c r="B53" s="59">
        <v>11840</v>
      </c>
      <c r="C53" s="58">
        <v>7.7</v>
      </c>
      <c r="D53" s="59">
        <v>9160</v>
      </c>
      <c r="E53" s="58">
        <v>5.9</v>
      </c>
      <c r="F53" s="59">
        <v>63870</v>
      </c>
      <c r="G53" s="58">
        <v>41.5</v>
      </c>
      <c r="H53" s="59">
        <v>39470</v>
      </c>
      <c r="I53" s="58">
        <v>25.6</v>
      </c>
      <c r="J53" s="59">
        <v>3630</v>
      </c>
      <c r="K53" s="58">
        <v>2.4</v>
      </c>
      <c r="L53" s="59">
        <v>13690</v>
      </c>
      <c r="M53" s="58">
        <v>8.9</v>
      </c>
      <c r="N53" s="59">
        <v>7860</v>
      </c>
      <c r="O53" s="58">
        <v>5.0999999999999996</v>
      </c>
      <c r="P53" s="59">
        <v>11610</v>
      </c>
      <c r="Q53" s="58">
        <v>7.5</v>
      </c>
      <c r="R53" s="59">
        <v>2080</v>
      </c>
      <c r="S53" s="58">
        <v>1.4</v>
      </c>
      <c r="T53" s="63">
        <v>154050</v>
      </c>
    </row>
    <row r="54" spans="1:44">
      <c r="A54" s="19">
        <v>2022</v>
      </c>
      <c r="B54" s="59">
        <v>11610</v>
      </c>
      <c r="C54" s="58">
        <v>8</v>
      </c>
      <c r="D54" s="59">
        <v>8800</v>
      </c>
      <c r="E54" s="58">
        <v>6.1</v>
      </c>
      <c r="F54" s="59">
        <v>63320</v>
      </c>
      <c r="G54" s="58">
        <v>43.6</v>
      </c>
      <c r="H54" s="59">
        <v>32910</v>
      </c>
      <c r="I54" s="58">
        <v>22.7</v>
      </c>
      <c r="J54" s="59">
        <v>3830</v>
      </c>
      <c r="K54" s="58">
        <v>2.6</v>
      </c>
      <c r="L54" s="59">
        <v>12500</v>
      </c>
      <c r="M54" s="58">
        <v>8.6</v>
      </c>
      <c r="N54" s="59">
        <v>7770</v>
      </c>
      <c r="O54" s="58">
        <v>5.3</v>
      </c>
      <c r="P54" s="59">
        <v>11280</v>
      </c>
      <c r="Q54" s="58">
        <v>7.8</v>
      </c>
      <c r="R54" s="59">
        <v>2030</v>
      </c>
      <c r="S54" s="58">
        <v>1.4</v>
      </c>
      <c r="T54" s="63">
        <v>145250</v>
      </c>
    </row>
    <row r="55" spans="1:44">
      <c r="A55" s="19">
        <v>2023</v>
      </c>
      <c r="B55" s="59">
        <v>10710</v>
      </c>
      <c r="C55" s="58">
        <v>7.8</v>
      </c>
      <c r="D55" s="59">
        <v>7760</v>
      </c>
      <c r="E55" s="58">
        <v>5.7</v>
      </c>
      <c r="F55" s="59">
        <v>59160</v>
      </c>
      <c r="G55" s="58">
        <v>43.3</v>
      </c>
      <c r="H55" s="59">
        <v>29610</v>
      </c>
      <c r="I55" s="58">
        <v>21.7</v>
      </c>
      <c r="J55" s="59">
        <v>3010</v>
      </c>
      <c r="K55" s="58">
        <v>2.2000000000000002</v>
      </c>
      <c r="L55" s="59">
        <v>12660</v>
      </c>
      <c r="M55" s="58">
        <v>9.3000000000000007</v>
      </c>
      <c r="N55" s="59">
        <v>8240</v>
      </c>
      <c r="O55" s="58">
        <v>6</v>
      </c>
      <c r="P55" s="59">
        <v>10970</v>
      </c>
      <c r="Q55" s="58">
        <v>8</v>
      </c>
      <c r="R55" s="59">
        <v>2180</v>
      </c>
      <c r="S55" s="58">
        <v>1.6</v>
      </c>
      <c r="T55" s="63">
        <v>136540</v>
      </c>
    </row>
    <row r="56" spans="1:44" ht="13">
      <c r="A56" s="48">
        <v>2024</v>
      </c>
      <c r="B56" s="69">
        <v>9250</v>
      </c>
      <c r="C56" s="70">
        <v>6.7</v>
      </c>
      <c r="D56" s="69">
        <v>6840</v>
      </c>
      <c r="E56" s="70">
        <v>5</v>
      </c>
      <c r="F56" s="69">
        <v>59110</v>
      </c>
      <c r="G56" s="70">
        <v>43.1</v>
      </c>
      <c r="H56" s="69">
        <v>30910</v>
      </c>
      <c r="I56" s="70">
        <v>22.5</v>
      </c>
      <c r="J56" s="69">
        <v>2520</v>
      </c>
      <c r="K56" s="70">
        <v>1.8</v>
      </c>
      <c r="L56" s="69">
        <v>12450</v>
      </c>
      <c r="M56" s="70">
        <v>9.1</v>
      </c>
      <c r="N56" s="69">
        <v>9130</v>
      </c>
      <c r="O56" s="70">
        <v>6.7</v>
      </c>
      <c r="P56" s="69">
        <v>11590</v>
      </c>
      <c r="Q56" s="70">
        <v>8.4</v>
      </c>
      <c r="R56" s="69">
        <v>2280</v>
      </c>
      <c r="S56" s="70">
        <v>1.7</v>
      </c>
      <c r="T56" s="71">
        <v>137240</v>
      </c>
    </row>
    <row r="57" spans="1:44" ht="13">
      <c r="A57" s="31"/>
      <c r="B57" s="32"/>
      <c r="C57" s="76"/>
      <c r="D57" s="32"/>
      <c r="E57" s="76"/>
      <c r="F57" s="32"/>
      <c r="G57" s="76"/>
      <c r="H57" s="32"/>
      <c r="I57" s="76"/>
      <c r="J57" s="32"/>
      <c r="K57" s="76"/>
      <c r="L57" s="32"/>
      <c r="M57" s="76"/>
      <c r="N57" s="32"/>
      <c r="O57" s="76"/>
      <c r="P57" s="32"/>
      <c r="Q57" s="76"/>
      <c r="R57" s="32"/>
      <c r="S57" s="76"/>
      <c r="T57" s="32"/>
    </row>
    <row r="58" spans="1:44">
      <c r="A58" s="77" t="s">
        <v>250</v>
      </c>
      <c r="B58" s="77"/>
      <c r="C58" s="77"/>
      <c r="D58" s="77"/>
      <c r="E58" s="77"/>
      <c r="F58" s="77"/>
      <c r="G58" s="77"/>
      <c r="H58" s="77"/>
      <c r="I58" s="77"/>
      <c r="J58" s="77"/>
      <c r="K58" s="77"/>
      <c r="L58" s="77" t="s">
        <v>251</v>
      </c>
      <c r="M58" s="77"/>
      <c r="N58" s="77"/>
      <c r="O58" s="77"/>
      <c r="P58" s="77"/>
      <c r="Q58" s="77"/>
      <c r="R58" s="77"/>
      <c r="S58" s="77"/>
      <c r="T58" s="77"/>
      <c r="V58" s="34"/>
      <c r="W58" s="34"/>
      <c r="X58" s="34"/>
      <c r="Y58" s="34"/>
      <c r="Z58" s="34"/>
      <c r="AA58" s="34"/>
      <c r="AB58" s="34"/>
      <c r="AC58" s="34"/>
      <c r="AD58" s="34"/>
      <c r="AE58" s="34"/>
      <c r="AF58" s="34"/>
      <c r="AG58" s="34"/>
      <c r="AH58" s="34"/>
      <c r="AI58" s="34"/>
      <c r="AJ58" s="34"/>
      <c r="AK58" s="34"/>
      <c r="AL58" s="34"/>
      <c r="AM58" s="34"/>
      <c r="AN58" s="34"/>
      <c r="AO58" s="34"/>
      <c r="AP58" s="34"/>
      <c r="AQ58" s="34"/>
      <c r="AR58" s="34"/>
    </row>
    <row r="59" spans="1:44">
      <c r="A59" s="77" t="s">
        <v>252</v>
      </c>
      <c r="B59" s="77"/>
      <c r="C59" s="77"/>
      <c r="D59" s="77"/>
      <c r="E59" s="77"/>
      <c r="F59" s="77"/>
      <c r="G59" s="77"/>
      <c r="H59" s="77"/>
      <c r="I59" s="77"/>
      <c r="J59" s="77"/>
      <c r="K59" s="77"/>
      <c r="L59" s="77" t="s">
        <v>253</v>
      </c>
      <c r="M59" s="77"/>
      <c r="N59" s="77"/>
      <c r="O59" s="77"/>
      <c r="P59" s="77"/>
      <c r="Q59" s="77"/>
      <c r="R59" s="77"/>
      <c r="S59" s="77"/>
      <c r="T59" s="77"/>
      <c r="V59" s="34"/>
      <c r="W59" s="34"/>
      <c r="X59" s="34"/>
      <c r="Y59" s="34"/>
      <c r="Z59" s="34"/>
      <c r="AA59" s="34"/>
      <c r="AB59" s="34"/>
      <c r="AC59" s="34"/>
      <c r="AD59" s="34"/>
      <c r="AE59" s="34"/>
      <c r="AF59" s="34"/>
      <c r="AG59" s="34"/>
      <c r="AH59" s="34"/>
      <c r="AI59" s="34"/>
      <c r="AJ59" s="34"/>
      <c r="AK59" s="34"/>
      <c r="AL59" s="34"/>
      <c r="AM59" s="34"/>
      <c r="AN59" s="34"/>
      <c r="AO59" s="34"/>
      <c r="AP59" s="34"/>
      <c r="AQ59" s="34"/>
      <c r="AR59" s="34"/>
    </row>
    <row r="60" spans="1:44" ht="12.75" customHeight="1">
      <c r="A60" s="77" t="s">
        <v>254</v>
      </c>
      <c r="B60" s="78"/>
      <c r="C60" s="78"/>
      <c r="D60" s="78"/>
      <c r="E60" s="78"/>
      <c r="F60" s="78"/>
      <c r="G60" s="78"/>
      <c r="L60" s="77" t="s">
        <v>255</v>
      </c>
      <c r="M60" s="78"/>
      <c r="N60" s="78"/>
      <c r="O60" s="78"/>
      <c r="P60" s="78"/>
      <c r="V60" s="34"/>
      <c r="W60" s="34"/>
      <c r="X60" s="34"/>
      <c r="Y60" s="34"/>
      <c r="Z60" s="34"/>
      <c r="AA60" s="34"/>
      <c r="AB60" s="34"/>
      <c r="AC60" s="34"/>
      <c r="AD60" s="34"/>
      <c r="AE60" s="34"/>
      <c r="AF60" s="34"/>
      <c r="AG60" s="34"/>
      <c r="AH60" s="34"/>
      <c r="AI60" s="34"/>
      <c r="AJ60" s="34"/>
      <c r="AK60" s="34"/>
      <c r="AL60" s="34"/>
      <c r="AM60" s="34"/>
      <c r="AN60" s="34"/>
      <c r="AO60" s="34"/>
      <c r="AP60" s="34"/>
      <c r="AQ60" s="34"/>
      <c r="AR60" s="34"/>
    </row>
    <row r="61" spans="1:44" ht="12.75" customHeight="1">
      <c r="A61" s="77" t="s">
        <v>256</v>
      </c>
      <c r="B61" s="78"/>
      <c r="C61" s="78"/>
      <c r="D61" s="78"/>
      <c r="E61" s="78"/>
      <c r="F61" s="78"/>
      <c r="G61" s="78"/>
      <c r="L61" s="77" t="s">
        <v>257</v>
      </c>
      <c r="M61" s="78"/>
      <c r="N61" s="78"/>
      <c r="V61" s="34"/>
      <c r="W61" s="34"/>
      <c r="X61" s="34"/>
      <c r="Y61" s="34"/>
      <c r="Z61" s="34"/>
      <c r="AA61" s="34"/>
      <c r="AB61" s="34"/>
      <c r="AC61" s="34"/>
      <c r="AD61" s="34"/>
      <c r="AE61" s="34"/>
      <c r="AF61" s="34"/>
      <c r="AG61" s="34"/>
      <c r="AH61" s="34"/>
      <c r="AI61" s="34"/>
      <c r="AJ61" s="34"/>
      <c r="AK61" s="34"/>
      <c r="AL61" s="34"/>
      <c r="AM61" s="34"/>
      <c r="AN61" s="34"/>
      <c r="AO61" s="34"/>
      <c r="AP61" s="34"/>
      <c r="AQ61" s="34"/>
      <c r="AR61" s="34"/>
    </row>
    <row r="62" spans="1:44">
      <c r="A62" s="77" t="s">
        <v>258</v>
      </c>
      <c r="L62" s="78" t="s">
        <v>259</v>
      </c>
      <c r="V62" s="34"/>
      <c r="W62" s="34"/>
      <c r="X62" s="34"/>
      <c r="Y62" s="34"/>
      <c r="Z62" s="34"/>
      <c r="AA62" s="34"/>
      <c r="AB62" s="34"/>
      <c r="AC62" s="34"/>
      <c r="AD62" s="34"/>
      <c r="AE62" s="34"/>
      <c r="AF62" s="34"/>
      <c r="AG62" s="34"/>
      <c r="AH62" s="34"/>
      <c r="AI62" s="34"/>
      <c r="AJ62" s="34"/>
      <c r="AK62" s="34"/>
      <c r="AL62" s="34"/>
      <c r="AM62" s="34"/>
      <c r="AN62" s="34"/>
      <c r="AO62" s="34"/>
      <c r="AP62" s="34"/>
      <c r="AQ62" s="34"/>
      <c r="AR62" s="34"/>
    </row>
    <row r="63" spans="1:44">
      <c r="A63" s="77"/>
      <c r="L63" s="77"/>
    </row>
    <row r="66" spans="1:1">
      <c r="A66" s="35" t="s">
        <v>75</v>
      </c>
    </row>
    <row r="67" spans="1:1">
      <c r="A67" s="35" t="s">
        <v>76</v>
      </c>
    </row>
    <row r="68" spans="1:1">
      <c r="A68" s="35" t="s">
        <v>77</v>
      </c>
    </row>
  </sheetData>
  <mergeCells count="23">
    <mergeCell ref="A7:A8"/>
    <mergeCell ref="B7:E7"/>
    <mergeCell ref="F7:G8"/>
    <mergeCell ref="H7:I8"/>
    <mergeCell ref="J7:K8"/>
    <mergeCell ref="R7:S8"/>
    <mergeCell ref="T7:T10"/>
    <mergeCell ref="B8:C8"/>
    <mergeCell ref="D8:E8"/>
    <mergeCell ref="N9:O10"/>
    <mergeCell ref="P9:Q10"/>
    <mergeCell ref="R9:S10"/>
    <mergeCell ref="L7:M8"/>
    <mergeCell ref="L9:M10"/>
    <mergeCell ref="B10:C10"/>
    <mergeCell ref="D10:E10"/>
    <mergeCell ref="N7:O8"/>
    <mergeCell ref="P7:Q8"/>
    <mergeCell ref="A9:A11"/>
    <mergeCell ref="B9:E9"/>
    <mergeCell ref="F9:G10"/>
    <mergeCell ref="H9:I10"/>
    <mergeCell ref="J9:K10"/>
  </mergeCells>
  <conditionalFormatting sqref="B12:T21">
    <cfRule type="expression" dxfId="16" priority="2">
      <formula>Z12&lt;&gt;0</formula>
    </cfRule>
  </conditionalFormatting>
  <conditionalFormatting sqref="B22:T57">
    <cfRule type="expression" dxfId="15" priority="1">
      <formula>#REF!&lt;&gt;0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2D117-C028-46B4-8927-8F6B902976DC}">
  <sheetPr codeName="Tabelle23"/>
  <dimension ref="A1:T68"/>
  <sheetViews>
    <sheetView workbookViewId="0">
      <selection activeCell="A12" sqref="A12:T56"/>
    </sheetView>
  </sheetViews>
  <sheetFormatPr defaultColWidth="11.54296875" defaultRowHeight="12.5"/>
  <cols>
    <col min="1" max="1" width="8.7265625" style="4" customWidth="1"/>
    <col min="2" max="2" width="10.7265625" style="4" customWidth="1"/>
    <col min="3" max="3" width="7.7265625" style="4" customWidth="1"/>
    <col min="4" max="4" width="10.7265625" style="4" customWidth="1"/>
    <col min="5" max="5" width="7.7265625" style="4" customWidth="1"/>
    <col min="6" max="6" width="10.7265625" style="4" customWidth="1"/>
    <col min="7" max="7" width="7.7265625" style="4" customWidth="1"/>
    <col min="8" max="8" width="10.7265625" style="4" customWidth="1"/>
    <col min="9" max="9" width="7.7265625" style="4" customWidth="1"/>
    <col min="10" max="10" width="10.7265625" style="4" customWidth="1"/>
    <col min="11" max="11" width="7.7265625" style="4" customWidth="1"/>
    <col min="12" max="12" width="10.7265625" style="4" customWidth="1"/>
    <col min="13" max="13" width="7.7265625" style="4" customWidth="1"/>
    <col min="14" max="14" width="10.7265625" style="4" customWidth="1"/>
    <col min="15" max="15" width="7.7265625" style="4" customWidth="1"/>
    <col min="16" max="16" width="10.7265625" style="4" customWidth="1"/>
    <col min="17" max="17" width="7.7265625" style="4" customWidth="1"/>
    <col min="18" max="18" width="10.7265625" style="4" customWidth="1"/>
    <col min="19" max="19" width="7.7265625" style="4" customWidth="1"/>
    <col min="20" max="20" width="10.7265625" style="4" customWidth="1"/>
    <col min="21" max="16384" width="11.54296875" style="4"/>
  </cols>
  <sheetData>
    <row r="1" spans="1:20" ht="13">
      <c r="A1" s="3" t="s">
        <v>221</v>
      </c>
    </row>
    <row r="2" spans="1:20" ht="13">
      <c r="A2" s="3" t="s">
        <v>222</v>
      </c>
    </row>
    <row r="4" spans="1:20" ht="13">
      <c r="A4" s="3" t="s">
        <v>260</v>
      </c>
      <c r="T4" s="5" t="s">
        <v>261</v>
      </c>
    </row>
    <row r="5" spans="1:20" ht="13">
      <c r="A5" s="3" t="s">
        <v>262</v>
      </c>
      <c r="T5" s="5" t="s">
        <v>263</v>
      </c>
    </row>
    <row r="7" spans="1:20" ht="12" customHeight="1">
      <c r="A7" s="270" t="s">
        <v>55</v>
      </c>
      <c r="B7" s="270" t="s">
        <v>241</v>
      </c>
      <c r="C7" s="314"/>
      <c r="D7" s="314"/>
      <c r="E7" s="272"/>
      <c r="F7" s="270" t="s">
        <v>161</v>
      </c>
      <c r="G7" s="272"/>
      <c r="H7" s="270" t="s">
        <v>59</v>
      </c>
      <c r="I7" s="272"/>
      <c r="J7" s="270" t="s">
        <v>83</v>
      </c>
      <c r="K7" s="272"/>
      <c r="L7" s="270" t="s">
        <v>264</v>
      </c>
      <c r="M7" s="272"/>
      <c r="N7" s="270" t="s">
        <v>265</v>
      </c>
      <c r="O7" s="272"/>
      <c r="P7" s="270" t="s">
        <v>266</v>
      </c>
      <c r="Q7" s="272"/>
      <c r="R7" s="270" t="s">
        <v>196</v>
      </c>
      <c r="S7" s="272"/>
      <c r="T7" s="290" t="s">
        <v>229</v>
      </c>
    </row>
    <row r="8" spans="1:20" ht="12" customHeight="1">
      <c r="A8" s="271"/>
      <c r="B8" s="271" t="s">
        <v>61</v>
      </c>
      <c r="C8" s="273"/>
      <c r="D8" s="271" t="s">
        <v>230</v>
      </c>
      <c r="E8" s="273"/>
      <c r="F8" s="271"/>
      <c r="G8" s="273"/>
      <c r="H8" s="271"/>
      <c r="I8" s="273"/>
      <c r="J8" s="271"/>
      <c r="K8" s="273"/>
      <c r="L8" s="271"/>
      <c r="M8" s="273"/>
      <c r="N8" s="271"/>
      <c r="O8" s="273"/>
      <c r="P8" s="271"/>
      <c r="Q8" s="273"/>
      <c r="R8" s="271"/>
      <c r="S8" s="273"/>
      <c r="T8" s="300"/>
    </row>
    <row r="9" spans="1:20" ht="12" customHeight="1">
      <c r="A9" s="263" t="s">
        <v>62</v>
      </c>
      <c r="B9" s="263" t="s">
        <v>245</v>
      </c>
      <c r="C9" s="313"/>
      <c r="D9" s="313"/>
      <c r="E9" s="268"/>
      <c r="F9" s="263" t="s">
        <v>164</v>
      </c>
      <c r="G9" s="268"/>
      <c r="H9" s="263" t="s">
        <v>66</v>
      </c>
      <c r="I9" s="268"/>
      <c r="J9" s="263" t="s">
        <v>92</v>
      </c>
      <c r="K9" s="268"/>
      <c r="L9" s="263" t="s">
        <v>267</v>
      </c>
      <c r="M9" s="268"/>
      <c r="N9" s="263" t="s">
        <v>268</v>
      </c>
      <c r="O9" s="268"/>
      <c r="P9" s="263" t="s">
        <v>269</v>
      </c>
      <c r="Q9" s="268"/>
      <c r="R9" s="263" t="s">
        <v>206</v>
      </c>
      <c r="S9" s="268"/>
      <c r="T9" s="300"/>
    </row>
    <row r="10" spans="1:20" ht="12" customHeight="1">
      <c r="A10" s="297"/>
      <c r="B10" s="271" t="s">
        <v>61</v>
      </c>
      <c r="C10" s="273"/>
      <c r="D10" s="271" t="s">
        <v>233</v>
      </c>
      <c r="E10" s="273"/>
      <c r="F10" s="271"/>
      <c r="G10" s="273"/>
      <c r="H10" s="271"/>
      <c r="I10" s="273"/>
      <c r="J10" s="271"/>
      <c r="K10" s="273"/>
      <c r="L10" s="271"/>
      <c r="M10" s="273"/>
      <c r="N10" s="271"/>
      <c r="O10" s="273"/>
      <c r="P10" s="271"/>
      <c r="Q10" s="273"/>
      <c r="R10" s="271"/>
      <c r="S10" s="273"/>
      <c r="T10" s="291"/>
    </row>
    <row r="11" spans="1:20">
      <c r="A11" s="264"/>
      <c r="B11" s="56" t="s">
        <v>100</v>
      </c>
      <c r="C11" s="45" t="s">
        <v>138</v>
      </c>
      <c r="D11" s="56" t="s">
        <v>100</v>
      </c>
      <c r="E11" s="45" t="s">
        <v>138</v>
      </c>
      <c r="F11" s="56" t="s">
        <v>100</v>
      </c>
      <c r="G11" s="45" t="s">
        <v>138</v>
      </c>
      <c r="H11" s="56" t="s">
        <v>100</v>
      </c>
      <c r="I11" s="45" t="s">
        <v>138</v>
      </c>
      <c r="J11" s="56" t="s">
        <v>100</v>
      </c>
      <c r="K11" s="45" t="s">
        <v>138</v>
      </c>
      <c r="L11" s="56" t="s">
        <v>100</v>
      </c>
      <c r="M11" s="45" t="s">
        <v>138</v>
      </c>
      <c r="N11" s="56" t="s">
        <v>100</v>
      </c>
      <c r="O11" s="45" t="s">
        <v>138</v>
      </c>
      <c r="P11" s="56" t="s">
        <v>100</v>
      </c>
      <c r="Q11" s="45" t="s">
        <v>138</v>
      </c>
      <c r="R11" s="56" t="s">
        <v>100</v>
      </c>
      <c r="S11" s="45" t="s">
        <v>138</v>
      </c>
      <c r="T11" s="57" t="s">
        <v>100</v>
      </c>
    </row>
    <row r="12" spans="1:20">
      <c r="A12" s="19">
        <v>1980</v>
      </c>
      <c r="B12" s="59">
        <v>74860</v>
      </c>
      <c r="C12" s="58">
        <v>63.6</v>
      </c>
      <c r="D12" s="59">
        <v>73600</v>
      </c>
      <c r="E12" s="58">
        <v>62.5</v>
      </c>
      <c r="F12" s="59">
        <v>32560</v>
      </c>
      <c r="G12" s="58">
        <v>27.7</v>
      </c>
      <c r="H12" s="59">
        <v>4660</v>
      </c>
      <c r="I12" s="58">
        <v>4</v>
      </c>
      <c r="J12" s="59">
        <v>40</v>
      </c>
      <c r="K12" s="58">
        <v>0</v>
      </c>
      <c r="L12" s="59">
        <v>960</v>
      </c>
      <c r="M12" s="58">
        <v>0.8</v>
      </c>
      <c r="N12" s="59">
        <v>4620</v>
      </c>
      <c r="O12" s="58">
        <v>3.9</v>
      </c>
      <c r="P12" s="59" t="s">
        <v>68</v>
      </c>
      <c r="Q12" s="58" t="s">
        <v>68</v>
      </c>
      <c r="R12" s="59" t="s">
        <v>68</v>
      </c>
      <c r="S12" s="58" t="s">
        <v>68</v>
      </c>
      <c r="T12" s="63">
        <v>117700</v>
      </c>
    </row>
    <row r="13" spans="1:20">
      <c r="A13" s="19">
        <v>1981</v>
      </c>
      <c r="B13" s="59">
        <v>74000</v>
      </c>
      <c r="C13" s="58">
        <v>61.5</v>
      </c>
      <c r="D13" s="59">
        <v>72920</v>
      </c>
      <c r="E13" s="58">
        <v>60.6</v>
      </c>
      <c r="F13" s="59">
        <v>34470</v>
      </c>
      <c r="G13" s="58">
        <v>28.6</v>
      </c>
      <c r="H13" s="59">
        <v>5960</v>
      </c>
      <c r="I13" s="58">
        <v>5</v>
      </c>
      <c r="J13" s="59">
        <v>30</v>
      </c>
      <c r="K13" s="58">
        <v>0</v>
      </c>
      <c r="L13" s="59">
        <v>1050</v>
      </c>
      <c r="M13" s="58">
        <v>0.9</v>
      </c>
      <c r="N13" s="59">
        <v>4860</v>
      </c>
      <c r="O13" s="58">
        <v>4</v>
      </c>
      <c r="P13" s="59" t="s">
        <v>68</v>
      </c>
      <c r="Q13" s="58" t="s">
        <v>68</v>
      </c>
      <c r="R13" s="59" t="s">
        <v>68</v>
      </c>
      <c r="S13" s="58" t="s">
        <v>68</v>
      </c>
      <c r="T13" s="63">
        <v>120370</v>
      </c>
    </row>
    <row r="14" spans="1:20">
      <c r="A14" s="19">
        <v>1982</v>
      </c>
      <c r="B14" s="59">
        <v>66940</v>
      </c>
      <c r="C14" s="58">
        <v>57.7</v>
      </c>
      <c r="D14" s="59">
        <v>65920</v>
      </c>
      <c r="E14" s="58">
        <v>56.8</v>
      </c>
      <c r="F14" s="59">
        <v>36600</v>
      </c>
      <c r="G14" s="58">
        <v>31.5</v>
      </c>
      <c r="H14" s="59">
        <v>6920</v>
      </c>
      <c r="I14" s="58">
        <v>6</v>
      </c>
      <c r="J14" s="59">
        <v>40</v>
      </c>
      <c r="K14" s="58">
        <v>0</v>
      </c>
      <c r="L14" s="59">
        <v>1110</v>
      </c>
      <c r="M14" s="58">
        <v>1</v>
      </c>
      <c r="N14" s="59">
        <v>4450</v>
      </c>
      <c r="O14" s="58">
        <v>3.8</v>
      </c>
      <c r="P14" s="59" t="s">
        <v>68</v>
      </c>
      <c r="Q14" s="58" t="s">
        <v>68</v>
      </c>
      <c r="R14" s="59" t="s">
        <v>68</v>
      </c>
      <c r="S14" s="58" t="s">
        <v>68</v>
      </c>
      <c r="T14" s="63">
        <v>116060</v>
      </c>
    </row>
    <row r="15" spans="1:20">
      <c r="A15" s="19">
        <v>1983</v>
      </c>
      <c r="B15" s="59">
        <v>66990</v>
      </c>
      <c r="C15" s="58">
        <v>56</v>
      </c>
      <c r="D15" s="59">
        <v>65980</v>
      </c>
      <c r="E15" s="58">
        <v>55.2</v>
      </c>
      <c r="F15" s="59">
        <v>38340</v>
      </c>
      <c r="G15" s="58">
        <v>32.1</v>
      </c>
      <c r="H15" s="59">
        <v>8930</v>
      </c>
      <c r="I15" s="58">
        <v>7.5</v>
      </c>
      <c r="J15" s="59">
        <v>80</v>
      </c>
      <c r="K15" s="58">
        <v>0.1</v>
      </c>
      <c r="L15" s="59">
        <v>1120</v>
      </c>
      <c r="M15" s="58">
        <v>0.9</v>
      </c>
      <c r="N15" s="59">
        <v>4090</v>
      </c>
      <c r="O15" s="58">
        <v>3.4</v>
      </c>
      <c r="P15" s="59" t="s">
        <v>68</v>
      </c>
      <c r="Q15" s="58" t="s">
        <v>68</v>
      </c>
      <c r="R15" s="59" t="s">
        <v>68</v>
      </c>
      <c r="S15" s="58" t="s">
        <v>68</v>
      </c>
      <c r="T15" s="63">
        <v>119550</v>
      </c>
    </row>
    <row r="16" spans="1:20">
      <c r="A16" s="19">
        <v>1984</v>
      </c>
      <c r="B16" s="59">
        <v>72650</v>
      </c>
      <c r="C16" s="58">
        <v>57.5</v>
      </c>
      <c r="D16" s="59">
        <v>71700</v>
      </c>
      <c r="E16" s="58">
        <v>56.8</v>
      </c>
      <c r="F16" s="59">
        <v>38740</v>
      </c>
      <c r="G16" s="58">
        <v>30.7</v>
      </c>
      <c r="H16" s="59">
        <v>9510</v>
      </c>
      <c r="I16" s="58">
        <v>7.5</v>
      </c>
      <c r="J16" s="59">
        <v>40</v>
      </c>
      <c r="K16" s="58">
        <v>0</v>
      </c>
      <c r="L16" s="59">
        <v>1110</v>
      </c>
      <c r="M16" s="58">
        <v>0.9</v>
      </c>
      <c r="N16" s="59">
        <v>4270</v>
      </c>
      <c r="O16" s="58">
        <v>3.4</v>
      </c>
      <c r="P16" s="59" t="s">
        <v>68</v>
      </c>
      <c r="Q16" s="58" t="s">
        <v>68</v>
      </c>
      <c r="R16" s="59" t="s">
        <v>68</v>
      </c>
      <c r="S16" s="58" t="s">
        <v>68</v>
      </c>
      <c r="T16" s="63">
        <v>126320</v>
      </c>
    </row>
    <row r="17" spans="1:20">
      <c r="A17" s="19">
        <v>1985</v>
      </c>
      <c r="B17" s="59">
        <v>75450</v>
      </c>
      <c r="C17" s="58">
        <v>58.3</v>
      </c>
      <c r="D17" s="59">
        <v>73810</v>
      </c>
      <c r="E17" s="58">
        <v>57</v>
      </c>
      <c r="F17" s="59">
        <v>38370</v>
      </c>
      <c r="G17" s="58">
        <v>29.6</v>
      </c>
      <c r="H17" s="59">
        <v>9940</v>
      </c>
      <c r="I17" s="58">
        <v>7.7</v>
      </c>
      <c r="J17" s="59">
        <v>50</v>
      </c>
      <c r="K17" s="58">
        <v>0</v>
      </c>
      <c r="L17" s="59">
        <v>1150</v>
      </c>
      <c r="M17" s="58">
        <v>0.9</v>
      </c>
      <c r="N17" s="59">
        <v>4450</v>
      </c>
      <c r="O17" s="58">
        <v>3.4</v>
      </c>
      <c r="P17" s="59" t="s">
        <v>68</v>
      </c>
      <c r="Q17" s="58" t="s">
        <v>68</v>
      </c>
      <c r="R17" s="59" t="s">
        <v>68</v>
      </c>
      <c r="S17" s="58" t="s">
        <v>68</v>
      </c>
      <c r="T17" s="63">
        <v>129410</v>
      </c>
    </row>
    <row r="18" spans="1:20">
      <c r="A18" s="19">
        <v>1986</v>
      </c>
      <c r="B18" s="59">
        <v>70720</v>
      </c>
      <c r="C18" s="58">
        <v>55.8</v>
      </c>
      <c r="D18" s="59">
        <v>69230</v>
      </c>
      <c r="E18" s="58">
        <v>54.7</v>
      </c>
      <c r="F18" s="59">
        <v>39870</v>
      </c>
      <c r="G18" s="58">
        <v>31.5</v>
      </c>
      <c r="H18" s="59">
        <v>10570</v>
      </c>
      <c r="I18" s="58">
        <v>8.3000000000000007</v>
      </c>
      <c r="J18" s="59">
        <v>50</v>
      </c>
      <c r="K18" s="58">
        <v>0</v>
      </c>
      <c r="L18" s="59">
        <v>1140</v>
      </c>
      <c r="M18" s="58">
        <v>0.9</v>
      </c>
      <c r="N18" s="59">
        <v>4290</v>
      </c>
      <c r="O18" s="58">
        <v>3.4</v>
      </c>
      <c r="P18" s="59" t="s">
        <v>68</v>
      </c>
      <c r="Q18" s="58" t="s">
        <v>68</v>
      </c>
      <c r="R18" s="59" t="s">
        <v>68</v>
      </c>
      <c r="S18" s="58" t="s">
        <v>68</v>
      </c>
      <c r="T18" s="63">
        <v>126640</v>
      </c>
    </row>
    <row r="19" spans="1:20">
      <c r="A19" s="19">
        <v>1987</v>
      </c>
      <c r="B19" s="59">
        <v>67790</v>
      </c>
      <c r="C19" s="58">
        <v>52.5</v>
      </c>
      <c r="D19" s="59">
        <v>66360</v>
      </c>
      <c r="E19" s="58">
        <v>51.4</v>
      </c>
      <c r="F19" s="59">
        <v>41950</v>
      </c>
      <c r="G19" s="58">
        <v>32.5</v>
      </c>
      <c r="H19" s="59">
        <v>13520</v>
      </c>
      <c r="I19" s="58">
        <v>10.5</v>
      </c>
      <c r="J19" s="59">
        <v>40</v>
      </c>
      <c r="K19" s="58">
        <v>0</v>
      </c>
      <c r="L19" s="59">
        <v>1150</v>
      </c>
      <c r="M19" s="58">
        <v>0.9</v>
      </c>
      <c r="N19" s="59">
        <v>4720</v>
      </c>
      <c r="O19" s="58">
        <v>3.7</v>
      </c>
      <c r="P19" s="59" t="s">
        <v>68</v>
      </c>
      <c r="Q19" s="58" t="s">
        <v>68</v>
      </c>
      <c r="R19" s="59" t="s">
        <v>68</v>
      </c>
      <c r="S19" s="58" t="s">
        <v>68</v>
      </c>
      <c r="T19" s="63">
        <v>129170</v>
      </c>
    </row>
    <row r="20" spans="1:20">
      <c r="A20" s="19">
        <v>1988</v>
      </c>
      <c r="B20" s="59">
        <v>62180</v>
      </c>
      <c r="C20" s="58">
        <v>50.5</v>
      </c>
      <c r="D20" s="59">
        <v>60820</v>
      </c>
      <c r="E20" s="58">
        <v>49.4</v>
      </c>
      <c r="F20" s="59">
        <v>42130</v>
      </c>
      <c r="G20" s="58">
        <v>34.200000000000003</v>
      </c>
      <c r="H20" s="59">
        <v>13050</v>
      </c>
      <c r="I20" s="58">
        <v>10.6</v>
      </c>
      <c r="J20" s="59">
        <v>40</v>
      </c>
      <c r="K20" s="58">
        <v>0</v>
      </c>
      <c r="L20" s="59">
        <v>1160</v>
      </c>
      <c r="M20" s="58">
        <v>0.9</v>
      </c>
      <c r="N20" s="59">
        <v>4520</v>
      </c>
      <c r="O20" s="58">
        <v>3.7</v>
      </c>
      <c r="P20" s="59" t="s">
        <v>68</v>
      </c>
      <c r="Q20" s="58" t="s">
        <v>68</v>
      </c>
      <c r="R20" s="59" t="s">
        <v>68</v>
      </c>
      <c r="S20" s="58" t="s">
        <v>68</v>
      </c>
      <c r="T20" s="63">
        <v>123080</v>
      </c>
    </row>
    <row r="21" spans="1:20">
      <c r="A21" s="19">
        <v>1989</v>
      </c>
      <c r="B21" s="59">
        <v>57600</v>
      </c>
      <c r="C21" s="58">
        <v>47.5</v>
      </c>
      <c r="D21" s="59">
        <v>56320</v>
      </c>
      <c r="E21" s="58">
        <v>46.4</v>
      </c>
      <c r="F21" s="59">
        <v>43890</v>
      </c>
      <c r="G21" s="58">
        <v>36.200000000000003</v>
      </c>
      <c r="H21" s="59">
        <v>14100</v>
      </c>
      <c r="I21" s="58">
        <v>11.6</v>
      </c>
      <c r="J21" s="59">
        <v>40</v>
      </c>
      <c r="K21" s="58">
        <v>0</v>
      </c>
      <c r="L21" s="59">
        <v>1170</v>
      </c>
      <c r="M21" s="58">
        <v>1</v>
      </c>
      <c r="N21" s="59">
        <v>4510</v>
      </c>
      <c r="O21" s="58">
        <v>3.7</v>
      </c>
      <c r="P21" s="59" t="s">
        <v>68</v>
      </c>
      <c r="Q21" s="58" t="s">
        <v>68</v>
      </c>
      <c r="R21" s="59" t="s">
        <v>68</v>
      </c>
      <c r="S21" s="58" t="s">
        <v>68</v>
      </c>
      <c r="T21" s="63">
        <v>121310</v>
      </c>
    </row>
    <row r="22" spans="1:20">
      <c r="A22" s="19">
        <v>1990</v>
      </c>
      <c r="B22" s="59">
        <v>59380</v>
      </c>
      <c r="C22" s="58">
        <v>46.1</v>
      </c>
      <c r="D22" s="59">
        <v>57870</v>
      </c>
      <c r="E22" s="58">
        <v>44.9</v>
      </c>
      <c r="F22" s="59">
        <v>45620</v>
      </c>
      <c r="G22" s="58">
        <v>35.4</v>
      </c>
      <c r="H22" s="59">
        <v>15840</v>
      </c>
      <c r="I22" s="58">
        <v>12.3</v>
      </c>
      <c r="J22" s="59">
        <v>30</v>
      </c>
      <c r="K22" s="58">
        <v>0</v>
      </c>
      <c r="L22" s="59">
        <v>2640</v>
      </c>
      <c r="M22" s="58">
        <v>2</v>
      </c>
      <c r="N22" s="59">
        <v>4000</v>
      </c>
      <c r="O22" s="58">
        <v>3.1</v>
      </c>
      <c r="P22" s="59" t="s">
        <v>68</v>
      </c>
      <c r="Q22" s="58" t="s">
        <v>68</v>
      </c>
      <c r="R22" s="59">
        <v>1430</v>
      </c>
      <c r="S22" s="58">
        <v>1.1000000000000001</v>
      </c>
      <c r="T22" s="63">
        <v>128940</v>
      </c>
    </row>
    <row r="23" spans="1:20">
      <c r="A23" s="19">
        <v>1991</v>
      </c>
      <c r="B23" s="59">
        <v>64000</v>
      </c>
      <c r="C23" s="58">
        <v>46.5</v>
      </c>
      <c r="D23" s="59">
        <v>62210</v>
      </c>
      <c r="E23" s="58">
        <v>45.2</v>
      </c>
      <c r="F23" s="59">
        <v>46920</v>
      </c>
      <c r="G23" s="58">
        <v>34.1</v>
      </c>
      <c r="H23" s="59">
        <v>17370</v>
      </c>
      <c r="I23" s="58">
        <v>12.6</v>
      </c>
      <c r="J23" s="59">
        <v>30</v>
      </c>
      <c r="K23" s="58">
        <v>0</v>
      </c>
      <c r="L23" s="59">
        <v>3140</v>
      </c>
      <c r="M23" s="58">
        <v>2.2999999999999998</v>
      </c>
      <c r="N23" s="59">
        <v>4640</v>
      </c>
      <c r="O23" s="58">
        <v>3.4</v>
      </c>
      <c r="P23" s="59" t="s">
        <v>68</v>
      </c>
      <c r="Q23" s="58" t="s">
        <v>68</v>
      </c>
      <c r="R23" s="59">
        <v>1510</v>
      </c>
      <c r="S23" s="58">
        <v>1.1000000000000001</v>
      </c>
      <c r="T23" s="63">
        <v>137610</v>
      </c>
    </row>
    <row r="24" spans="1:20">
      <c r="A24" s="19">
        <v>1992</v>
      </c>
      <c r="B24" s="59">
        <v>63240</v>
      </c>
      <c r="C24" s="58">
        <v>45.6</v>
      </c>
      <c r="D24" s="59">
        <v>61650</v>
      </c>
      <c r="E24" s="58">
        <v>44.4</v>
      </c>
      <c r="F24" s="59">
        <v>48110</v>
      </c>
      <c r="G24" s="58">
        <v>34.700000000000003</v>
      </c>
      <c r="H24" s="59">
        <v>18080</v>
      </c>
      <c r="I24" s="58">
        <v>13</v>
      </c>
      <c r="J24" s="59">
        <v>20</v>
      </c>
      <c r="K24" s="58">
        <v>0</v>
      </c>
      <c r="L24" s="59">
        <v>3210</v>
      </c>
      <c r="M24" s="58">
        <v>2.2999999999999998</v>
      </c>
      <c r="N24" s="59">
        <v>4590</v>
      </c>
      <c r="O24" s="58">
        <v>3.3</v>
      </c>
      <c r="P24" s="59" t="s">
        <v>68</v>
      </c>
      <c r="Q24" s="58" t="s">
        <v>68</v>
      </c>
      <c r="R24" s="59">
        <v>1510</v>
      </c>
      <c r="S24" s="58">
        <v>1.1000000000000001</v>
      </c>
      <c r="T24" s="63">
        <v>138760</v>
      </c>
    </row>
    <row r="25" spans="1:20">
      <c r="A25" s="19">
        <v>1993</v>
      </c>
      <c r="B25" s="59">
        <v>61600</v>
      </c>
      <c r="C25" s="58">
        <v>44.8</v>
      </c>
      <c r="D25" s="59">
        <v>60080</v>
      </c>
      <c r="E25" s="58">
        <v>43.7</v>
      </c>
      <c r="F25" s="59">
        <v>48530</v>
      </c>
      <c r="G25" s="58">
        <v>35.299999999999997</v>
      </c>
      <c r="H25" s="59">
        <v>18330</v>
      </c>
      <c r="I25" s="58">
        <v>13.3</v>
      </c>
      <c r="J25" s="59">
        <v>20</v>
      </c>
      <c r="K25" s="58">
        <v>0</v>
      </c>
      <c r="L25" s="59">
        <v>3370</v>
      </c>
      <c r="M25" s="58">
        <v>2.4</v>
      </c>
      <c r="N25" s="59">
        <v>4220</v>
      </c>
      <c r="O25" s="58">
        <v>3.1</v>
      </c>
      <c r="P25" s="59" t="s">
        <v>68</v>
      </c>
      <c r="Q25" s="58" t="s">
        <v>68</v>
      </c>
      <c r="R25" s="59">
        <v>1570</v>
      </c>
      <c r="S25" s="58">
        <v>1.1000000000000001</v>
      </c>
      <c r="T25" s="63">
        <v>137640</v>
      </c>
    </row>
    <row r="26" spans="1:20">
      <c r="A26" s="19">
        <v>1994</v>
      </c>
      <c r="B26" s="59">
        <v>56650</v>
      </c>
      <c r="C26" s="58">
        <v>43</v>
      </c>
      <c r="D26" s="59">
        <v>55090</v>
      </c>
      <c r="E26" s="58">
        <v>41.8</v>
      </c>
      <c r="F26" s="59">
        <v>48490</v>
      </c>
      <c r="G26" s="58">
        <v>36.799999999999997</v>
      </c>
      <c r="H26" s="59">
        <v>17620</v>
      </c>
      <c r="I26" s="58">
        <v>13.4</v>
      </c>
      <c r="J26" s="59">
        <v>20</v>
      </c>
      <c r="K26" s="58">
        <v>0</v>
      </c>
      <c r="L26" s="59">
        <v>3320</v>
      </c>
      <c r="M26" s="58">
        <v>2.5</v>
      </c>
      <c r="N26" s="59">
        <v>4070</v>
      </c>
      <c r="O26" s="58">
        <v>3.1</v>
      </c>
      <c r="P26" s="59" t="s">
        <v>68</v>
      </c>
      <c r="Q26" s="58" t="s">
        <v>68</v>
      </c>
      <c r="R26" s="59">
        <v>1600</v>
      </c>
      <c r="S26" s="58">
        <v>1.2</v>
      </c>
      <c r="T26" s="63">
        <v>131770</v>
      </c>
    </row>
    <row r="27" spans="1:20">
      <c r="A27" s="19">
        <v>1995</v>
      </c>
      <c r="B27" s="59">
        <v>57030</v>
      </c>
      <c r="C27" s="58">
        <v>42.2</v>
      </c>
      <c r="D27" s="59">
        <v>55460</v>
      </c>
      <c r="E27" s="58">
        <v>41</v>
      </c>
      <c r="F27" s="59">
        <v>49550</v>
      </c>
      <c r="G27" s="58">
        <v>36.6</v>
      </c>
      <c r="H27" s="59">
        <v>18950</v>
      </c>
      <c r="I27" s="58">
        <v>14</v>
      </c>
      <c r="J27" s="59">
        <v>20</v>
      </c>
      <c r="K27" s="58">
        <v>0</v>
      </c>
      <c r="L27" s="59">
        <v>3750</v>
      </c>
      <c r="M27" s="58">
        <v>2.8</v>
      </c>
      <c r="N27" s="59">
        <v>4300</v>
      </c>
      <c r="O27" s="58">
        <v>3.2</v>
      </c>
      <c r="P27" s="59" t="s">
        <v>68</v>
      </c>
      <c r="Q27" s="58" t="s">
        <v>68</v>
      </c>
      <c r="R27" s="59">
        <v>1670</v>
      </c>
      <c r="S27" s="58">
        <v>1.2</v>
      </c>
      <c r="T27" s="63">
        <v>135270</v>
      </c>
    </row>
    <row r="28" spans="1:20">
      <c r="A28" s="19">
        <v>1996</v>
      </c>
      <c r="B28" s="59">
        <v>60830</v>
      </c>
      <c r="C28" s="58">
        <v>42.6</v>
      </c>
      <c r="D28" s="59">
        <v>59170</v>
      </c>
      <c r="E28" s="58">
        <v>41.5</v>
      </c>
      <c r="F28" s="59">
        <v>50710</v>
      </c>
      <c r="G28" s="58">
        <v>35.5</v>
      </c>
      <c r="H28" s="59">
        <v>20610</v>
      </c>
      <c r="I28" s="58">
        <v>14.4</v>
      </c>
      <c r="J28" s="59">
        <v>30</v>
      </c>
      <c r="K28" s="58">
        <v>0</v>
      </c>
      <c r="L28" s="59">
        <v>4260</v>
      </c>
      <c r="M28" s="58">
        <v>3</v>
      </c>
      <c r="N28" s="59">
        <v>4460</v>
      </c>
      <c r="O28" s="58">
        <v>3.1</v>
      </c>
      <c r="P28" s="59" t="s">
        <v>68</v>
      </c>
      <c r="Q28" s="58" t="s">
        <v>68</v>
      </c>
      <c r="R28" s="59">
        <v>1760</v>
      </c>
      <c r="S28" s="58">
        <v>1.2</v>
      </c>
      <c r="T28" s="63">
        <v>142660</v>
      </c>
    </row>
    <row r="29" spans="1:20">
      <c r="A29" s="19">
        <v>1997</v>
      </c>
      <c r="B29" s="59">
        <v>58730</v>
      </c>
      <c r="C29" s="58">
        <v>42.3</v>
      </c>
      <c r="D29" s="59">
        <v>56800</v>
      </c>
      <c r="E29" s="58">
        <v>40.9</v>
      </c>
      <c r="F29" s="59">
        <v>50980</v>
      </c>
      <c r="G29" s="58">
        <v>36.700000000000003</v>
      </c>
      <c r="H29" s="59">
        <v>19140</v>
      </c>
      <c r="I29" s="58">
        <v>13.8</v>
      </c>
      <c r="J29" s="59">
        <v>20</v>
      </c>
      <c r="K29" s="58">
        <v>0</v>
      </c>
      <c r="L29" s="59">
        <v>3880</v>
      </c>
      <c r="M29" s="58">
        <v>2.8</v>
      </c>
      <c r="N29" s="59">
        <v>4480</v>
      </c>
      <c r="O29" s="58">
        <v>3.2</v>
      </c>
      <c r="P29" s="59" t="s">
        <v>68</v>
      </c>
      <c r="Q29" s="58" t="s">
        <v>68</v>
      </c>
      <c r="R29" s="59">
        <v>1750</v>
      </c>
      <c r="S29" s="58">
        <v>1.3</v>
      </c>
      <c r="T29" s="63">
        <v>138980</v>
      </c>
    </row>
    <row r="30" spans="1:20">
      <c r="A30" s="19">
        <v>1998</v>
      </c>
      <c r="B30" s="59">
        <v>60560</v>
      </c>
      <c r="C30" s="58">
        <v>42.5</v>
      </c>
      <c r="D30" s="59">
        <v>58510</v>
      </c>
      <c r="E30" s="58">
        <v>41</v>
      </c>
      <c r="F30" s="59">
        <v>51900</v>
      </c>
      <c r="G30" s="58">
        <v>36.4</v>
      </c>
      <c r="H30" s="59">
        <v>19750</v>
      </c>
      <c r="I30" s="58">
        <v>13.8</v>
      </c>
      <c r="J30" s="59">
        <v>10</v>
      </c>
      <c r="K30" s="58">
        <v>0</v>
      </c>
      <c r="L30" s="59">
        <v>4040</v>
      </c>
      <c r="M30" s="58">
        <v>2.8</v>
      </c>
      <c r="N30" s="59">
        <v>4550</v>
      </c>
      <c r="O30" s="58">
        <v>3.2</v>
      </c>
      <c r="P30" s="59" t="s">
        <v>68</v>
      </c>
      <c r="Q30" s="58" t="s">
        <v>68</v>
      </c>
      <c r="R30" s="59">
        <v>1810</v>
      </c>
      <c r="S30" s="58">
        <v>1.3</v>
      </c>
      <c r="T30" s="63">
        <v>142620</v>
      </c>
    </row>
    <row r="31" spans="1:20">
      <c r="A31" s="19">
        <v>1999</v>
      </c>
      <c r="B31" s="59">
        <v>60070</v>
      </c>
      <c r="C31" s="58">
        <v>41.9</v>
      </c>
      <c r="D31" s="59">
        <v>57850</v>
      </c>
      <c r="E31" s="58">
        <v>40.4</v>
      </c>
      <c r="F31" s="59">
        <v>54470</v>
      </c>
      <c r="G31" s="58">
        <v>38</v>
      </c>
      <c r="H31" s="59">
        <v>20300</v>
      </c>
      <c r="I31" s="58">
        <v>14.2</v>
      </c>
      <c r="J31" s="59">
        <v>0</v>
      </c>
      <c r="K31" s="58">
        <v>0</v>
      </c>
      <c r="L31" s="59">
        <v>4160</v>
      </c>
      <c r="M31" s="58">
        <v>2.9</v>
      </c>
      <c r="N31" s="59">
        <v>2450</v>
      </c>
      <c r="O31" s="58">
        <v>1.7</v>
      </c>
      <c r="P31" s="59" t="s">
        <v>68</v>
      </c>
      <c r="Q31" s="58" t="s">
        <v>68</v>
      </c>
      <c r="R31" s="59">
        <v>1860</v>
      </c>
      <c r="S31" s="58">
        <v>1.3</v>
      </c>
      <c r="T31" s="63">
        <v>143310</v>
      </c>
    </row>
    <row r="32" spans="1:20">
      <c r="A32" s="19">
        <v>2000</v>
      </c>
      <c r="B32" s="59">
        <v>54520</v>
      </c>
      <c r="C32" s="58">
        <v>39.700000000000003</v>
      </c>
      <c r="D32" s="59">
        <v>52550</v>
      </c>
      <c r="E32" s="58">
        <v>38.299999999999997</v>
      </c>
      <c r="F32" s="59">
        <v>53140</v>
      </c>
      <c r="G32" s="58">
        <v>38.700000000000003</v>
      </c>
      <c r="H32" s="59">
        <v>20890</v>
      </c>
      <c r="I32" s="58">
        <v>15.2</v>
      </c>
      <c r="J32" s="59">
        <v>0</v>
      </c>
      <c r="K32" s="58">
        <v>0</v>
      </c>
      <c r="L32" s="59">
        <v>3970</v>
      </c>
      <c r="M32" s="58">
        <v>2.9</v>
      </c>
      <c r="N32" s="59">
        <v>2820</v>
      </c>
      <c r="O32" s="58">
        <v>2.1</v>
      </c>
      <c r="P32" s="59" t="s">
        <v>68</v>
      </c>
      <c r="Q32" s="58" t="s">
        <v>68</v>
      </c>
      <c r="R32" s="59">
        <v>1860</v>
      </c>
      <c r="S32" s="58">
        <v>1.4</v>
      </c>
      <c r="T32" s="63">
        <v>137200</v>
      </c>
    </row>
    <row r="33" spans="1:20">
      <c r="A33" s="19">
        <v>2001</v>
      </c>
      <c r="B33" s="59">
        <v>57610</v>
      </c>
      <c r="C33" s="58">
        <v>40</v>
      </c>
      <c r="D33" s="59">
        <v>55750</v>
      </c>
      <c r="E33" s="58">
        <v>38.700000000000003</v>
      </c>
      <c r="F33" s="59">
        <v>55530</v>
      </c>
      <c r="G33" s="58">
        <v>38.6</v>
      </c>
      <c r="H33" s="59">
        <v>21580</v>
      </c>
      <c r="I33" s="58">
        <v>15</v>
      </c>
      <c r="J33" s="59">
        <v>0</v>
      </c>
      <c r="K33" s="58">
        <v>0</v>
      </c>
      <c r="L33" s="59">
        <v>4320</v>
      </c>
      <c r="M33" s="58">
        <v>3</v>
      </c>
      <c r="N33" s="59">
        <v>2930</v>
      </c>
      <c r="O33" s="58">
        <v>2</v>
      </c>
      <c r="P33" s="59" t="s">
        <v>68</v>
      </c>
      <c r="Q33" s="58" t="s">
        <v>68</v>
      </c>
      <c r="R33" s="59">
        <v>1960</v>
      </c>
      <c r="S33" s="58">
        <v>1.4</v>
      </c>
      <c r="T33" s="63">
        <v>143930</v>
      </c>
    </row>
    <row r="34" spans="1:20">
      <c r="A34" s="19">
        <v>2002</v>
      </c>
      <c r="B34" s="59">
        <v>52550</v>
      </c>
      <c r="C34" s="58">
        <v>37.9</v>
      </c>
      <c r="D34" s="59">
        <v>50490</v>
      </c>
      <c r="E34" s="58">
        <v>36.4</v>
      </c>
      <c r="F34" s="59">
        <v>56040</v>
      </c>
      <c r="G34" s="58">
        <v>40.4</v>
      </c>
      <c r="H34" s="59">
        <v>21100</v>
      </c>
      <c r="I34" s="58">
        <v>15.2</v>
      </c>
      <c r="J34" s="59">
        <v>0</v>
      </c>
      <c r="K34" s="58">
        <v>0</v>
      </c>
      <c r="L34" s="59">
        <v>4190</v>
      </c>
      <c r="M34" s="58">
        <v>3</v>
      </c>
      <c r="N34" s="59">
        <v>2920</v>
      </c>
      <c r="O34" s="58">
        <v>2.1</v>
      </c>
      <c r="P34" s="59" t="s">
        <v>68</v>
      </c>
      <c r="Q34" s="58" t="s">
        <v>68</v>
      </c>
      <c r="R34" s="59">
        <v>1950</v>
      </c>
      <c r="S34" s="58">
        <v>1.4</v>
      </c>
      <c r="T34" s="63">
        <v>138750</v>
      </c>
    </row>
    <row r="35" spans="1:20">
      <c r="A35" s="19">
        <v>2003</v>
      </c>
      <c r="B35" s="59">
        <v>54390</v>
      </c>
      <c r="C35" s="58">
        <v>37.6</v>
      </c>
      <c r="D35" s="59">
        <v>52610</v>
      </c>
      <c r="E35" s="58">
        <v>36.299999999999997</v>
      </c>
      <c r="F35" s="59">
        <v>57520</v>
      </c>
      <c r="G35" s="58">
        <v>39.700000000000003</v>
      </c>
      <c r="H35" s="59">
        <v>22810</v>
      </c>
      <c r="I35" s="58">
        <v>15.7</v>
      </c>
      <c r="J35" s="59">
        <v>0</v>
      </c>
      <c r="K35" s="58">
        <v>0</v>
      </c>
      <c r="L35" s="59">
        <v>4620</v>
      </c>
      <c r="M35" s="58">
        <v>3.2</v>
      </c>
      <c r="N35" s="59">
        <v>3500</v>
      </c>
      <c r="O35" s="58">
        <v>2.4</v>
      </c>
      <c r="P35" s="59" t="s">
        <v>68</v>
      </c>
      <c r="Q35" s="58" t="s">
        <v>68</v>
      </c>
      <c r="R35" s="59">
        <v>1990</v>
      </c>
      <c r="S35" s="58">
        <v>1.4</v>
      </c>
      <c r="T35" s="63">
        <v>144830</v>
      </c>
    </row>
    <row r="36" spans="1:20">
      <c r="A36" s="19">
        <v>2004</v>
      </c>
      <c r="B36" s="59">
        <v>51510</v>
      </c>
      <c r="C36" s="58">
        <v>35.700000000000003</v>
      </c>
      <c r="D36" s="59">
        <v>49790</v>
      </c>
      <c r="E36" s="58">
        <v>34.5</v>
      </c>
      <c r="F36" s="59">
        <v>58600</v>
      </c>
      <c r="G36" s="58">
        <v>40.6</v>
      </c>
      <c r="H36" s="59">
        <v>23560</v>
      </c>
      <c r="I36" s="58">
        <v>16.3</v>
      </c>
      <c r="J36" s="59">
        <v>0</v>
      </c>
      <c r="K36" s="58">
        <v>0</v>
      </c>
      <c r="L36" s="59">
        <v>4810</v>
      </c>
      <c r="M36" s="58">
        <v>3.3</v>
      </c>
      <c r="N36" s="59">
        <v>3750</v>
      </c>
      <c r="O36" s="58">
        <v>2.6</v>
      </c>
      <c r="P36" s="59" t="s">
        <v>68</v>
      </c>
      <c r="Q36" s="58" t="s">
        <v>68</v>
      </c>
      <c r="R36" s="59">
        <v>2030</v>
      </c>
      <c r="S36" s="58">
        <v>1.4</v>
      </c>
      <c r="T36" s="63">
        <v>144260</v>
      </c>
    </row>
    <row r="37" spans="1:20">
      <c r="A37" s="19">
        <v>2005</v>
      </c>
      <c r="B37" s="59">
        <v>53760</v>
      </c>
      <c r="C37" s="58">
        <v>36.1</v>
      </c>
      <c r="D37" s="59">
        <v>52230</v>
      </c>
      <c r="E37" s="58">
        <v>35.1</v>
      </c>
      <c r="F37" s="59">
        <v>59850</v>
      </c>
      <c r="G37" s="58">
        <v>40.200000000000003</v>
      </c>
      <c r="H37" s="59">
        <v>24180</v>
      </c>
      <c r="I37" s="58">
        <v>16.3</v>
      </c>
      <c r="J37" s="59">
        <v>0</v>
      </c>
      <c r="K37" s="58">
        <v>0</v>
      </c>
      <c r="L37" s="59">
        <v>5190</v>
      </c>
      <c r="M37" s="58">
        <v>3.5</v>
      </c>
      <c r="N37" s="59">
        <v>3690</v>
      </c>
      <c r="O37" s="58">
        <v>2.5</v>
      </c>
      <c r="P37" s="59" t="s">
        <v>68</v>
      </c>
      <c r="Q37" s="58" t="s">
        <v>68</v>
      </c>
      <c r="R37" s="59">
        <v>2080</v>
      </c>
      <c r="S37" s="58">
        <v>1.4</v>
      </c>
      <c r="T37" s="63">
        <v>148750</v>
      </c>
    </row>
    <row r="38" spans="1:20">
      <c r="A38" s="19">
        <v>2006</v>
      </c>
      <c r="B38" s="59">
        <v>50230</v>
      </c>
      <c r="C38" s="58">
        <v>34.5</v>
      </c>
      <c r="D38" s="59">
        <v>48530</v>
      </c>
      <c r="E38" s="58">
        <v>33.299999999999997</v>
      </c>
      <c r="F38" s="59">
        <v>60360</v>
      </c>
      <c r="G38" s="58">
        <v>41.4</v>
      </c>
      <c r="H38" s="59">
        <v>23840</v>
      </c>
      <c r="I38" s="58">
        <v>16.399999999999999</v>
      </c>
      <c r="J38" s="59">
        <v>0</v>
      </c>
      <c r="K38" s="58">
        <v>0</v>
      </c>
      <c r="L38" s="59">
        <v>5620</v>
      </c>
      <c r="M38" s="58">
        <v>3.9</v>
      </c>
      <c r="N38" s="59">
        <v>3510</v>
      </c>
      <c r="O38" s="58">
        <v>2.4</v>
      </c>
      <c r="P38" s="59" t="s">
        <v>68</v>
      </c>
      <c r="Q38" s="58" t="s">
        <v>68</v>
      </c>
      <c r="R38" s="59">
        <v>2120</v>
      </c>
      <c r="S38" s="58">
        <v>1.5</v>
      </c>
      <c r="T38" s="63">
        <v>145680</v>
      </c>
    </row>
    <row r="39" spans="1:20">
      <c r="A39" s="19">
        <v>2007</v>
      </c>
      <c r="B39" s="59">
        <v>43790</v>
      </c>
      <c r="C39" s="58">
        <v>31.9</v>
      </c>
      <c r="D39" s="59">
        <v>42260</v>
      </c>
      <c r="E39" s="58">
        <v>30.8</v>
      </c>
      <c r="F39" s="59">
        <v>60170</v>
      </c>
      <c r="G39" s="58">
        <v>43.8</v>
      </c>
      <c r="H39" s="59">
        <v>22480</v>
      </c>
      <c r="I39" s="58">
        <v>16.399999999999999</v>
      </c>
      <c r="J39" s="59">
        <v>0</v>
      </c>
      <c r="K39" s="58">
        <v>0</v>
      </c>
      <c r="L39" s="59">
        <v>5530</v>
      </c>
      <c r="M39" s="58">
        <v>4</v>
      </c>
      <c r="N39" s="59">
        <v>3250</v>
      </c>
      <c r="O39" s="58">
        <v>2.4</v>
      </c>
      <c r="P39" s="59" t="s">
        <v>68</v>
      </c>
      <c r="Q39" s="58" t="s">
        <v>68</v>
      </c>
      <c r="R39" s="59">
        <v>2190</v>
      </c>
      <c r="S39" s="58">
        <v>1.6</v>
      </c>
      <c r="T39" s="63">
        <v>137410</v>
      </c>
    </row>
    <row r="40" spans="1:20">
      <c r="A40" s="19">
        <v>2008</v>
      </c>
      <c r="B40" s="59">
        <v>45930</v>
      </c>
      <c r="C40" s="58">
        <v>31.8</v>
      </c>
      <c r="D40" s="59">
        <v>44500</v>
      </c>
      <c r="E40" s="58">
        <v>30.8</v>
      </c>
      <c r="F40" s="59">
        <v>62010</v>
      </c>
      <c r="G40" s="58">
        <v>42.9</v>
      </c>
      <c r="H40" s="59">
        <v>24180</v>
      </c>
      <c r="I40" s="58">
        <v>16.7</v>
      </c>
      <c r="J40" s="59">
        <v>0</v>
      </c>
      <c r="K40" s="58">
        <v>0</v>
      </c>
      <c r="L40" s="59">
        <v>6600</v>
      </c>
      <c r="M40" s="58">
        <v>4.5999999999999996</v>
      </c>
      <c r="N40" s="59">
        <v>3530</v>
      </c>
      <c r="O40" s="58">
        <v>2.4</v>
      </c>
      <c r="P40" s="59" t="s">
        <v>68</v>
      </c>
      <c r="Q40" s="58" t="s">
        <v>68</v>
      </c>
      <c r="R40" s="59">
        <v>2360</v>
      </c>
      <c r="S40" s="58">
        <v>1.6</v>
      </c>
      <c r="T40" s="63">
        <v>144610</v>
      </c>
    </row>
    <row r="41" spans="1:20">
      <c r="A41" s="19">
        <v>2009</v>
      </c>
      <c r="B41" s="59">
        <v>43960</v>
      </c>
      <c r="C41" s="58">
        <v>30.8</v>
      </c>
      <c r="D41" s="59">
        <v>42430</v>
      </c>
      <c r="E41" s="58">
        <v>29.7</v>
      </c>
      <c r="F41" s="59">
        <v>61660</v>
      </c>
      <c r="G41" s="58">
        <v>43.2</v>
      </c>
      <c r="H41" s="59">
        <v>24040</v>
      </c>
      <c r="I41" s="58">
        <v>16.8</v>
      </c>
      <c r="J41" s="59">
        <v>0</v>
      </c>
      <c r="K41" s="58">
        <v>0</v>
      </c>
      <c r="L41" s="59">
        <v>7130</v>
      </c>
      <c r="M41" s="58">
        <v>5</v>
      </c>
      <c r="N41" s="59">
        <v>3540</v>
      </c>
      <c r="O41" s="58">
        <v>2.5</v>
      </c>
      <c r="P41" s="59" t="s">
        <v>68</v>
      </c>
      <c r="Q41" s="58" t="s">
        <v>68</v>
      </c>
      <c r="R41" s="59">
        <v>2470</v>
      </c>
      <c r="S41" s="58">
        <v>1.7</v>
      </c>
      <c r="T41" s="63">
        <v>142800</v>
      </c>
    </row>
    <row r="42" spans="1:20">
      <c r="A42" s="19">
        <v>2010</v>
      </c>
      <c r="B42" s="59">
        <v>46910</v>
      </c>
      <c r="C42" s="58">
        <v>30.8</v>
      </c>
      <c r="D42" s="59">
        <v>45510</v>
      </c>
      <c r="E42" s="58">
        <v>29.9</v>
      </c>
      <c r="F42" s="59">
        <v>63220</v>
      </c>
      <c r="G42" s="58">
        <v>41.5</v>
      </c>
      <c r="H42" s="59">
        <v>27160</v>
      </c>
      <c r="I42" s="58">
        <v>17.8</v>
      </c>
      <c r="J42" s="59">
        <v>0</v>
      </c>
      <c r="K42" s="58">
        <v>0</v>
      </c>
      <c r="L42" s="59">
        <v>8090</v>
      </c>
      <c r="M42" s="58">
        <v>5.3</v>
      </c>
      <c r="N42" s="59">
        <v>4070</v>
      </c>
      <c r="O42" s="58">
        <v>2.7</v>
      </c>
      <c r="P42" s="59" t="s">
        <v>68</v>
      </c>
      <c r="Q42" s="58" t="s">
        <v>68</v>
      </c>
      <c r="R42" s="59">
        <v>2730</v>
      </c>
      <c r="S42" s="58">
        <v>1.8</v>
      </c>
      <c r="T42" s="63">
        <v>152180</v>
      </c>
    </row>
    <row r="43" spans="1:20">
      <c r="A43" s="19">
        <v>2011</v>
      </c>
      <c r="B43" s="59">
        <v>37550</v>
      </c>
      <c r="C43" s="58">
        <v>27.7</v>
      </c>
      <c r="D43" s="59">
        <v>36170</v>
      </c>
      <c r="E43" s="58">
        <v>26.7</v>
      </c>
      <c r="F43" s="59">
        <v>62030</v>
      </c>
      <c r="G43" s="58">
        <v>45.7</v>
      </c>
      <c r="H43" s="59">
        <v>22620</v>
      </c>
      <c r="I43" s="58">
        <v>16.7</v>
      </c>
      <c r="J43" s="59">
        <v>0</v>
      </c>
      <c r="K43" s="58">
        <v>0</v>
      </c>
      <c r="L43" s="59">
        <v>7120</v>
      </c>
      <c r="M43" s="58">
        <v>5.2</v>
      </c>
      <c r="N43" s="59">
        <v>3660</v>
      </c>
      <c r="O43" s="58">
        <v>2.7</v>
      </c>
      <c r="P43" s="59" t="s">
        <v>68</v>
      </c>
      <c r="Q43" s="58" t="s">
        <v>68</v>
      </c>
      <c r="R43" s="59">
        <v>2700</v>
      </c>
      <c r="S43" s="58">
        <v>2</v>
      </c>
      <c r="T43" s="63">
        <v>135680</v>
      </c>
    </row>
    <row r="44" spans="1:20">
      <c r="A44" s="19">
        <v>2012</v>
      </c>
      <c r="B44" s="59">
        <v>40360</v>
      </c>
      <c r="C44" s="58">
        <v>28.1</v>
      </c>
      <c r="D44" s="59">
        <v>39030</v>
      </c>
      <c r="E44" s="58">
        <v>27.2</v>
      </c>
      <c r="F44" s="59">
        <v>62480</v>
      </c>
      <c r="G44" s="58">
        <v>43.5</v>
      </c>
      <c r="H44" s="59">
        <v>25950</v>
      </c>
      <c r="I44" s="58">
        <v>18.100000000000001</v>
      </c>
      <c r="J44" s="59">
        <v>0</v>
      </c>
      <c r="K44" s="58">
        <v>0</v>
      </c>
      <c r="L44" s="59">
        <v>8230</v>
      </c>
      <c r="M44" s="58">
        <v>5.7</v>
      </c>
      <c r="N44" s="59">
        <v>3720</v>
      </c>
      <c r="O44" s="58">
        <v>2.6</v>
      </c>
      <c r="P44" s="59" t="s">
        <v>68</v>
      </c>
      <c r="Q44" s="58" t="s">
        <v>68</v>
      </c>
      <c r="R44" s="59">
        <v>2930</v>
      </c>
      <c r="S44" s="58">
        <v>2</v>
      </c>
      <c r="T44" s="63">
        <v>143680</v>
      </c>
    </row>
    <row r="45" spans="1:20">
      <c r="A45" s="19">
        <v>2013</v>
      </c>
      <c r="B45" s="59">
        <v>42670</v>
      </c>
      <c r="C45" s="58">
        <v>28.4</v>
      </c>
      <c r="D45" s="59">
        <v>41330</v>
      </c>
      <c r="E45" s="58">
        <v>27.5</v>
      </c>
      <c r="F45" s="59">
        <v>62900</v>
      </c>
      <c r="G45" s="58">
        <v>41.9</v>
      </c>
      <c r="H45" s="59">
        <v>27970</v>
      </c>
      <c r="I45" s="58">
        <v>18.600000000000001</v>
      </c>
      <c r="J45" s="59">
        <v>0</v>
      </c>
      <c r="K45" s="58">
        <v>0</v>
      </c>
      <c r="L45" s="59">
        <v>9290</v>
      </c>
      <c r="M45" s="58">
        <v>6.2</v>
      </c>
      <c r="N45" s="59">
        <v>4320</v>
      </c>
      <c r="O45" s="58">
        <v>2.9</v>
      </c>
      <c r="P45" s="59" t="s">
        <v>68</v>
      </c>
      <c r="Q45" s="58" t="s">
        <v>68</v>
      </c>
      <c r="R45" s="59">
        <v>3100</v>
      </c>
      <c r="S45" s="58">
        <v>2.1</v>
      </c>
      <c r="T45" s="63">
        <v>150270</v>
      </c>
    </row>
    <row r="46" spans="1:20">
      <c r="A46" s="19">
        <v>2014</v>
      </c>
      <c r="B46" s="59">
        <v>32920</v>
      </c>
      <c r="C46" s="58">
        <v>25.1</v>
      </c>
      <c r="D46" s="59">
        <v>31740</v>
      </c>
      <c r="E46" s="58">
        <v>24.2</v>
      </c>
      <c r="F46" s="59">
        <v>60970</v>
      </c>
      <c r="G46" s="58">
        <v>46.5</v>
      </c>
      <c r="H46" s="59">
        <v>22680</v>
      </c>
      <c r="I46" s="58">
        <v>17.3</v>
      </c>
      <c r="J46" s="59">
        <v>0</v>
      </c>
      <c r="K46" s="58">
        <v>0</v>
      </c>
      <c r="L46" s="59">
        <v>7830</v>
      </c>
      <c r="M46" s="58">
        <v>6</v>
      </c>
      <c r="N46" s="59">
        <v>3610</v>
      </c>
      <c r="O46" s="58">
        <v>2.8</v>
      </c>
      <c r="P46" s="59">
        <v>170</v>
      </c>
      <c r="Q46" s="58">
        <v>0.1</v>
      </c>
      <c r="R46" s="59">
        <v>2970</v>
      </c>
      <c r="S46" s="58">
        <v>2.2999999999999998</v>
      </c>
      <c r="T46" s="63">
        <v>131150</v>
      </c>
    </row>
    <row r="47" spans="1:20">
      <c r="A47" s="19">
        <v>2015</v>
      </c>
      <c r="B47" s="59">
        <v>35030</v>
      </c>
      <c r="C47" s="58">
        <v>25.3</v>
      </c>
      <c r="D47" s="59">
        <v>33840</v>
      </c>
      <c r="E47" s="58">
        <v>24.4</v>
      </c>
      <c r="F47" s="59">
        <v>61870</v>
      </c>
      <c r="G47" s="58">
        <v>44.7</v>
      </c>
      <c r="H47" s="59">
        <v>25580</v>
      </c>
      <c r="I47" s="58">
        <v>18.5</v>
      </c>
      <c r="J47" s="59">
        <v>0</v>
      </c>
      <c r="K47" s="58">
        <v>0</v>
      </c>
      <c r="L47" s="59">
        <v>8700</v>
      </c>
      <c r="M47" s="58">
        <v>6.3</v>
      </c>
      <c r="N47" s="59">
        <v>3970</v>
      </c>
      <c r="O47" s="58">
        <v>2.9</v>
      </c>
      <c r="P47" s="59">
        <v>210</v>
      </c>
      <c r="Q47" s="58">
        <v>0.2</v>
      </c>
      <c r="R47" s="59">
        <v>3170</v>
      </c>
      <c r="S47" s="58">
        <v>2.2999999999999998</v>
      </c>
      <c r="T47" s="63">
        <v>138530</v>
      </c>
    </row>
    <row r="48" spans="1:20">
      <c r="A48" s="19">
        <v>2016</v>
      </c>
      <c r="B48" s="59">
        <v>35850</v>
      </c>
      <c r="C48" s="58">
        <v>25.2</v>
      </c>
      <c r="D48" s="59">
        <v>34850</v>
      </c>
      <c r="E48" s="58">
        <v>24.5</v>
      </c>
      <c r="F48" s="59">
        <v>61300</v>
      </c>
      <c r="G48" s="58">
        <v>43</v>
      </c>
      <c r="H48" s="59">
        <v>27120</v>
      </c>
      <c r="I48" s="58">
        <v>19</v>
      </c>
      <c r="J48" s="59">
        <v>0</v>
      </c>
      <c r="K48" s="58">
        <v>0</v>
      </c>
      <c r="L48" s="59">
        <v>9480</v>
      </c>
      <c r="M48" s="58">
        <v>6.7</v>
      </c>
      <c r="N48" s="59">
        <v>5120</v>
      </c>
      <c r="O48" s="58">
        <v>3.6</v>
      </c>
      <c r="P48" s="59">
        <v>250</v>
      </c>
      <c r="Q48" s="58">
        <v>0.2</v>
      </c>
      <c r="R48" s="59">
        <v>3340</v>
      </c>
      <c r="S48" s="58">
        <v>2.2999999999999998</v>
      </c>
      <c r="T48" s="63">
        <v>142460</v>
      </c>
    </row>
    <row r="49" spans="1:20">
      <c r="A49" s="19">
        <v>2017</v>
      </c>
      <c r="B49" s="59">
        <v>34060</v>
      </c>
      <c r="C49" s="58">
        <v>24.3</v>
      </c>
      <c r="D49" s="59">
        <v>32940</v>
      </c>
      <c r="E49" s="58">
        <v>23.5</v>
      </c>
      <c r="F49" s="59">
        <v>61320</v>
      </c>
      <c r="G49" s="58">
        <v>43.7</v>
      </c>
      <c r="H49" s="59">
        <v>26510</v>
      </c>
      <c r="I49" s="58">
        <v>18.899999999999999</v>
      </c>
      <c r="J49" s="59">
        <v>0</v>
      </c>
      <c r="K49" s="58">
        <v>0</v>
      </c>
      <c r="L49" s="59">
        <v>9600</v>
      </c>
      <c r="M49" s="58">
        <v>6.8</v>
      </c>
      <c r="N49" s="59">
        <v>5220</v>
      </c>
      <c r="O49" s="58">
        <v>3.7</v>
      </c>
      <c r="P49" s="59">
        <v>250</v>
      </c>
      <c r="Q49" s="58">
        <v>0.2</v>
      </c>
      <c r="R49" s="59">
        <v>3430</v>
      </c>
      <c r="S49" s="58">
        <v>2.4</v>
      </c>
      <c r="T49" s="63">
        <v>140390</v>
      </c>
    </row>
    <row r="50" spans="1:20">
      <c r="A50" s="19">
        <v>2018</v>
      </c>
      <c r="B50" s="59">
        <v>30670</v>
      </c>
      <c r="C50" s="58">
        <v>22.8</v>
      </c>
      <c r="D50" s="59">
        <v>29580</v>
      </c>
      <c r="E50" s="58">
        <v>22</v>
      </c>
      <c r="F50" s="59">
        <v>61140</v>
      </c>
      <c r="G50" s="58">
        <v>45.5</v>
      </c>
      <c r="H50" s="59">
        <v>24640</v>
      </c>
      <c r="I50" s="58">
        <v>18.3</v>
      </c>
      <c r="J50" s="59">
        <v>0</v>
      </c>
      <c r="K50" s="58">
        <v>0</v>
      </c>
      <c r="L50" s="59">
        <v>9180</v>
      </c>
      <c r="M50" s="58">
        <v>6.8</v>
      </c>
      <c r="N50" s="59">
        <v>4950</v>
      </c>
      <c r="O50" s="58">
        <v>3.7</v>
      </c>
      <c r="P50" s="59">
        <v>340</v>
      </c>
      <c r="Q50" s="58">
        <v>0.3</v>
      </c>
      <c r="R50" s="59">
        <v>3400</v>
      </c>
      <c r="S50" s="58">
        <v>2.5</v>
      </c>
      <c r="T50" s="63">
        <v>134320</v>
      </c>
    </row>
    <row r="51" spans="1:20">
      <c r="A51" s="19">
        <v>2019</v>
      </c>
      <c r="B51" s="59">
        <v>30210</v>
      </c>
      <c r="C51" s="58">
        <v>22.4</v>
      </c>
      <c r="D51" s="59">
        <v>29170</v>
      </c>
      <c r="E51" s="58">
        <v>21.6</v>
      </c>
      <c r="F51" s="59">
        <v>59850</v>
      </c>
      <c r="G51" s="58">
        <v>44.4</v>
      </c>
      <c r="H51" s="59">
        <v>25860</v>
      </c>
      <c r="I51" s="58">
        <v>19.2</v>
      </c>
      <c r="J51" s="59">
        <v>0</v>
      </c>
      <c r="K51" s="58">
        <v>0</v>
      </c>
      <c r="L51" s="59">
        <v>9470</v>
      </c>
      <c r="M51" s="58">
        <v>7</v>
      </c>
      <c r="N51" s="59">
        <v>5580</v>
      </c>
      <c r="O51" s="58">
        <v>4.0999999999999996</v>
      </c>
      <c r="P51" s="59">
        <v>330</v>
      </c>
      <c r="Q51" s="58">
        <v>0.2</v>
      </c>
      <c r="R51" s="59">
        <v>3580</v>
      </c>
      <c r="S51" s="58">
        <v>2.7</v>
      </c>
      <c r="T51" s="63">
        <v>134880</v>
      </c>
    </row>
    <row r="52" spans="1:20">
      <c r="A52" s="19">
        <v>2020</v>
      </c>
      <c r="B52" s="59">
        <v>27600</v>
      </c>
      <c r="C52" s="58">
        <v>21.5</v>
      </c>
      <c r="D52" s="59">
        <v>26600</v>
      </c>
      <c r="E52" s="58">
        <v>20.8</v>
      </c>
      <c r="F52" s="59">
        <v>57180</v>
      </c>
      <c r="G52" s="58">
        <v>44.6</v>
      </c>
      <c r="H52" s="59">
        <v>24960</v>
      </c>
      <c r="I52" s="58">
        <v>19.5</v>
      </c>
      <c r="J52" s="59">
        <v>0</v>
      </c>
      <c r="K52" s="58">
        <v>0</v>
      </c>
      <c r="L52" s="59">
        <v>9200</v>
      </c>
      <c r="M52" s="58">
        <v>7.2</v>
      </c>
      <c r="N52" s="59">
        <v>5090</v>
      </c>
      <c r="O52" s="58">
        <v>4</v>
      </c>
      <c r="P52" s="59">
        <v>280</v>
      </c>
      <c r="Q52" s="58">
        <v>0.2</v>
      </c>
      <c r="R52" s="59">
        <v>3820</v>
      </c>
      <c r="S52" s="58">
        <v>3</v>
      </c>
      <c r="T52" s="63">
        <v>128130</v>
      </c>
    </row>
    <row r="53" spans="1:20">
      <c r="A53" s="19">
        <v>2021</v>
      </c>
      <c r="B53" s="59">
        <v>31070</v>
      </c>
      <c r="C53" s="58">
        <v>22.7</v>
      </c>
      <c r="D53" s="59">
        <v>30030</v>
      </c>
      <c r="E53" s="58">
        <v>22</v>
      </c>
      <c r="F53" s="59">
        <v>58440</v>
      </c>
      <c r="G53" s="58">
        <v>42.8</v>
      </c>
      <c r="H53" s="59">
        <v>26170</v>
      </c>
      <c r="I53" s="58">
        <v>19.2</v>
      </c>
      <c r="J53" s="59">
        <v>0</v>
      </c>
      <c r="K53" s="58">
        <v>0</v>
      </c>
      <c r="L53" s="59">
        <v>10840</v>
      </c>
      <c r="M53" s="58">
        <v>7.9</v>
      </c>
      <c r="N53" s="59">
        <v>5630</v>
      </c>
      <c r="O53" s="58">
        <v>4.0999999999999996</v>
      </c>
      <c r="P53" s="59">
        <v>280</v>
      </c>
      <c r="Q53" s="58">
        <v>0.2</v>
      </c>
      <c r="R53" s="59">
        <v>4200</v>
      </c>
      <c r="S53" s="58">
        <v>3.1</v>
      </c>
      <c r="T53" s="63">
        <v>136630</v>
      </c>
    </row>
    <row r="54" spans="1:20">
      <c r="A54" s="19">
        <v>2022</v>
      </c>
      <c r="B54" s="59">
        <v>25730</v>
      </c>
      <c r="C54" s="58">
        <v>21</v>
      </c>
      <c r="D54" s="59">
        <v>24690</v>
      </c>
      <c r="E54" s="58">
        <v>20.100000000000001</v>
      </c>
      <c r="F54" s="59">
        <v>57880</v>
      </c>
      <c r="G54" s="58">
        <v>47.2</v>
      </c>
      <c r="H54" s="59">
        <v>20130</v>
      </c>
      <c r="I54" s="58">
        <v>16.399999999999999</v>
      </c>
      <c r="J54" s="59">
        <v>0</v>
      </c>
      <c r="K54" s="58">
        <v>0</v>
      </c>
      <c r="L54" s="59">
        <v>9520</v>
      </c>
      <c r="M54" s="58">
        <v>7.8</v>
      </c>
      <c r="N54" s="59">
        <v>5070</v>
      </c>
      <c r="O54" s="58">
        <v>4.0999999999999996</v>
      </c>
      <c r="P54" s="59">
        <v>270</v>
      </c>
      <c r="Q54" s="58">
        <v>0.2</v>
      </c>
      <c r="R54" s="59">
        <v>4070</v>
      </c>
      <c r="S54" s="58">
        <v>3.3</v>
      </c>
      <c r="T54" s="63">
        <v>122670</v>
      </c>
    </row>
    <row r="55" spans="1:20">
      <c r="A55" s="19">
        <v>2023</v>
      </c>
      <c r="B55" s="59">
        <v>25660</v>
      </c>
      <c r="C55" s="58">
        <v>21.2</v>
      </c>
      <c r="D55" s="59">
        <v>24590</v>
      </c>
      <c r="E55" s="58">
        <v>20.3</v>
      </c>
      <c r="F55" s="59">
        <v>57730</v>
      </c>
      <c r="G55" s="58">
        <v>47.6</v>
      </c>
      <c r="H55" s="59">
        <v>18580</v>
      </c>
      <c r="I55" s="58">
        <v>15.3</v>
      </c>
      <c r="J55" s="59">
        <v>0</v>
      </c>
      <c r="K55" s="58">
        <v>0</v>
      </c>
      <c r="L55" s="59">
        <v>10110</v>
      </c>
      <c r="M55" s="58">
        <v>8.3000000000000007</v>
      </c>
      <c r="N55" s="59">
        <v>4570</v>
      </c>
      <c r="O55" s="58">
        <v>3.8</v>
      </c>
      <c r="P55" s="59">
        <v>280</v>
      </c>
      <c r="Q55" s="58">
        <v>0.2</v>
      </c>
      <c r="R55" s="59">
        <v>4300</v>
      </c>
      <c r="S55" s="58">
        <v>3.5</v>
      </c>
      <c r="T55" s="63">
        <v>121230</v>
      </c>
    </row>
    <row r="56" spans="1:20" ht="13">
      <c r="A56" s="48">
        <v>2024</v>
      </c>
      <c r="B56" s="69">
        <v>25090</v>
      </c>
      <c r="C56" s="70">
        <v>20.6</v>
      </c>
      <c r="D56" s="69">
        <v>24120</v>
      </c>
      <c r="E56" s="70">
        <v>19.8</v>
      </c>
      <c r="F56" s="69">
        <v>58190</v>
      </c>
      <c r="G56" s="70">
        <v>47.7</v>
      </c>
      <c r="H56" s="69">
        <v>19210</v>
      </c>
      <c r="I56" s="70">
        <v>15.8</v>
      </c>
      <c r="J56" s="69">
        <v>0</v>
      </c>
      <c r="K56" s="70">
        <v>0</v>
      </c>
      <c r="L56" s="69">
        <v>9700</v>
      </c>
      <c r="M56" s="70">
        <v>8</v>
      </c>
      <c r="N56" s="69">
        <v>4890</v>
      </c>
      <c r="O56" s="70">
        <v>4</v>
      </c>
      <c r="P56" s="69">
        <v>350</v>
      </c>
      <c r="Q56" s="70">
        <v>0.3</v>
      </c>
      <c r="R56" s="69">
        <v>4470</v>
      </c>
      <c r="S56" s="70">
        <v>3.7</v>
      </c>
      <c r="T56" s="71">
        <v>121900</v>
      </c>
    </row>
    <row r="57" spans="1:20" ht="13">
      <c r="A57" s="31"/>
      <c r="B57" s="32"/>
      <c r="C57" s="76"/>
      <c r="D57" s="32"/>
      <c r="E57" s="76"/>
      <c r="F57" s="32"/>
      <c r="G57" s="76"/>
      <c r="H57" s="32"/>
      <c r="I57" s="76"/>
      <c r="J57" s="32"/>
      <c r="K57" s="76"/>
      <c r="L57" s="32"/>
      <c r="M57" s="76"/>
      <c r="N57" s="32"/>
      <c r="O57" s="76"/>
      <c r="P57" s="32"/>
      <c r="Q57" s="76"/>
      <c r="R57" s="32"/>
      <c r="S57" s="76"/>
      <c r="T57" s="32"/>
    </row>
    <row r="58" spans="1:20">
      <c r="A58" s="77" t="s">
        <v>270</v>
      </c>
      <c r="B58" s="77"/>
      <c r="C58" s="77"/>
      <c r="D58" s="77"/>
      <c r="E58" s="77"/>
      <c r="F58" s="77"/>
      <c r="G58" s="77"/>
      <c r="H58" s="77"/>
      <c r="I58" s="77"/>
      <c r="J58" s="77"/>
      <c r="K58" s="77"/>
      <c r="L58" s="77" t="s">
        <v>271</v>
      </c>
      <c r="M58" s="77"/>
      <c r="N58" s="77"/>
      <c r="O58" s="77"/>
      <c r="P58" s="77"/>
      <c r="Q58" s="77"/>
      <c r="R58" s="77"/>
      <c r="S58" s="77"/>
      <c r="T58" s="77"/>
    </row>
    <row r="59" spans="1:20" ht="12.75" customHeight="1">
      <c r="A59" s="77" t="s">
        <v>272</v>
      </c>
      <c r="B59" s="78"/>
      <c r="C59" s="78"/>
      <c r="D59" s="78"/>
      <c r="E59" s="78"/>
      <c r="F59" s="78"/>
      <c r="G59" s="78"/>
      <c r="L59" s="77" t="s">
        <v>273</v>
      </c>
      <c r="M59" s="78"/>
      <c r="N59" s="78"/>
      <c r="O59" s="78"/>
      <c r="P59" s="78"/>
    </row>
    <row r="60" spans="1:20" ht="12.75" customHeight="1">
      <c r="A60" s="77" t="s">
        <v>274</v>
      </c>
      <c r="B60" s="78"/>
      <c r="C60" s="78"/>
      <c r="D60" s="78"/>
      <c r="E60" s="78"/>
      <c r="F60" s="78"/>
      <c r="G60" s="78"/>
      <c r="L60" s="77" t="s">
        <v>275</v>
      </c>
      <c r="M60" s="78"/>
      <c r="N60" s="78"/>
    </row>
    <row r="61" spans="1:20">
      <c r="A61" s="77" t="s">
        <v>276</v>
      </c>
      <c r="B61" s="78"/>
      <c r="C61" s="78"/>
      <c r="D61" s="78"/>
      <c r="E61" s="78"/>
      <c r="F61" s="78"/>
      <c r="G61" s="78"/>
      <c r="L61" s="77" t="s">
        <v>277</v>
      </c>
      <c r="M61" s="78"/>
      <c r="N61" s="78"/>
      <c r="O61" s="78"/>
      <c r="P61" s="78"/>
    </row>
    <row r="62" spans="1:20">
      <c r="A62" s="77"/>
      <c r="L62" s="77"/>
    </row>
    <row r="63" spans="1:20">
      <c r="A63" s="77"/>
      <c r="L63" s="77"/>
    </row>
    <row r="66" spans="1:1">
      <c r="A66" s="35" t="s">
        <v>75</v>
      </c>
    </row>
    <row r="67" spans="1:1">
      <c r="A67" s="35" t="s">
        <v>76</v>
      </c>
    </row>
    <row r="68" spans="1:1">
      <c r="A68" s="35" t="s">
        <v>77</v>
      </c>
    </row>
  </sheetData>
  <mergeCells count="23">
    <mergeCell ref="A7:A8"/>
    <mergeCell ref="B7:E7"/>
    <mergeCell ref="F7:G8"/>
    <mergeCell ref="H7:I8"/>
    <mergeCell ref="J7:K8"/>
    <mergeCell ref="R7:S8"/>
    <mergeCell ref="T7:T10"/>
    <mergeCell ref="B8:C8"/>
    <mergeCell ref="D8:E8"/>
    <mergeCell ref="N9:O10"/>
    <mergeCell ref="P9:Q10"/>
    <mergeCell ref="R9:S10"/>
    <mergeCell ref="L7:M8"/>
    <mergeCell ref="L9:M10"/>
    <mergeCell ref="B10:C10"/>
    <mergeCell ref="D10:E10"/>
    <mergeCell ref="N7:O8"/>
    <mergeCell ref="P7:Q8"/>
    <mergeCell ref="A9:A11"/>
    <mergeCell ref="B9:E9"/>
    <mergeCell ref="F9:G10"/>
    <mergeCell ref="H9:I10"/>
    <mergeCell ref="J9:K10"/>
  </mergeCells>
  <conditionalFormatting sqref="B12:T43">
    <cfRule type="expression" dxfId="14" priority="3">
      <formula>Z12&lt;&gt;0</formula>
    </cfRule>
  </conditionalFormatting>
  <conditionalFormatting sqref="B44:T56">
    <cfRule type="expression" dxfId="13" priority="1">
      <formula>#REF!&lt;&gt;0</formula>
    </cfRule>
  </conditionalFormatting>
  <conditionalFormatting sqref="B57:T57">
    <cfRule type="expression" dxfId="12" priority="2">
      <formula>Z57&lt;&gt;0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5D9A3-A407-4D05-8481-A1E2B91DDDDF}">
  <sheetPr codeName="Tabelle24"/>
  <dimension ref="A1:T68"/>
  <sheetViews>
    <sheetView workbookViewId="0">
      <selection activeCell="A12" sqref="A12:T56"/>
    </sheetView>
  </sheetViews>
  <sheetFormatPr defaultColWidth="11.54296875" defaultRowHeight="12.5"/>
  <cols>
    <col min="1" max="1" width="8.7265625" style="4" customWidth="1"/>
    <col min="2" max="2" width="10.7265625" style="4" customWidth="1"/>
    <col min="3" max="3" width="7.7265625" style="4" customWidth="1"/>
    <col min="4" max="4" width="10.7265625" style="4" customWidth="1"/>
    <col min="5" max="5" width="7.7265625" style="4" customWidth="1"/>
    <col min="6" max="6" width="10.7265625" style="4" customWidth="1"/>
    <col min="7" max="7" width="7.7265625" style="4" customWidth="1"/>
    <col min="8" max="8" width="10.7265625" style="4" customWidth="1"/>
    <col min="9" max="9" width="7.7265625" style="4" customWidth="1"/>
    <col min="10" max="10" width="10.7265625" style="4" customWidth="1"/>
    <col min="11" max="11" width="7.7265625" style="4" customWidth="1"/>
    <col min="12" max="12" width="10.7265625" style="4" customWidth="1"/>
    <col min="13" max="13" width="7.7265625" style="4" customWidth="1"/>
    <col min="14" max="14" width="10.7265625" style="4" customWidth="1"/>
    <col min="15" max="15" width="7.7265625" style="4" customWidth="1"/>
    <col min="16" max="16" width="10.7265625" style="4" customWidth="1"/>
    <col min="17" max="17" width="7.7265625" style="4" customWidth="1"/>
    <col min="18" max="18" width="10.7265625" style="4" customWidth="1"/>
    <col min="19" max="19" width="7.7265625" style="4" customWidth="1"/>
    <col min="20" max="20" width="10.7265625" style="4" customWidth="1"/>
    <col min="21" max="16384" width="11.54296875" style="4"/>
  </cols>
  <sheetData>
    <row r="1" spans="1:20" ht="13">
      <c r="A1" s="3" t="s">
        <v>221</v>
      </c>
    </row>
    <row r="2" spans="1:20" ht="13">
      <c r="A2" s="3" t="s">
        <v>222</v>
      </c>
    </row>
    <row r="4" spans="1:20" ht="13">
      <c r="A4" s="3" t="s">
        <v>278</v>
      </c>
      <c r="T4" s="5" t="s">
        <v>279</v>
      </c>
    </row>
    <row r="5" spans="1:20" ht="13">
      <c r="A5" s="3" t="s">
        <v>280</v>
      </c>
      <c r="T5" s="5" t="s">
        <v>281</v>
      </c>
    </row>
    <row r="7" spans="1:20" ht="12" customHeight="1">
      <c r="A7" s="270" t="s">
        <v>55</v>
      </c>
      <c r="B7" s="270" t="s">
        <v>241</v>
      </c>
      <c r="C7" s="314"/>
      <c r="D7" s="314"/>
      <c r="E7" s="272"/>
      <c r="F7" s="270" t="s">
        <v>161</v>
      </c>
      <c r="G7" s="272"/>
      <c r="H7" s="270" t="s">
        <v>59</v>
      </c>
      <c r="I7" s="272"/>
      <c r="J7" s="270" t="s">
        <v>83</v>
      </c>
      <c r="K7" s="272"/>
      <c r="L7" s="270" t="s">
        <v>242</v>
      </c>
      <c r="M7" s="272"/>
      <c r="N7" s="270" t="s">
        <v>177</v>
      </c>
      <c r="O7" s="272"/>
      <c r="P7" s="270" t="s">
        <v>227</v>
      </c>
      <c r="Q7" s="272"/>
      <c r="R7" s="270" t="s">
        <v>196</v>
      </c>
      <c r="S7" s="272"/>
      <c r="T7" s="290" t="s">
        <v>229</v>
      </c>
    </row>
    <row r="8" spans="1:20" ht="12" customHeight="1">
      <c r="A8" s="271"/>
      <c r="B8" s="271" t="s">
        <v>61</v>
      </c>
      <c r="C8" s="273"/>
      <c r="D8" s="271" t="s">
        <v>282</v>
      </c>
      <c r="E8" s="273"/>
      <c r="F8" s="271"/>
      <c r="G8" s="273"/>
      <c r="H8" s="271"/>
      <c r="I8" s="273"/>
      <c r="J8" s="271"/>
      <c r="K8" s="273"/>
      <c r="L8" s="271"/>
      <c r="M8" s="273"/>
      <c r="N8" s="271"/>
      <c r="O8" s="273"/>
      <c r="P8" s="271"/>
      <c r="Q8" s="273"/>
      <c r="R8" s="271"/>
      <c r="S8" s="273"/>
      <c r="T8" s="300"/>
    </row>
    <row r="9" spans="1:20" ht="12" customHeight="1">
      <c r="A9" s="263" t="s">
        <v>62</v>
      </c>
      <c r="B9" s="263" t="s">
        <v>245</v>
      </c>
      <c r="C9" s="313"/>
      <c r="D9" s="313"/>
      <c r="E9" s="268"/>
      <c r="F9" s="263" t="s">
        <v>164</v>
      </c>
      <c r="G9" s="268"/>
      <c r="H9" s="263" t="s">
        <v>66</v>
      </c>
      <c r="I9" s="268"/>
      <c r="J9" s="263" t="s">
        <v>92</v>
      </c>
      <c r="K9" s="268"/>
      <c r="L9" s="263" t="s">
        <v>246</v>
      </c>
      <c r="M9" s="268"/>
      <c r="N9" s="263" t="s">
        <v>182</v>
      </c>
      <c r="O9" s="268"/>
      <c r="P9" s="263" t="s">
        <v>231</v>
      </c>
      <c r="Q9" s="268"/>
      <c r="R9" s="263" t="s">
        <v>206</v>
      </c>
      <c r="S9" s="268"/>
      <c r="T9" s="300"/>
    </row>
    <row r="10" spans="1:20" ht="12" customHeight="1">
      <c r="A10" s="297"/>
      <c r="B10" s="271" t="s">
        <v>61</v>
      </c>
      <c r="C10" s="273"/>
      <c r="D10" s="271" t="s">
        <v>283</v>
      </c>
      <c r="E10" s="273"/>
      <c r="F10" s="271"/>
      <c r="G10" s="273"/>
      <c r="H10" s="271"/>
      <c r="I10" s="273"/>
      <c r="J10" s="271"/>
      <c r="K10" s="273"/>
      <c r="L10" s="271"/>
      <c r="M10" s="273"/>
      <c r="N10" s="271"/>
      <c r="O10" s="273"/>
      <c r="P10" s="271"/>
      <c r="Q10" s="273"/>
      <c r="R10" s="271"/>
      <c r="S10" s="273"/>
      <c r="T10" s="291"/>
    </row>
    <row r="11" spans="1:20">
      <c r="A11" s="264"/>
      <c r="B11" s="56" t="s">
        <v>100</v>
      </c>
      <c r="C11" s="45" t="s">
        <v>138</v>
      </c>
      <c r="D11" s="56" t="s">
        <v>100</v>
      </c>
      <c r="E11" s="45" t="s">
        <v>138</v>
      </c>
      <c r="F11" s="56" t="s">
        <v>100</v>
      </c>
      <c r="G11" s="45" t="s">
        <v>138</v>
      </c>
      <c r="H11" s="56" t="s">
        <v>100</v>
      </c>
      <c r="I11" s="45" t="s">
        <v>138</v>
      </c>
      <c r="J11" s="56" t="s">
        <v>100</v>
      </c>
      <c r="K11" s="45" t="s">
        <v>138</v>
      </c>
      <c r="L11" s="56" t="s">
        <v>100</v>
      </c>
      <c r="M11" s="45" t="s">
        <v>138</v>
      </c>
      <c r="N11" s="56" t="s">
        <v>100</v>
      </c>
      <c r="O11" s="45" t="s">
        <v>138</v>
      </c>
      <c r="P11" s="56" t="s">
        <v>100</v>
      </c>
      <c r="Q11" s="45" t="s">
        <v>138</v>
      </c>
      <c r="R11" s="56" t="s">
        <v>100</v>
      </c>
      <c r="S11" s="45" t="s">
        <v>138</v>
      </c>
      <c r="T11" s="57" t="s">
        <v>100</v>
      </c>
    </row>
    <row r="12" spans="1:20">
      <c r="A12" s="19">
        <v>1980</v>
      </c>
      <c r="B12" s="59">
        <v>3890</v>
      </c>
      <c r="C12" s="58">
        <v>52.7</v>
      </c>
      <c r="D12" s="59">
        <v>3900</v>
      </c>
      <c r="E12" s="58">
        <v>52.8</v>
      </c>
      <c r="F12" s="59">
        <v>1890</v>
      </c>
      <c r="G12" s="58">
        <v>25.6</v>
      </c>
      <c r="H12" s="59">
        <v>1600</v>
      </c>
      <c r="I12" s="58">
        <v>21.7</v>
      </c>
      <c r="J12" s="59" t="s">
        <v>68</v>
      </c>
      <c r="K12" s="58" t="s">
        <v>68</v>
      </c>
      <c r="L12" s="59" t="s">
        <v>68</v>
      </c>
      <c r="M12" s="58" t="s">
        <v>68</v>
      </c>
      <c r="N12" s="59" t="s">
        <v>68</v>
      </c>
      <c r="O12" s="58" t="s">
        <v>68</v>
      </c>
      <c r="P12" s="59" t="s">
        <v>68</v>
      </c>
      <c r="Q12" s="58" t="s">
        <v>68</v>
      </c>
      <c r="R12" s="59" t="s">
        <v>68</v>
      </c>
      <c r="S12" s="58" t="s">
        <v>68</v>
      </c>
      <c r="T12" s="63">
        <v>7380</v>
      </c>
    </row>
    <row r="13" spans="1:20">
      <c r="A13" s="19">
        <v>1981</v>
      </c>
      <c r="B13" s="59">
        <v>2930</v>
      </c>
      <c r="C13" s="58">
        <v>43.3</v>
      </c>
      <c r="D13" s="59">
        <v>2940</v>
      </c>
      <c r="E13" s="58">
        <v>43.5</v>
      </c>
      <c r="F13" s="59">
        <v>2260</v>
      </c>
      <c r="G13" s="58">
        <v>33.4</v>
      </c>
      <c r="H13" s="59">
        <v>1570</v>
      </c>
      <c r="I13" s="58">
        <v>23.2</v>
      </c>
      <c r="J13" s="59" t="s">
        <v>68</v>
      </c>
      <c r="K13" s="58" t="s">
        <v>68</v>
      </c>
      <c r="L13" s="59" t="s">
        <v>68</v>
      </c>
      <c r="M13" s="58" t="s">
        <v>68</v>
      </c>
      <c r="N13" s="59" t="s">
        <v>68</v>
      </c>
      <c r="O13" s="58" t="s">
        <v>68</v>
      </c>
      <c r="P13" s="59" t="s">
        <v>68</v>
      </c>
      <c r="Q13" s="58" t="s">
        <v>68</v>
      </c>
      <c r="R13" s="59" t="s">
        <v>68</v>
      </c>
      <c r="S13" s="58" t="s">
        <v>68</v>
      </c>
      <c r="T13" s="63">
        <v>6760</v>
      </c>
    </row>
    <row r="14" spans="1:20">
      <c r="A14" s="19">
        <v>1982</v>
      </c>
      <c r="B14" s="59">
        <v>2820</v>
      </c>
      <c r="C14" s="58">
        <v>39.9</v>
      </c>
      <c r="D14" s="59">
        <v>2820</v>
      </c>
      <c r="E14" s="58">
        <v>39.9</v>
      </c>
      <c r="F14" s="59">
        <v>2760</v>
      </c>
      <c r="G14" s="58">
        <v>39.1</v>
      </c>
      <c r="H14" s="59">
        <v>1480</v>
      </c>
      <c r="I14" s="58">
        <v>21</v>
      </c>
      <c r="J14" s="59" t="s">
        <v>68</v>
      </c>
      <c r="K14" s="58" t="s">
        <v>68</v>
      </c>
      <c r="L14" s="59" t="s">
        <v>68</v>
      </c>
      <c r="M14" s="58" t="s">
        <v>68</v>
      </c>
      <c r="N14" s="59" t="s">
        <v>68</v>
      </c>
      <c r="O14" s="58" t="s">
        <v>68</v>
      </c>
      <c r="P14" s="59" t="s">
        <v>68</v>
      </c>
      <c r="Q14" s="58" t="s">
        <v>68</v>
      </c>
      <c r="R14" s="59" t="s">
        <v>68</v>
      </c>
      <c r="S14" s="58" t="s">
        <v>68</v>
      </c>
      <c r="T14" s="63">
        <v>7060</v>
      </c>
    </row>
    <row r="15" spans="1:20">
      <c r="A15" s="19">
        <v>1983</v>
      </c>
      <c r="B15" s="59">
        <v>3040</v>
      </c>
      <c r="C15" s="58">
        <v>41.8</v>
      </c>
      <c r="D15" s="59">
        <v>3050</v>
      </c>
      <c r="E15" s="58">
        <v>41.9</v>
      </c>
      <c r="F15" s="59">
        <v>3110</v>
      </c>
      <c r="G15" s="58">
        <v>42.7</v>
      </c>
      <c r="H15" s="59">
        <v>1130</v>
      </c>
      <c r="I15" s="58">
        <v>15.5</v>
      </c>
      <c r="J15" s="59" t="s">
        <v>68</v>
      </c>
      <c r="K15" s="58" t="s">
        <v>68</v>
      </c>
      <c r="L15" s="59" t="s">
        <v>68</v>
      </c>
      <c r="M15" s="58" t="s">
        <v>68</v>
      </c>
      <c r="N15" s="59" t="s">
        <v>68</v>
      </c>
      <c r="O15" s="58" t="s">
        <v>68</v>
      </c>
      <c r="P15" s="59" t="s">
        <v>68</v>
      </c>
      <c r="Q15" s="58" t="s">
        <v>68</v>
      </c>
      <c r="R15" s="59" t="s">
        <v>68</v>
      </c>
      <c r="S15" s="58" t="s">
        <v>68</v>
      </c>
      <c r="T15" s="63">
        <v>7280</v>
      </c>
    </row>
    <row r="16" spans="1:20">
      <c r="A16" s="19">
        <v>1984</v>
      </c>
      <c r="B16" s="59">
        <v>4350</v>
      </c>
      <c r="C16" s="58">
        <v>48.8</v>
      </c>
      <c r="D16" s="59">
        <v>4340</v>
      </c>
      <c r="E16" s="58">
        <v>48.7</v>
      </c>
      <c r="F16" s="59">
        <v>2920</v>
      </c>
      <c r="G16" s="58">
        <v>32.799999999999997</v>
      </c>
      <c r="H16" s="59">
        <v>1640</v>
      </c>
      <c r="I16" s="58">
        <v>18.399999999999999</v>
      </c>
      <c r="J16" s="59" t="s">
        <v>68</v>
      </c>
      <c r="K16" s="58" t="s">
        <v>68</v>
      </c>
      <c r="L16" s="59" t="s">
        <v>68</v>
      </c>
      <c r="M16" s="58" t="s">
        <v>68</v>
      </c>
      <c r="N16" s="59" t="s">
        <v>68</v>
      </c>
      <c r="O16" s="58" t="s">
        <v>68</v>
      </c>
      <c r="P16" s="59" t="s">
        <v>68</v>
      </c>
      <c r="Q16" s="58" t="s">
        <v>68</v>
      </c>
      <c r="R16" s="59" t="s">
        <v>68</v>
      </c>
      <c r="S16" s="58" t="s">
        <v>68</v>
      </c>
      <c r="T16" s="63">
        <v>8910</v>
      </c>
    </row>
    <row r="17" spans="1:20">
      <c r="A17" s="19">
        <v>1985</v>
      </c>
      <c r="B17" s="59">
        <v>3440</v>
      </c>
      <c r="C17" s="58">
        <v>41.2</v>
      </c>
      <c r="D17" s="59">
        <v>3450</v>
      </c>
      <c r="E17" s="58">
        <v>41.3</v>
      </c>
      <c r="F17" s="59">
        <v>3120</v>
      </c>
      <c r="G17" s="58">
        <v>37.4</v>
      </c>
      <c r="H17" s="59">
        <v>1790</v>
      </c>
      <c r="I17" s="58">
        <v>21.4</v>
      </c>
      <c r="J17" s="59" t="s">
        <v>68</v>
      </c>
      <c r="K17" s="58" t="s">
        <v>68</v>
      </c>
      <c r="L17" s="59" t="s">
        <v>68</v>
      </c>
      <c r="M17" s="58" t="s">
        <v>68</v>
      </c>
      <c r="N17" s="59" t="s">
        <v>68</v>
      </c>
      <c r="O17" s="58" t="s">
        <v>68</v>
      </c>
      <c r="P17" s="59" t="s">
        <v>68</v>
      </c>
      <c r="Q17" s="58" t="s">
        <v>68</v>
      </c>
      <c r="R17" s="59" t="s">
        <v>68</v>
      </c>
      <c r="S17" s="58" t="s">
        <v>68</v>
      </c>
      <c r="T17" s="63">
        <v>8350</v>
      </c>
    </row>
    <row r="18" spans="1:20">
      <c r="A18" s="19">
        <v>1986</v>
      </c>
      <c r="B18" s="59">
        <v>3540</v>
      </c>
      <c r="C18" s="58">
        <v>42.1</v>
      </c>
      <c r="D18" s="59">
        <v>3530</v>
      </c>
      <c r="E18" s="58">
        <v>42</v>
      </c>
      <c r="F18" s="59">
        <v>3070</v>
      </c>
      <c r="G18" s="58">
        <v>36.5</v>
      </c>
      <c r="H18" s="59">
        <v>1790</v>
      </c>
      <c r="I18" s="58">
        <v>21.3</v>
      </c>
      <c r="J18" s="59" t="s">
        <v>68</v>
      </c>
      <c r="K18" s="58" t="s">
        <v>68</v>
      </c>
      <c r="L18" s="59" t="s">
        <v>68</v>
      </c>
      <c r="M18" s="58" t="s">
        <v>68</v>
      </c>
      <c r="N18" s="59" t="s">
        <v>68</v>
      </c>
      <c r="O18" s="58" t="s">
        <v>68</v>
      </c>
      <c r="P18" s="59" t="s">
        <v>68</v>
      </c>
      <c r="Q18" s="58" t="s">
        <v>68</v>
      </c>
      <c r="R18" s="59" t="s">
        <v>68</v>
      </c>
      <c r="S18" s="58" t="s">
        <v>68</v>
      </c>
      <c r="T18" s="63">
        <v>8400</v>
      </c>
    </row>
    <row r="19" spans="1:20">
      <c r="A19" s="19">
        <v>1987</v>
      </c>
      <c r="B19" s="59">
        <v>4080</v>
      </c>
      <c r="C19" s="58">
        <v>48.3</v>
      </c>
      <c r="D19" s="59">
        <v>4090</v>
      </c>
      <c r="E19" s="58">
        <v>48.5</v>
      </c>
      <c r="F19" s="59">
        <v>3180</v>
      </c>
      <c r="G19" s="58">
        <v>37.700000000000003</v>
      </c>
      <c r="H19" s="59">
        <v>1180</v>
      </c>
      <c r="I19" s="58">
        <v>14</v>
      </c>
      <c r="J19" s="59" t="s">
        <v>68</v>
      </c>
      <c r="K19" s="58" t="s">
        <v>68</v>
      </c>
      <c r="L19" s="59" t="s">
        <v>68</v>
      </c>
      <c r="M19" s="58" t="s">
        <v>68</v>
      </c>
      <c r="N19" s="59" t="s">
        <v>68</v>
      </c>
      <c r="O19" s="58" t="s">
        <v>68</v>
      </c>
      <c r="P19" s="59" t="s">
        <v>68</v>
      </c>
      <c r="Q19" s="58" t="s">
        <v>68</v>
      </c>
      <c r="R19" s="59" t="s">
        <v>68</v>
      </c>
      <c r="S19" s="58" t="s">
        <v>68</v>
      </c>
      <c r="T19" s="63">
        <v>8440</v>
      </c>
    </row>
    <row r="20" spans="1:20">
      <c r="A20" s="19">
        <v>1988</v>
      </c>
      <c r="B20" s="59">
        <v>2050</v>
      </c>
      <c r="C20" s="58">
        <v>31.2</v>
      </c>
      <c r="D20" s="59">
        <v>2040</v>
      </c>
      <c r="E20" s="58">
        <v>31.1</v>
      </c>
      <c r="F20" s="59">
        <v>3250</v>
      </c>
      <c r="G20" s="58">
        <v>49.5</v>
      </c>
      <c r="H20" s="59">
        <v>1270</v>
      </c>
      <c r="I20" s="58">
        <v>19.3</v>
      </c>
      <c r="J20" s="59" t="s">
        <v>68</v>
      </c>
      <c r="K20" s="58" t="s">
        <v>68</v>
      </c>
      <c r="L20" s="59" t="s">
        <v>68</v>
      </c>
      <c r="M20" s="58" t="s">
        <v>68</v>
      </c>
      <c r="N20" s="59" t="s">
        <v>68</v>
      </c>
      <c r="O20" s="58" t="s">
        <v>68</v>
      </c>
      <c r="P20" s="59" t="s">
        <v>68</v>
      </c>
      <c r="Q20" s="58" t="s">
        <v>68</v>
      </c>
      <c r="R20" s="59" t="s">
        <v>68</v>
      </c>
      <c r="S20" s="58" t="s">
        <v>68</v>
      </c>
      <c r="T20" s="63">
        <v>6570</v>
      </c>
    </row>
    <row r="21" spans="1:20">
      <c r="A21" s="19">
        <v>1989</v>
      </c>
      <c r="B21" s="59">
        <v>1300</v>
      </c>
      <c r="C21" s="58">
        <v>20.9</v>
      </c>
      <c r="D21" s="59">
        <v>1300</v>
      </c>
      <c r="E21" s="58">
        <v>20.9</v>
      </c>
      <c r="F21" s="59">
        <v>3270</v>
      </c>
      <c r="G21" s="58">
        <v>52.5</v>
      </c>
      <c r="H21" s="59">
        <v>1660</v>
      </c>
      <c r="I21" s="58">
        <v>26.6</v>
      </c>
      <c r="J21" s="59" t="s">
        <v>68</v>
      </c>
      <c r="K21" s="58" t="s">
        <v>68</v>
      </c>
      <c r="L21" s="59" t="s">
        <v>68</v>
      </c>
      <c r="M21" s="58" t="s">
        <v>68</v>
      </c>
      <c r="N21" s="59" t="s">
        <v>68</v>
      </c>
      <c r="O21" s="58" t="s">
        <v>68</v>
      </c>
      <c r="P21" s="59" t="s">
        <v>68</v>
      </c>
      <c r="Q21" s="58" t="s">
        <v>68</v>
      </c>
      <c r="R21" s="59" t="s">
        <v>68</v>
      </c>
      <c r="S21" s="58" t="s">
        <v>68</v>
      </c>
      <c r="T21" s="63">
        <v>6230</v>
      </c>
    </row>
    <row r="22" spans="1:20">
      <c r="A22" s="19">
        <v>1990</v>
      </c>
      <c r="B22" s="59">
        <v>620</v>
      </c>
      <c r="C22" s="58">
        <v>10</v>
      </c>
      <c r="D22" s="59">
        <v>620</v>
      </c>
      <c r="E22" s="58">
        <v>10</v>
      </c>
      <c r="F22" s="59">
        <v>3170</v>
      </c>
      <c r="G22" s="58">
        <v>50.9</v>
      </c>
      <c r="H22" s="59">
        <v>1960</v>
      </c>
      <c r="I22" s="58">
        <v>31.5</v>
      </c>
      <c r="J22" s="59" t="s">
        <v>68</v>
      </c>
      <c r="K22" s="58" t="s">
        <v>68</v>
      </c>
      <c r="L22" s="59">
        <v>440</v>
      </c>
      <c r="M22" s="58">
        <v>7.1</v>
      </c>
      <c r="N22" s="59" t="s">
        <v>68</v>
      </c>
      <c r="O22" s="58" t="s">
        <v>68</v>
      </c>
      <c r="P22" s="59" t="s">
        <v>68</v>
      </c>
      <c r="Q22" s="58" t="s">
        <v>68</v>
      </c>
      <c r="R22" s="59">
        <v>40</v>
      </c>
      <c r="S22" s="58">
        <v>0.6</v>
      </c>
      <c r="T22" s="63">
        <v>6230</v>
      </c>
    </row>
    <row r="23" spans="1:20">
      <c r="A23" s="19">
        <v>1991</v>
      </c>
      <c r="B23" s="59">
        <v>4160</v>
      </c>
      <c r="C23" s="58">
        <v>41.4</v>
      </c>
      <c r="D23" s="59">
        <v>4160</v>
      </c>
      <c r="E23" s="58">
        <v>41.4</v>
      </c>
      <c r="F23" s="59">
        <v>3330</v>
      </c>
      <c r="G23" s="58">
        <v>33.1</v>
      </c>
      <c r="H23" s="59">
        <v>2010</v>
      </c>
      <c r="I23" s="58">
        <v>20</v>
      </c>
      <c r="J23" s="59" t="s">
        <v>68</v>
      </c>
      <c r="K23" s="58" t="s">
        <v>68</v>
      </c>
      <c r="L23" s="59">
        <v>500</v>
      </c>
      <c r="M23" s="58">
        <v>5</v>
      </c>
      <c r="N23" s="59" t="s">
        <v>68</v>
      </c>
      <c r="O23" s="58" t="s">
        <v>68</v>
      </c>
      <c r="P23" s="59" t="s">
        <v>68</v>
      </c>
      <c r="Q23" s="58" t="s">
        <v>68</v>
      </c>
      <c r="R23" s="59">
        <v>60</v>
      </c>
      <c r="S23" s="58">
        <v>0.6</v>
      </c>
      <c r="T23" s="63">
        <v>10060</v>
      </c>
    </row>
    <row r="24" spans="1:20">
      <c r="A24" s="19">
        <v>1992</v>
      </c>
      <c r="B24" s="59">
        <v>4460</v>
      </c>
      <c r="C24" s="58">
        <v>41.5</v>
      </c>
      <c r="D24" s="59">
        <v>4470</v>
      </c>
      <c r="E24" s="58">
        <v>41.6</v>
      </c>
      <c r="F24" s="59">
        <v>3360</v>
      </c>
      <c r="G24" s="58">
        <v>31.3</v>
      </c>
      <c r="H24" s="59">
        <v>2370</v>
      </c>
      <c r="I24" s="58">
        <v>22.1</v>
      </c>
      <c r="J24" s="59" t="s">
        <v>68</v>
      </c>
      <c r="K24" s="58" t="s">
        <v>68</v>
      </c>
      <c r="L24" s="59">
        <v>490</v>
      </c>
      <c r="M24" s="58">
        <v>4.5999999999999996</v>
      </c>
      <c r="N24" s="59" t="s">
        <v>68</v>
      </c>
      <c r="O24" s="58" t="s">
        <v>68</v>
      </c>
      <c r="P24" s="59" t="s">
        <v>68</v>
      </c>
      <c r="Q24" s="58" t="s">
        <v>68</v>
      </c>
      <c r="R24" s="59">
        <v>60</v>
      </c>
      <c r="S24" s="58">
        <v>0.6</v>
      </c>
      <c r="T24" s="63">
        <v>10740</v>
      </c>
    </row>
    <row r="25" spans="1:20">
      <c r="A25" s="19">
        <v>1993</v>
      </c>
      <c r="B25" s="59">
        <v>6190</v>
      </c>
      <c r="C25" s="58">
        <v>46.8</v>
      </c>
      <c r="D25" s="59">
        <v>6200</v>
      </c>
      <c r="E25" s="58">
        <v>46.8</v>
      </c>
      <c r="F25" s="59">
        <v>3340</v>
      </c>
      <c r="G25" s="58">
        <v>25.2</v>
      </c>
      <c r="H25" s="59">
        <v>3160</v>
      </c>
      <c r="I25" s="58">
        <v>23.9</v>
      </c>
      <c r="J25" s="59" t="s">
        <v>68</v>
      </c>
      <c r="K25" s="58" t="s">
        <v>68</v>
      </c>
      <c r="L25" s="59">
        <v>490</v>
      </c>
      <c r="M25" s="58">
        <v>3.7</v>
      </c>
      <c r="N25" s="59" t="s">
        <v>68</v>
      </c>
      <c r="O25" s="58" t="s">
        <v>68</v>
      </c>
      <c r="P25" s="59" t="s">
        <v>68</v>
      </c>
      <c r="Q25" s="58" t="s">
        <v>68</v>
      </c>
      <c r="R25" s="59">
        <v>60</v>
      </c>
      <c r="S25" s="58">
        <v>0.5</v>
      </c>
      <c r="T25" s="63">
        <v>13240</v>
      </c>
    </row>
    <row r="26" spans="1:20">
      <c r="A26" s="19">
        <v>1994</v>
      </c>
      <c r="B26" s="59">
        <v>3060</v>
      </c>
      <c r="C26" s="58">
        <v>28.9</v>
      </c>
      <c r="D26" s="59">
        <v>3060</v>
      </c>
      <c r="E26" s="58">
        <v>28.9</v>
      </c>
      <c r="F26" s="59">
        <v>3240</v>
      </c>
      <c r="G26" s="58">
        <v>30.7</v>
      </c>
      <c r="H26" s="59">
        <v>3780</v>
      </c>
      <c r="I26" s="58">
        <v>35.799999999999997</v>
      </c>
      <c r="J26" s="59" t="s">
        <v>68</v>
      </c>
      <c r="K26" s="58" t="s">
        <v>68</v>
      </c>
      <c r="L26" s="59">
        <v>450</v>
      </c>
      <c r="M26" s="58">
        <v>4.3</v>
      </c>
      <c r="N26" s="59" t="s">
        <v>68</v>
      </c>
      <c r="O26" s="58" t="s">
        <v>68</v>
      </c>
      <c r="P26" s="59" t="s">
        <v>68</v>
      </c>
      <c r="Q26" s="58" t="s">
        <v>68</v>
      </c>
      <c r="R26" s="59">
        <v>40</v>
      </c>
      <c r="S26" s="58">
        <v>0.4</v>
      </c>
      <c r="T26" s="63">
        <v>10570</v>
      </c>
    </row>
    <row r="27" spans="1:20">
      <c r="A27" s="19">
        <v>1995</v>
      </c>
      <c r="B27" s="59">
        <v>4130</v>
      </c>
      <c r="C27" s="58">
        <v>33.799999999999997</v>
      </c>
      <c r="D27" s="59">
        <v>4130</v>
      </c>
      <c r="E27" s="58">
        <v>33.799999999999997</v>
      </c>
      <c r="F27" s="59">
        <v>3290</v>
      </c>
      <c r="G27" s="58">
        <v>26.9</v>
      </c>
      <c r="H27" s="59">
        <v>4170</v>
      </c>
      <c r="I27" s="58">
        <v>34.1</v>
      </c>
      <c r="J27" s="59" t="s">
        <v>68</v>
      </c>
      <c r="K27" s="58" t="s">
        <v>68</v>
      </c>
      <c r="L27" s="59">
        <v>590</v>
      </c>
      <c r="M27" s="58">
        <v>4.8</v>
      </c>
      <c r="N27" s="59" t="s">
        <v>68</v>
      </c>
      <c r="O27" s="58" t="s">
        <v>68</v>
      </c>
      <c r="P27" s="59" t="s">
        <v>68</v>
      </c>
      <c r="Q27" s="58" t="s">
        <v>68</v>
      </c>
      <c r="R27" s="59">
        <v>50</v>
      </c>
      <c r="S27" s="58">
        <v>0.4</v>
      </c>
      <c r="T27" s="63">
        <v>12230</v>
      </c>
    </row>
    <row r="28" spans="1:20">
      <c r="A28" s="19">
        <v>1996</v>
      </c>
      <c r="B28" s="59">
        <v>5500</v>
      </c>
      <c r="C28" s="58">
        <v>39.799999999999997</v>
      </c>
      <c r="D28" s="59">
        <v>5500</v>
      </c>
      <c r="E28" s="58">
        <v>39.799999999999997</v>
      </c>
      <c r="F28" s="59">
        <v>3380</v>
      </c>
      <c r="G28" s="58">
        <v>24.5</v>
      </c>
      <c r="H28" s="59">
        <v>4230</v>
      </c>
      <c r="I28" s="58">
        <v>30.6</v>
      </c>
      <c r="J28" s="59" t="s">
        <v>68</v>
      </c>
      <c r="K28" s="58" t="s">
        <v>68</v>
      </c>
      <c r="L28" s="59">
        <v>650</v>
      </c>
      <c r="M28" s="58">
        <v>4.7</v>
      </c>
      <c r="N28" s="59" t="s">
        <v>68</v>
      </c>
      <c r="O28" s="58" t="s">
        <v>68</v>
      </c>
      <c r="P28" s="59" t="s">
        <v>68</v>
      </c>
      <c r="Q28" s="58" t="s">
        <v>68</v>
      </c>
      <c r="R28" s="59">
        <v>50</v>
      </c>
      <c r="S28" s="58">
        <v>0.4</v>
      </c>
      <c r="T28" s="63">
        <v>13810</v>
      </c>
    </row>
    <row r="29" spans="1:20">
      <c r="A29" s="19">
        <v>1997</v>
      </c>
      <c r="B29" s="59">
        <v>200</v>
      </c>
      <c r="C29" s="58">
        <v>2.2000000000000002</v>
      </c>
      <c r="D29" s="59">
        <v>210</v>
      </c>
      <c r="E29" s="58">
        <v>2.2999999999999998</v>
      </c>
      <c r="F29" s="59">
        <v>3430</v>
      </c>
      <c r="G29" s="58">
        <v>37.4</v>
      </c>
      <c r="H29" s="59">
        <v>4910</v>
      </c>
      <c r="I29" s="58">
        <v>53.6</v>
      </c>
      <c r="J29" s="59" t="s">
        <v>68</v>
      </c>
      <c r="K29" s="58" t="s">
        <v>68</v>
      </c>
      <c r="L29" s="59">
        <v>580</v>
      </c>
      <c r="M29" s="58">
        <v>6.3</v>
      </c>
      <c r="N29" s="59" t="s">
        <v>68</v>
      </c>
      <c r="O29" s="58" t="s">
        <v>68</v>
      </c>
      <c r="P29" s="59" t="s">
        <v>68</v>
      </c>
      <c r="Q29" s="58" t="s">
        <v>68</v>
      </c>
      <c r="R29" s="59">
        <v>40</v>
      </c>
      <c r="S29" s="58">
        <v>0.4</v>
      </c>
      <c r="T29" s="63">
        <v>9160</v>
      </c>
    </row>
    <row r="30" spans="1:20">
      <c r="A30" s="19">
        <v>1998</v>
      </c>
      <c r="B30" s="59">
        <v>3520</v>
      </c>
      <c r="C30" s="58">
        <v>27.6</v>
      </c>
      <c r="D30" s="59">
        <v>3530</v>
      </c>
      <c r="E30" s="58">
        <v>27.6</v>
      </c>
      <c r="F30" s="59">
        <v>3400</v>
      </c>
      <c r="G30" s="58">
        <v>26.6</v>
      </c>
      <c r="H30" s="59">
        <v>5210</v>
      </c>
      <c r="I30" s="58">
        <v>40.799999999999997</v>
      </c>
      <c r="J30" s="59" t="s">
        <v>68</v>
      </c>
      <c r="K30" s="58" t="s">
        <v>68</v>
      </c>
      <c r="L30" s="59">
        <v>600</v>
      </c>
      <c r="M30" s="58">
        <v>4.7</v>
      </c>
      <c r="N30" s="59" t="s">
        <v>68</v>
      </c>
      <c r="O30" s="58" t="s">
        <v>68</v>
      </c>
      <c r="P30" s="59" t="s">
        <v>68</v>
      </c>
      <c r="Q30" s="58" t="s">
        <v>68</v>
      </c>
      <c r="R30" s="59">
        <v>40</v>
      </c>
      <c r="S30" s="58">
        <v>0.3</v>
      </c>
      <c r="T30" s="63">
        <v>12770</v>
      </c>
    </row>
    <row r="31" spans="1:20">
      <c r="A31" s="19">
        <v>1999</v>
      </c>
      <c r="B31" s="59">
        <v>-710</v>
      </c>
      <c r="C31" s="58">
        <v>-10.5</v>
      </c>
      <c r="D31" s="59">
        <v>-700</v>
      </c>
      <c r="E31" s="58">
        <v>-10.3</v>
      </c>
      <c r="F31" s="59">
        <v>3440</v>
      </c>
      <c r="G31" s="58">
        <v>50.7</v>
      </c>
      <c r="H31" s="59">
        <v>3180</v>
      </c>
      <c r="I31" s="58">
        <v>46.8</v>
      </c>
      <c r="J31" s="59">
        <v>230</v>
      </c>
      <c r="K31" s="58">
        <v>3.4</v>
      </c>
      <c r="L31" s="59">
        <v>590</v>
      </c>
      <c r="M31" s="58">
        <v>8.6999999999999993</v>
      </c>
      <c r="N31" s="59">
        <v>0</v>
      </c>
      <c r="O31" s="58">
        <v>0</v>
      </c>
      <c r="P31" s="59">
        <v>0</v>
      </c>
      <c r="Q31" s="58">
        <v>0</v>
      </c>
      <c r="R31" s="59">
        <v>60</v>
      </c>
      <c r="S31" s="58">
        <v>0.9</v>
      </c>
      <c r="T31" s="63">
        <v>6790</v>
      </c>
    </row>
    <row r="32" spans="1:20">
      <c r="A32" s="19">
        <v>2000</v>
      </c>
      <c r="B32" s="59">
        <v>1180</v>
      </c>
      <c r="C32" s="58">
        <v>12.8</v>
      </c>
      <c r="D32" s="59">
        <v>1160</v>
      </c>
      <c r="E32" s="58">
        <v>12.6</v>
      </c>
      <c r="F32" s="59">
        <v>3550</v>
      </c>
      <c r="G32" s="58">
        <v>38.5</v>
      </c>
      <c r="H32" s="59">
        <v>3780</v>
      </c>
      <c r="I32" s="58">
        <v>41</v>
      </c>
      <c r="J32" s="59">
        <v>90</v>
      </c>
      <c r="K32" s="58">
        <v>1</v>
      </c>
      <c r="L32" s="59">
        <v>560</v>
      </c>
      <c r="M32" s="58">
        <v>6.1</v>
      </c>
      <c r="N32" s="59">
        <v>0</v>
      </c>
      <c r="O32" s="58">
        <v>0</v>
      </c>
      <c r="P32" s="59">
        <v>0</v>
      </c>
      <c r="Q32" s="58">
        <v>0</v>
      </c>
      <c r="R32" s="59">
        <v>50</v>
      </c>
      <c r="S32" s="58">
        <v>0.5</v>
      </c>
      <c r="T32" s="63">
        <v>9210</v>
      </c>
    </row>
    <row r="33" spans="1:20">
      <c r="A33" s="19">
        <v>2001</v>
      </c>
      <c r="B33" s="59">
        <v>7420</v>
      </c>
      <c r="C33" s="58">
        <v>45.9</v>
      </c>
      <c r="D33" s="59">
        <v>7420</v>
      </c>
      <c r="E33" s="58">
        <v>45.9</v>
      </c>
      <c r="F33" s="59">
        <v>3670</v>
      </c>
      <c r="G33" s="58">
        <v>22.7</v>
      </c>
      <c r="H33" s="59">
        <v>4380</v>
      </c>
      <c r="I33" s="58">
        <v>27.1</v>
      </c>
      <c r="J33" s="59">
        <v>0</v>
      </c>
      <c r="K33" s="58">
        <v>0</v>
      </c>
      <c r="L33" s="59">
        <v>630</v>
      </c>
      <c r="M33" s="58">
        <v>3.9</v>
      </c>
      <c r="N33" s="59">
        <v>0</v>
      </c>
      <c r="O33" s="58">
        <v>0</v>
      </c>
      <c r="P33" s="59">
        <v>0</v>
      </c>
      <c r="Q33" s="58">
        <v>0</v>
      </c>
      <c r="R33" s="59">
        <v>50</v>
      </c>
      <c r="S33" s="58">
        <v>0.3</v>
      </c>
      <c r="T33" s="63">
        <v>16150</v>
      </c>
    </row>
    <row r="34" spans="1:20">
      <c r="A34" s="19">
        <v>2002</v>
      </c>
      <c r="B34" s="59">
        <v>3470</v>
      </c>
      <c r="C34" s="58">
        <v>29.9</v>
      </c>
      <c r="D34" s="59">
        <v>3480</v>
      </c>
      <c r="E34" s="58">
        <v>30</v>
      </c>
      <c r="F34" s="59">
        <v>3650</v>
      </c>
      <c r="G34" s="58">
        <v>31.4</v>
      </c>
      <c r="H34" s="59">
        <v>3830</v>
      </c>
      <c r="I34" s="58">
        <v>33</v>
      </c>
      <c r="J34" s="59">
        <v>0</v>
      </c>
      <c r="K34" s="58">
        <v>0</v>
      </c>
      <c r="L34" s="59">
        <v>600</v>
      </c>
      <c r="M34" s="58">
        <v>5.2</v>
      </c>
      <c r="N34" s="59">
        <v>0</v>
      </c>
      <c r="O34" s="58">
        <v>0</v>
      </c>
      <c r="P34" s="59">
        <v>0</v>
      </c>
      <c r="Q34" s="58">
        <v>0</v>
      </c>
      <c r="R34" s="59">
        <v>60</v>
      </c>
      <c r="S34" s="58">
        <v>0.5</v>
      </c>
      <c r="T34" s="63">
        <v>11610</v>
      </c>
    </row>
    <row r="35" spans="1:20">
      <c r="A35" s="19">
        <v>2003</v>
      </c>
      <c r="B35" s="59">
        <v>5150</v>
      </c>
      <c r="C35" s="58">
        <v>40</v>
      </c>
      <c r="D35" s="59">
        <v>5150</v>
      </c>
      <c r="E35" s="58">
        <v>40</v>
      </c>
      <c r="F35" s="59">
        <v>3670</v>
      </c>
      <c r="G35" s="58">
        <v>28.5</v>
      </c>
      <c r="H35" s="59">
        <v>3370</v>
      </c>
      <c r="I35" s="58">
        <v>26.1</v>
      </c>
      <c r="J35" s="59">
        <v>0</v>
      </c>
      <c r="K35" s="58">
        <v>0</v>
      </c>
      <c r="L35" s="59">
        <v>640</v>
      </c>
      <c r="M35" s="58">
        <v>5</v>
      </c>
      <c r="N35" s="59">
        <v>0</v>
      </c>
      <c r="O35" s="58">
        <v>0</v>
      </c>
      <c r="P35" s="59">
        <v>0</v>
      </c>
      <c r="Q35" s="58">
        <v>0</v>
      </c>
      <c r="R35" s="59">
        <v>60</v>
      </c>
      <c r="S35" s="58">
        <v>0.5</v>
      </c>
      <c r="T35" s="63">
        <v>12890</v>
      </c>
    </row>
    <row r="36" spans="1:20">
      <c r="A36" s="19">
        <v>2004</v>
      </c>
      <c r="B36" s="59">
        <v>5470</v>
      </c>
      <c r="C36" s="58">
        <v>41.2</v>
      </c>
      <c r="D36" s="59">
        <v>5470</v>
      </c>
      <c r="E36" s="58">
        <v>41.2</v>
      </c>
      <c r="F36" s="59">
        <v>3700</v>
      </c>
      <c r="G36" s="58">
        <v>27.9</v>
      </c>
      <c r="H36" s="59">
        <v>3420</v>
      </c>
      <c r="I36" s="58">
        <v>25.8</v>
      </c>
      <c r="J36" s="59">
        <v>0</v>
      </c>
      <c r="K36" s="58">
        <v>0</v>
      </c>
      <c r="L36" s="59">
        <v>610</v>
      </c>
      <c r="M36" s="58">
        <v>4.5999999999999996</v>
      </c>
      <c r="N36" s="59">
        <v>0</v>
      </c>
      <c r="O36" s="58">
        <v>0</v>
      </c>
      <c r="P36" s="59">
        <v>0</v>
      </c>
      <c r="Q36" s="58">
        <v>0</v>
      </c>
      <c r="R36" s="59">
        <v>70</v>
      </c>
      <c r="S36" s="58">
        <v>0.5</v>
      </c>
      <c r="T36" s="63">
        <v>13270</v>
      </c>
    </row>
    <row r="37" spans="1:20">
      <c r="A37" s="19">
        <v>2005</v>
      </c>
      <c r="B37" s="59">
        <v>3440</v>
      </c>
      <c r="C37" s="58">
        <v>29.9</v>
      </c>
      <c r="D37" s="59">
        <v>3450</v>
      </c>
      <c r="E37" s="58">
        <v>30</v>
      </c>
      <c r="F37" s="59">
        <v>3700</v>
      </c>
      <c r="G37" s="58">
        <v>32.200000000000003</v>
      </c>
      <c r="H37" s="59">
        <v>3650</v>
      </c>
      <c r="I37" s="58">
        <v>31.7</v>
      </c>
      <c r="J37" s="59">
        <v>0</v>
      </c>
      <c r="K37" s="58">
        <v>0</v>
      </c>
      <c r="L37" s="59">
        <v>640</v>
      </c>
      <c r="M37" s="58">
        <v>5.6</v>
      </c>
      <c r="N37" s="59">
        <v>0</v>
      </c>
      <c r="O37" s="58">
        <v>0</v>
      </c>
      <c r="P37" s="59">
        <v>0</v>
      </c>
      <c r="Q37" s="58">
        <v>0</v>
      </c>
      <c r="R37" s="59">
        <v>70</v>
      </c>
      <c r="S37" s="58">
        <v>0.6</v>
      </c>
      <c r="T37" s="63">
        <v>11500</v>
      </c>
    </row>
    <row r="38" spans="1:20">
      <c r="A38" s="19">
        <v>2006</v>
      </c>
      <c r="B38" s="59">
        <v>3780</v>
      </c>
      <c r="C38" s="58">
        <v>38.299999999999997</v>
      </c>
      <c r="D38" s="59">
        <v>3790</v>
      </c>
      <c r="E38" s="58">
        <v>38.4</v>
      </c>
      <c r="F38" s="59">
        <v>3790</v>
      </c>
      <c r="G38" s="58">
        <v>38.4</v>
      </c>
      <c r="H38" s="59">
        <v>1580</v>
      </c>
      <c r="I38" s="58">
        <v>16</v>
      </c>
      <c r="J38" s="59">
        <v>0</v>
      </c>
      <c r="K38" s="58">
        <v>0</v>
      </c>
      <c r="L38" s="59">
        <v>630</v>
      </c>
      <c r="M38" s="58">
        <v>6.4</v>
      </c>
      <c r="N38" s="59">
        <v>0</v>
      </c>
      <c r="O38" s="58">
        <v>0</v>
      </c>
      <c r="P38" s="59">
        <v>0</v>
      </c>
      <c r="Q38" s="58">
        <v>0</v>
      </c>
      <c r="R38" s="59">
        <v>90</v>
      </c>
      <c r="S38" s="58">
        <v>0.9</v>
      </c>
      <c r="T38" s="63">
        <v>9870</v>
      </c>
    </row>
    <row r="39" spans="1:20">
      <c r="A39" s="19">
        <v>2007</v>
      </c>
      <c r="B39" s="59">
        <v>3700</v>
      </c>
      <c r="C39" s="58">
        <v>39.200000000000003</v>
      </c>
      <c r="D39" s="59">
        <v>3710</v>
      </c>
      <c r="E39" s="58">
        <v>39.299999999999997</v>
      </c>
      <c r="F39" s="59">
        <v>3620</v>
      </c>
      <c r="G39" s="58">
        <v>38.299999999999997</v>
      </c>
      <c r="H39" s="59">
        <v>1430</v>
      </c>
      <c r="I39" s="58">
        <v>15.1</v>
      </c>
      <c r="J39" s="59">
        <v>0</v>
      </c>
      <c r="K39" s="58">
        <v>0</v>
      </c>
      <c r="L39" s="59">
        <v>590</v>
      </c>
      <c r="M39" s="58">
        <v>6.2</v>
      </c>
      <c r="N39" s="59">
        <v>0</v>
      </c>
      <c r="O39" s="58">
        <v>0</v>
      </c>
      <c r="P39" s="59">
        <v>0</v>
      </c>
      <c r="Q39" s="58">
        <v>0</v>
      </c>
      <c r="R39" s="59">
        <v>110</v>
      </c>
      <c r="S39" s="58">
        <v>1.2</v>
      </c>
      <c r="T39" s="63">
        <v>9450</v>
      </c>
    </row>
    <row r="40" spans="1:20">
      <c r="A40" s="19">
        <v>2008</v>
      </c>
      <c r="B40" s="59">
        <v>3710</v>
      </c>
      <c r="C40" s="58">
        <v>39.4</v>
      </c>
      <c r="D40" s="59">
        <v>3710</v>
      </c>
      <c r="E40" s="58">
        <v>39.4</v>
      </c>
      <c r="F40" s="59">
        <v>3640</v>
      </c>
      <c r="G40" s="58">
        <v>38.700000000000003</v>
      </c>
      <c r="H40" s="59">
        <v>1250</v>
      </c>
      <c r="I40" s="58">
        <v>13.3</v>
      </c>
      <c r="J40" s="59">
        <v>0</v>
      </c>
      <c r="K40" s="58">
        <v>0</v>
      </c>
      <c r="L40" s="59">
        <v>690</v>
      </c>
      <c r="M40" s="58">
        <v>7.3</v>
      </c>
      <c r="N40" s="59">
        <v>0</v>
      </c>
      <c r="O40" s="58">
        <v>0</v>
      </c>
      <c r="P40" s="59">
        <v>0</v>
      </c>
      <c r="Q40" s="58">
        <v>0</v>
      </c>
      <c r="R40" s="59">
        <v>120</v>
      </c>
      <c r="S40" s="58">
        <v>1.3</v>
      </c>
      <c r="T40" s="63">
        <v>9410</v>
      </c>
    </row>
    <row r="41" spans="1:20">
      <c r="A41" s="19">
        <v>2009</v>
      </c>
      <c r="B41" s="59">
        <v>3950</v>
      </c>
      <c r="C41" s="58">
        <v>42.4</v>
      </c>
      <c r="D41" s="59">
        <v>3950</v>
      </c>
      <c r="E41" s="58">
        <v>42.4</v>
      </c>
      <c r="F41" s="59">
        <v>3620</v>
      </c>
      <c r="G41" s="58">
        <v>38.799999999999997</v>
      </c>
      <c r="H41" s="59">
        <v>920</v>
      </c>
      <c r="I41" s="58">
        <v>9.9</v>
      </c>
      <c r="J41" s="59">
        <v>0</v>
      </c>
      <c r="K41" s="58">
        <v>0</v>
      </c>
      <c r="L41" s="59">
        <v>720</v>
      </c>
      <c r="M41" s="58">
        <v>7.7</v>
      </c>
      <c r="N41" s="59">
        <v>0</v>
      </c>
      <c r="O41" s="58">
        <v>0</v>
      </c>
      <c r="P41" s="59">
        <v>0</v>
      </c>
      <c r="Q41" s="58">
        <v>0</v>
      </c>
      <c r="R41" s="59">
        <v>110</v>
      </c>
      <c r="S41" s="58">
        <v>1.2</v>
      </c>
      <c r="T41" s="63">
        <v>9320</v>
      </c>
    </row>
    <row r="42" spans="1:20">
      <c r="A42" s="19">
        <v>2010</v>
      </c>
      <c r="B42" s="59">
        <v>3830</v>
      </c>
      <c r="C42" s="58">
        <v>42.9</v>
      </c>
      <c r="D42" s="59">
        <v>3840</v>
      </c>
      <c r="E42" s="58">
        <v>43</v>
      </c>
      <c r="F42" s="59">
        <v>3610</v>
      </c>
      <c r="G42" s="58">
        <v>40.4</v>
      </c>
      <c r="H42" s="59">
        <v>580</v>
      </c>
      <c r="I42" s="58">
        <v>6.5</v>
      </c>
      <c r="J42" s="59">
        <v>0</v>
      </c>
      <c r="K42" s="58">
        <v>0</v>
      </c>
      <c r="L42" s="59">
        <v>770</v>
      </c>
      <c r="M42" s="58">
        <v>8.6</v>
      </c>
      <c r="N42" s="59">
        <v>0</v>
      </c>
      <c r="O42" s="58">
        <v>0</v>
      </c>
      <c r="P42" s="59">
        <v>0</v>
      </c>
      <c r="Q42" s="58">
        <v>0</v>
      </c>
      <c r="R42" s="59">
        <v>140</v>
      </c>
      <c r="S42" s="58">
        <v>1.6</v>
      </c>
      <c r="T42" s="63">
        <v>8930</v>
      </c>
    </row>
    <row r="43" spans="1:20">
      <c r="A43" s="19">
        <v>2011</v>
      </c>
      <c r="B43" s="59">
        <v>3250</v>
      </c>
      <c r="C43" s="58">
        <v>34.5</v>
      </c>
      <c r="D43" s="59">
        <v>3250</v>
      </c>
      <c r="E43" s="58">
        <v>34.5</v>
      </c>
      <c r="F43" s="59">
        <v>3560</v>
      </c>
      <c r="G43" s="58">
        <v>37.799999999999997</v>
      </c>
      <c r="H43" s="59">
        <v>1800</v>
      </c>
      <c r="I43" s="58">
        <v>19.100000000000001</v>
      </c>
      <c r="J43" s="59">
        <v>0</v>
      </c>
      <c r="K43" s="58">
        <v>0</v>
      </c>
      <c r="L43" s="59">
        <v>660</v>
      </c>
      <c r="M43" s="58">
        <v>7</v>
      </c>
      <c r="N43" s="59">
        <v>0</v>
      </c>
      <c r="O43" s="58">
        <v>0</v>
      </c>
      <c r="P43" s="59">
        <v>0</v>
      </c>
      <c r="Q43" s="58">
        <v>0</v>
      </c>
      <c r="R43" s="59">
        <v>150</v>
      </c>
      <c r="S43" s="58">
        <v>1.6</v>
      </c>
      <c r="T43" s="63">
        <v>9420</v>
      </c>
    </row>
    <row r="44" spans="1:20">
      <c r="A44" s="19">
        <v>2012</v>
      </c>
      <c r="B44" s="59">
        <v>3320</v>
      </c>
      <c r="C44" s="58">
        <v>35.5</v>
      </c>
      <c r="D44" s="59">
        <v>3320</v>
      </c>
      <c r="E44" s="58">
        <v>35.5</v>
      </c>
      <c r="F44" s="59">
        <v>3550</v>
      </c>
      <c r="G44" s="58">
        <v>38</v>
      </c>
      <c r="H44" s="59">
        <v>1460</v>
      </c>
      <c r="I44" s="58">
        <v>15.6</v>
      </c>
      <c r="J44" s="59">
        <v>0</v>
      </c>
      <c r="K44" s="58">
        <v>0</v>
      </c>
      <c r="L44" s="59">
        <v>830</v>
      </c>
      <c r="M44" s="58">
        <v>8.9</v>
      </c>
      <c r="N44" s="59">
        <v>0</v>
      </c>
      <c r="O44" s="58">
        <v>0</v>
      </c>
      <c r="P44" s="59">
        <v>0</v>
      </c>
      <c r="Q44" s="58">
        <v>0</v>
      </c>
      <c r="R44" s="59">
        <v>180</v>
      </c>
      <c r="S44" s="58">
        <v>1.9</v>
      </c>
      <c r="T44" s="63">
        <v>9340</v>
      </c>
    </row>
    <row r="45" spans="1:20">
      <c r="A45" s="19">
        <v>2013</v>
      </c>
      <c r="B45" s="59">
        <v>3550</v>
      </c>
      <c r="C45" s="58">
        <v>39.1</v>
      </c>
      <c r="D45" s="59">
        <v>3570</v>
      </c>
      <c r="E45" s="58">
        <v>39.299999999999997</v>
      </c>
      <c r="F45" s="59">
        <v>3570</v>
      </c>
      <c r="G45" s="58">
        <v>39.299999999999997</v>
      </c>
      <c r="H45" s="59">
        <v>1010</v>
      </c>
      <c r="I45" s="58">
        <v>11.1</v>
      </c>
      <c r="J45" s="59">
        <v>0</v>
      </c>
      <c r="K45" s="58">
        <v>0</v>
      </c>
      <c r="L45" s="59">
        <v>750</v>
      </c>
      <c r="M45" s="58">
        <v>8.3000000000000007</v>
      </c>
      <c r="N45" s="59">
        <v>0</v>
      </c>
      <c r="O45" s="58">
        <v>0</v>
      </c>
      <c r="P45" s="59">
        <v>0</v>
      </c>
      <c r="Q45" s="58">
        <v>0</v>
      </c>
      <c r="R45" s="59">
        <v>210</v>
      </c>
      <c r="S45" s="58">
        <v>2.2999999999999998</v>
      </c>
      <c r="T45" s="63">
        <v>9090</v>
      </c>
    </row>
    <row r="46" spans="1:20">
      <c r="A46" s="19">
        <v>2014</v>
      </c>
      <c r="B46" s="59">
        <v>2890</v>
      </c>
      <c r="C46" s="58">
        <v>38.700000000000003</v>
      </c>
      <c r="D46" s="59">
        <v>2880</v>
      </c>
      <c r="E46" s="58">
        <v>38.6</v>
      </c>
      <c r="F46" s="59">
        <v>3500</v>
      </c>
      <c r="G46" s="58">
        <v>46.9</v>
      </c>
      <c r="H46" s="59">
        <v>250</v>
      </c>
      <c r="I46" s="58">
        <v>3.4</v>
      </c>
      <c r="J46" s="59">
        <v>0</v>
      </c>
      <c r="K46" s="58">
        <v>0</v>
      </c>
      <c r="L46" s="59">
        <v>610</v>
      </c>
      <c r="M46" s="58">
        <v>8.1999999999999993</v>
      </c>
      <c r="N46" s="59">
        <v>0</v>
      </c>
      <c r="O46" s="58">
        <v>0</v>
      </c>
      <c r="P46" s="59">
        <v>0</v>
      </c>
      <c r="Q46" s="58">
        <v>0</v>
      </c>
      <c r="R46" s="59">
        <v>210</v>
      </c>
      <c r="S46" s="58">
        <v>2.8</v>
      </c>
      <c r="T46" s="63">
        <v>7460</v>
      </c>
    </row>
    <row r="47" spans="1:20">
      <c r="A47" s="19">
        <v>2015</v>
      </c>
      <c r="B47" s="59">
        <v>3070</v>
      </c>
      <c r="C47" s="58">
        <v>38.9</v>
      </c>
      <c r="D47" s="59">
        <v>3060</v>
      </c>
      <c r="E47" s="58">
        <v>38.799999999999997</v>
      </c>
      <c r="F47" s="59">
        <v>3540</v>
      </c>
      <c r="G47" s="58">
        <v>44.9</v>
      </c>
      <c r="H47" s="59">
        <v>380</v>
      </c>
      <c r="I47" s="58">
        <v>4.8</v>
      </c>
      <c r="J47" s="59">
        <v>0</v>
      </c>
      <c r="K47" s="58">
        <v>0</v>
      </c>
      <c r="L47" s="59">
        <v>640</v>
      </c>
      <c r="M47" s="58">
        <v>8.1</v>
      </c>
      <c r="N47" s="59">
        <v>0</v>
      </c>
      <c r="O47" s="58">
        <v>0</v>
      </c>
      <c r="P47" s="59">
        <v>0</v>
      </c>
      <c r="Q47" s="58">
        <v>0</v>
      </c>
      <c r="R47" s="59">
        <v>260</v>
      </c>
      <c r="S47" s="58">
        <v>3.3</v>
      </c>
      <c r="T47" s="63">
        <v>7890</v>
      </c>
    </row>
    <row r="48" spans="1:20">
      <c r="A48" s="19">
        <v>2016</v>
      </c>
      <c r="B48" s="59">
        <v>3160</v>
      </c>
      <c r="C48" s="58">
        <v>38.299999999999997</v>
      </c>
      <c r="D48" s="59">
        <v>3170</v>
      </c>
      <c r="E48" s="58">
        <v>38.4</v>
      </c>
      <c r="F48" s="59">
        <v>3520</v>
      </c>
      <c r="G48" s="58">
        <v>42.6</v>
      </c>
      <c r="H48" s="59">
        <v>360</v>
      </c>
      <c r="I48" s="58">
        <v>4.4000000000000004</v>
      </c>
      <c r="J48" s="59">
        <v>0</v>
      </c>
      <c r="K48" s="58">
        <v>0</v>
      </c>
      <c r="L48" s="59">
        <v>950</v>
      </c>
      <c r="M48" s="58">
        <v>11.5</v>
      </c>
      <c r="N48" s="59">
        <v>0</v>
      </c>
      <c r="O48" s="58">
        <v>0</v>
      </c>
      <c r="P48" s="59">
        <v>0</v>
      </c>
      <c r="Q48" s="58">
        <v>0</v>
      </c>
      <c r="R48" s="59">
        <v>270</v>
      </c>
      <c r="S48" s="58">
        <v>3.3</v>
      </c>
      <c r="T48" s="63">
        <v>8260</v>
      </c>
    </row>
    <row r="49" spans="1:20">
      <c r="A49" s="19">
        <v>2017</v>
      </c>
      <c r="B49" s="59">
        <v>2980</v>
      </c>
      <c r="C49" s="58">
        <v>30.8</v>
      </c>
      <c r="D49" s="59">
        <v>2980</v>
      </c>
      <c r="E49" s="58">
        <v>30.8</v>
      </c>
      <c r="F49" s="59">
        <v>3510</v>
      </c>
      <c r="G49" s="58">
        <v>36.200000000000003</v>
      </c>
      <c r="H49" s="59">
        <v>1990</v>
      </c>
      <c r="I49" s="58">
        <v>20.5</v>
      </c>
      <c r="J49" s="59">
        <v>0</v>
      </c>
      <c r="K49" s="58">
        <v>0</v>
      </c>
      <c r="L49" s="59">
        <v>940</v>
      </c>
      <c r="M49" s="58">
        <v>9.6999999999999993</v>
      </c>
      <c r="N49" s="59">
        <v>0</v>
      </c>
      <c r="O49" s="58">
        <v>0</v>
      </c>
      <c r="P49" s="59">
        <v>0</v>
      </c>
      <c r="Q49" s="58">
        <v>0</v>
      </c>
      <c r="R49" s="59">
        <v>270</v>
      </c>
      <c r="S49" s="58">
        <v>2.8</v>
      </c>
      <c r="T49" s="63">
        <v>9690</v>
      </c>
    </row>
    <row r="50" spans="1:20">
      <c r="A50" s="19">
        <v>2018</v>
      </c>
      <c r="B50" s="59">
        <v>2730</v>
      </c>
      <c r="C50" s="58">
        <v>31</v>
      </c>
      <c r="D50" s="59">
        <v>2730</v>
      </c>
      <c r="E50" s="58">
        <v>31</v>
      </c>
      <c r="F50" s="59">
        <v>3470</v>
      </c>
      <c r="G50" s="58">
        <v>39.299999999999997</v>
      </c>
      <c r="H50" s="59">
        <v>1320</v>
      </c>
      <c r="I50" s="58">
        <v>15</v>
      </c>
      <c r="J50" s="59">
        <v>0</v>
      </c>
      <c r="K50" s="58">
        <v>0</v>
      </c>
      <c r="L50" s="59">
        <v>880</v>
      </c>
      <c r="M50" s="58">
        <v>10</v>
      </c>
      <c r="N50" s="59">
        <v>0</v>
      </c>
      <c r="O50" s="58">
        <v>0</v>
      </c>
      <c r="P50" s="59">
        <v>0</v>
      </c>
      <c r="Q50" s="58">
        <v>0</v>
      </c>
      <c r="R50" s="59">
        <v>420</v>
      </c>
      <c r="S50" s="58">
        <v>4.8</v>
      </c>
      <c r="T50" s="63">
        <v>8820</v>
      </c>
    </row>
    <row r="51" spans="1:20">
      <c r="A51" s="19">
        <v>2019</v>
      </c>
      <c r="B51" s="59">
        <v>2590</v>
      </c>
      <c r="C51" s="58">
        <v>30.9</v>
      </c>
      <c r="D51" s="59">
        <v>2590</v>
      </c>
      <c r="E51" s="58">
        <v>30.9</v>
      </c>
      <c r="F51" s="59">
        <v>3390</v>
      </c>
      <c r="G51" s="58">
        <v>40.4</v>
      </c>
      <c r="H51" s="59">
        <v>1000</v>
      </c>
      <c r="I51" s="58">
        <v>11.9</v>
      </c>
      <c r="J51" s="59">
        <v>0</v>
      </c>
      <c r="K51" s="58">
        <v>0</v>
      </c>
      <c r="L51" s="59">
        <v>900</v>
      </c>
      <c r="M51" s="58">
        <v>10.7</v>
      </c>
      <c r="N51" s="59">
        <v>0</v>
      </c>
      <c r="O51" s="58">
        <v>0</v>
      </c>
      <c r="P51" s="59">
        <v>0</v>
      </c>
      <c r="Q51" s="58">
        <v>0</v>
      </c>
      <c r="R51" s="59">
        <v>510</v>
      </c>
      <c r="S51" s="58">
        <v>6.1</v>
      </c>
      <c r="T51" s="63">
        <v>8390</v>
      </c>
    </row>
    <row r="52" spans="1:20">
      <c r="A52" s="19">
        <v>2020</v>
      </c>
      <c r="B52" s="59">
        <v>2360</v>
      </c>
      <c r="C52" s="58">
        <v>28.6</v>
      </c>
      <c r="D52" s="59">
        <v>2360</v>
      </c>
      <c r="E52" s="58">
        <v>28.6</v>
      </c>
      <c r="F52" s="59">
        <v>3340</v>
      </c>
      <c r="G52" s="58">
        <v>40.5</v>
      </c>
      <c r="H52" s="59">
        <v>1260</v>
      </c>
      <c r="I52" s="58">
        <v>15.3</v>
      </c>
      <c r="J52" s="59">
        <v>0</v>
      </c>
      <c r="K52" s="58">
        <v>0</v>
      </c>
      <c r="L52" s="59">
        <v>840</v>
      </c>
      <c r="M52" s="58">
        <v>10.199999999999999</v>
      </c>
      <c r="N52" s="59">
        <v>0</v>
      </c>
      <c r="O52" s="58">
        <v>0</v>
      </c>
      <c r="P52" s="59">
        <v>0</v>
      </c>
      <c r="Q52" s="58">
        <v>0</v>
      </c>
      <c r="R52" s="59">
        <v>450</v>
      </c>
      <c r="S52" s="58">
        <v>5.5</v>
      </c>
      <c r="T52" s="63">
        <v>8250</v>
      </c>
    </row>
    <row r="53" spans="1:20">
      <c r="A53" s="19">
        <v>2021</v>
      </c>
      <c r="B53" s="59">
        <v>2670</v>
      </c>
      <c r="C53" s="58">
        <v>26.3</v>
      </c>
      <c r="D53" s="59">
        <v>2670</v>
      </c>
      <c r="E53" s="58">
        <v>26.3</v>
      </c>
      <c r="F53" s="59">
        <v>3510</v>
      </c>
      <c r="G53" s="58">
        <v>34.5</v>
      </c>
      <c r="H53" s="59">
        <v>2470</v>
      </c>
      <c r="I53" s="58">
        <v>24.3</v>
      </c>
      <c r="J53" s="59">
        <v>0</v>
      </c>
      <c r="K53" s="58">
        <v>0</v>
      </c>
      <c r="L53" s="59">
        <v>960</v>
      </c>
      <c r="M53" s="58">
        <v>9.4</v>
      </c>
      <c r="N53" s="59">
        <v>0</v>
      </c>
      <c r="O53" s="58">
        <v>0</v>
      </c>
      <c r="P53" s="59">
        <v>0</v>
      </c>
      <c r="Q53" s="58">
        <v>0</v>
      </c>
      <c r="R53" s="59">
        <v>550</v>
      </c>
      <c r="S53" s="58">
        <v>5.4</v>
      </c>
      <c r="T53" s="63">
        <v>10160</v>
      </c>
    </row>
    <row r="54" spans="1:20">
      <c r="A54" s="19">
        <v>2022</v>
      </c>
      <c r="B54" s="59">
        <v>2120</v>
      </c>
      <c r="C54" s="58">
        <v>24.1</v>
      </c>
      <c r="D54" s="59">
        <v>2120</v>
      </c>
      <c r="E54" s="58">
        <v>24.1</v>
      </c>
      <c r="F54" s="59">
        <v>3490</v>
      </c>
      <c r="G54" s="58">
        <v>39.700000000000003</v>
      </c>
      <c r="H54" s="59">
        <v>1820</v>
      </c>
      <c r="I54" s="58">
        <v>20.7</v>
      </c>
      <c r="J54" s="59">
        <v>0</v>
      </c>
      <c r="K54" s="58">
        <v>0</v>
      </c>
      <c r="L54" s="59">
        <v>830</v>
      </c>
      <c r="M54" s="58">
        <v>9.4</v>
      </c>
      <c r="N54" s="59">
        <v>0</v>
      </c>
      <c r="O54" s="58">
        <v>0</v>
      </c>
      <c r="P54" s="59">
        <v>0</v>
      </c>
      <c r="Q54" s="58">
        <v>0</v>
      </c>
      <c r="R54" s="59">
        <v>540</v>
      </c>
      <c r="S54" s="58">
        <v>6.1</v>
      </c>
      <c r="T54" s="63">
        <v>8800</v>
      </c>
    </row>
    <row r="55" spans="1:20">
      <c r="A55" s="19">
        <v>2023</v>
      </c>
      <c r="B55" s="59">
        <v>2070</v>
      </c>
      <c r="C55" s="58">
        <v>22.7</v>
      </c>
      <c r="D55" s="59">
        <v>2070</v>
      </c>
      <c r="E55" s="58">
        <v>22.7</v>
      </c>
      <c r="F55" s="59">
        <v>3370</v>
      </c>
      <c r="G55" s="58">
        <v>36.9</v>
      </c>
      <c r="H55" s="59">
        <v>2220</v>
      </c>
      <c r="I55" s="58">
        <v>24.3</v>
      </c>
      <c r="J55" s="59">
        <v>0</v>
      </c>
      <c r="K55" s="58">
        <v>0</v>
      </c>
      <c r="L55" s="59">
        <v>870</v>
      </c>
      <c r="M55" s="58">
        <v>9.5</v>
      </c>
      <c r="N55" s="59">
        <v>0</v>
      </c>
      <c r="O55" s="58">
        <v>0</v>
      </c>
      <c r="P55" s="59">
        <v>0</v>
      </c>
      <c r="Q55" s="58">
        <v>0</v>
      </c>
      <c r="R55" s="59">
        <v>600</v>
      </c>
      <c r="S55" s="58">
        <v>6.6</v>
      </c>
      <c r="T55" s="63">
        <v>9130</v>
      </c>
    </row>
    <row r="56" spans="1:20" ht="13">
      <c r="A56" s="48">
        <v>2024</v>
      </c>
      <c r="B56" s="69">
        <v>2030</v>
      </c>
      <c r="C56" s="70">
        <v>22.6</v>
      </c>
      <c r="D56" s="69">
        <v>2030</v>
      </c>
      <c r="E56" s="70">
        <v>22.6</v>
      </c>
      <c r="F56" s="69">
        <v>3330</v>
      </c>
      <c r="G56" s="70">
        <v>37</v>
      </c>
      <c r="H56" s="69">
        <v>2220</v>
      </c>
      <c r="I56" s="70">
        <v>24.7</v>
      </c>
      <c r="J56" s="69">
        <v>0</v>
      </c>
      <c r="K56" s="70">
        <v>0</v>
      </c>
      <c r="L56" s="69">
        <v>820</v>
      </c>
      <c r="M56" s="70">
        <v>9.1</v>
      </c>
      <c r="N56" s="69">
        <v>0</v>
      </c>
      <c r="O56" s="70">
        <v>0</v>
      </c>
      <c r="P56" s="69">
        <v>0</v>
      </c>
      <c r="Q56" s="70">
        <v>0</v>
      </c>
      <c r="R56" s="69">
        <v>600</v>
      </c>
      <c r="S56" s="70">
        <v>6.7</v>
      </c>
      <c r="T56" s="71">
        <v>9000</v>
      </c>
    </row>
    <row r="57" spans="1:20" ht="13">
      <c r="A57" s="31"/>
      <c r="B57" s="32"/>
      <c r="C57" s="76"/>
      <c r="D57" s="32"/>
      <c r="E57" s="76"/>
      <c r="F57" s="32"/>
      <c r="G57" s="76"/>
      <c r="H57" s="32"/>
      <c r="I57" s="76"/>
      <c r="J57" s="32"/>
      <c r="K57" s="76"/>
      <c r="L57" s="32"/>
      <c r="M57" s="76"/>
      <c r="N57" s="32"/>
      <c r="O57" s="76"/>
      <c r="P57" s="32"/>
      <c r="Q57" s="76"/>
      <c r="R57" s="32"/>
      <c r="S57" s="76"/>
      <c r="T57" s="32"/>
    </row>
    <row r="58" spans="1:20">
      <c r="A58" s="77" t="s">
        <v>284</v>
      </c>
      <c r="B58" s="77"/>
      <c r="C58" s="77"/>
      <c r="D58" s="77"/>
      <c r="E58" s="77"/>
      <c r="F58" s="77"/>
      <c r="G58" s="77"/>
      <c r="H58" s="77"/>
      <c r="I58" s="77"/>
      <c r="J58" s="77"/>
      <c r="K58" s="77"/>
      <c r="L58" s="77" t="s">
        <v>285</v>
      </c>
      <c r="M58" s="77"/>
      <c r="N58" s="77"/>
      <c r="O58" s="77"/>
      <c r="P58" s="77"/>
      <c r="Q58" s="77"/>
      <c r="R58" s="77"/>
      <c r="S58" s="77"/>
      <c r="T58" s="77"/>
    </row>
    <row r="59" spans="1:20" ht="12.75" customHeight="1">
      <c r="A59" s="77" t="s">
        <v>286</v>
      </c>
      <c r="B59" s="78"/>
      <c r="C59" s="78"/>
      <c r="D59" s="78"/>
      <c r="E59" s="78"/>
      <c r="F59" s="78"/>
      <c r="G59" s="78"/>
      <c r="L59" s="77" t="s">
        <v>287</v>
      </c>
      <c r="M59" s="78"/>
      <c r="N59" s="78"/>
      <c r="O59" s="78"/>
      <c r="P59" s="78"/>
    </row>
    <row r="60" spans="1:20" ht="12.75" customHeight="1">
      <c r="A60" s="77" t="s">
        <v>254</v>
      </c>
      <c r="B60" s="78"/>
      <c r="C60" s="78"/>
      <c r="D60" s="78"/>
      <c r="E60" s="78"/>
      <c r="F60" s="78"/>
      <c r="G60" s="78"/>
      <c r="L60" s="77" t="s">
        <v>255</v>
      </c>
      <c r="M60" s="78"/>
      <c r="N60" s="78"/>
    </row>
    <row r="61" spans="1:20">
      <c r="A61" s="77" t="s">
        <v>276</v>
      </c>
      <c r="B61" s="78"/>
      <c r="C61" s="78"/>
      <c r="D61" s="78"/>
      <c r="E61" s="78"/>
      <c r="F61" s="78"/>
      <c r="G61" s="78"/>
      <c r="L61" s="77" t="s">
        <v>277</v>
      </c>
      <c r="M61" s="78"/>
      <c r="N61" s="78"/>
      <c r="O61" s="78"/>
      <c r="P61" s="78"/>
    </row>
    <row r="62" spans="1:20">
      <c r="A62" s="77"/>
      <c r="L62" s="77"/>
    </row>
    <row r="63" spans="1:20">
      <c r="A63" s="77"/>
      <c r="L63" s="77"/>
    </row>
    <row r="65" spans="1:7" ht="12.75" customHeight="1">
      <c r="F65" s="109"/>
      <c r="G65" s="109"/>
    </row>
    <row r="66" spans="1:7">
      <c r="A66" s="35" t="s">
        <v>75</v>
      </c>
    </row>
    <row r="67" spans="1:7">
      <c r="A67" s="35" t="s">
        <v>76</v>
      </c>
    </row>
    <row r="68" spans="1:7">
      <c r="A68" s="35" t="s">
        <v>77</v>
      </c>
    </row>
  </sheetData>
  <mergeCells count="23">
    <mergeCell ref="A7:A8"/>
    <mergeCell ref="B7:E7"/>
    <mergeCell ref="F7:G8"/>
    <mergeCell ref="H7:I8"/>
    <mergeCell ref="J7:K8"/>
    <mergeCell ref="R7:S8"/>
    <mergeCell ref="T7:T10"/>
    <mergeCell ref="B8:C8"/>
    <mergeCell ref="D8:E8"/>
    <mergeCell ref="N9:O10"/>
    <mergeCell ref="P9:Q10"/>
    <mergeCell ref="R9:S10"/>
    <mergeCell ref="L7:M8"/>
    <mergeCell ref="L9:M10"/>
    <mergeCell ref="B10:C10"/>
    <mergeCell ref="D10:E10"/>
    <mergeCell ref="N7:O8"/>
    <mergeCell ref="P7:Q8"/>
    <mergeCell ref="A9:A11"/>
    <mergeCell ref="B9:E9"/>
    <mergeCell ref="F9:G10"/>
    <mergeCell ref="H9:I10"/>
    <mergeCell ref="J9:K10"/>
  </mergeCells>
  <conditionalFormatting sqref="B12:T41">
    <cfRule type="expression" dxfId="11" priority="2">
      <formula>Z12&lt;&gt;0</formula>
    </cfRule>
  </conditionalFormatting>
  <conditionalFormatting sqref="B42:T57">
    <cfRule type="expression" dxfId="10" priority="1">
      <formula>#REF!&lt;&gt;0</formula>
    </cfRule>
  </conditionalFormatting>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ECFAD-AD9D-401A-B621-24C41AF9C8B0}">
  <sheetPr codeName="Tabelle29"/>
  <dimension ref="A1:K86"/>
  <sheetViews>
    <sheetView workbookViewId="0"/>
  </sheetViews>
  <sheetFormatPr defaultColWidth="11.54296875" defaultRowHeight="12.5"/>
  <cols>
    <col min="1" max="1" width="8.7265625" style="4" customWidth="1"/>
    <col min="2" max="10" width="12.7265625" style="4" customWidth="1"/>
    <col min="11" max="16384" width="11.54296875" style="4"/>
  </cols>
  <sheetData>
    <row r="1" spans="1:10" ht="15">
      <c r="A1" s="3" t="s">
        <v>324</v>
      </c>
      <c r="J1" s="114" t="s">
        <v>325</v>
      </c>
    </row>
    <row r="2" spans="1:10" ht="15">
      <c r="A2" s="3" t="s">
        <v>326</v>
      </c>
      <c r="J2" s="114" t="s">
        <v>327</v>
      </c>
    </row>
    <row r="4" spans="1:10" ht="13.15" customHeight="1">
      <c r="A4" s="283" t="s">
        <v>55</v>
      </c>
      <c r="B4" s="309" t="s">
        <v>328</v>
      </c>
      <c r="C4" s="309" t="s">
        <v>329</v>
      </c>
      <c r="D4" s="309" t="s">
        <v>330</v>
      </c>
      <c r="E4" s="309"/>
      <c r="F4" s="309" t="s">
        <v>331</v>
      </c>
      <c r="G4" s="309" t="s">
        <v>332</v>
      </c>
      <c r="H4" s="309" t="s">
        <v>333</v>
      </c>
      <c r="I4" s="309" t="s">
        <v>334</v>
      </c>
      <c r="J4" s="284" t="s">
        <v>335</v>
      </c>
    </row>
    <row r="5" spans="1:10">
      <c r="A5" s="287"/>
      <c r="B5" s="305"/>
      <c r="C5" s="305"/>
      <c r="D5" s="97" t="s">
        <v>61</v>
      </c>
      <c r="E5" s="97" t="s">
        <v>336</v>
      </c>
      <c r="F5" s="305"/>
      <c r="G5" s="305"/>
      <c r="H5" s="305"/>
      <c r="I5" s="305"/>
      <c r="J5" s="288" t="s">
        <v>337</v>
      </c>
    </row>
    <row r="6" spans="1:10" ht="13.15" customHeight="1">
      <c r="A6" s="287" t="s">
        <v>62</v>
      </c>
      <c r="B6" s="305" t="s">
        <v>338</v>
      </c>
      <c r="C6" s="305" t="s">
        <v>339</v>
      </c>
      <c r="D6" s="305" t="s">
        <v>340</v>
      </c>
      <c r="E6" s="305"/>
      <c r="F6" s="305" t="s">
        <v>341</v>
      </c>
      <c r="G6" s="305" t="s">
        <v>342</v>
      </c>
      <c r="H6" s="305" t="s">
        <v>343</v>
      </c>
      <c r="I6" s="305" t="s">
        <v>344</v>
      </c>
      <c r="J6" s="288" t="s">
        <v>345</v>
      </c>
    </row>
    <row r="7" spans="1:10">
      <c r="A7" s="324"/>
      <c r="B7" s="322"/>
      <c r="C7" s="322"/>
      <c r="D7" s="12" t="s">
        <v>61</v>
      </c>
      <c r="E7" s="12" t="s">
        <v>346</v>
      </c>
      <c r="F7" s="322"/>
      <c r="G7" s="322"/>
      <c r="H7" s="322"/>
      <c r="I7" s="322"/>
      <c r="J7" s="323"/>
    </row>
    <row r="8" spans="1:10">
      <c r="A8" s="115">
        <v>1973</v>
      </c>
      <c r="B8" s="15">
        <v>7039</v>
      </c>
      <c r="C8" s="21">
        <v>2472</v>
      </c>
      <c r="D8" s="21">
        <v>2503</v>
      </c>
      <c r="E8" s="21"/>
      <c r="F8" s="21">
        <v>657</v>
      </c>
      <c r="G8" s="21">
        <v>789</v>
      </c>
      <c r="H8" s="21"/>
      <c r="I8" s="21">
        <v>83</v>
      </c>
      <c r="J8" s="47">
        <v>13543</v>
      </c>
    </row>
    <row r="9" spans="1:10">
      <c r="A9" s="115">
        <v>1975</v>
      </c>
      <c r="B9" s="21">
        <v>6224</v>
      </c>
      <c r="C9" s="21">
        <v>1209</v>
      </c>
      <c r="D9" s="21">
        <v>2444</v>
      </c>
      <c r="E9" s="21"/>
      <c r="F9" s="21">
        <v>663</v>
      </c>
      <c r="G9" s="21">
        <v>621</v>
      </c>
      <c r="H9" s="21"/>
      <c r="I9" s="21">
        <v>86</v>
      </c>
      <c r="J9" s="47">
        <v>11247</v>
      </c>
    </row>
    <row r="10" spans="1:10">
      <c r="A10" s="115">
        <v>1976</v>
      </c>
      <c r="B10" s="21">
        <v>6410</v>
      </c>
      <c r="C10" s="21">
        <v>1168</v>
      </c>
      <c r="D10" s="21">
        <v>2440</v>
      </c>
      <c r="E10" s="21"/>
      <c r="F10" s="21">
        <v>675</v>
      </c>
      <c r="G10" s="21">
        <v>636</v>
      </c>
      <c r="H10" s="21"/>
      <c r="I10" s="21">
        <v>78</v>
      </c>
      <c r="J10" s="47">
        <v>11407</v>
      </c>
    </row>
    <row r="11" spans="1:10">
      <c r="A11" s="115">
        <v>1977</v>
      </c>
      <c r="B11" s="21">
        <v>6098</v>
      </c>
      <c r="C11" s="21">
        <v>1309</v>
      </c>
      <c r="D11" s="21">
        <v>2582</v>
      </c>
      <c r="E11" s="21"/>
      <c r="F11" s="21">
        <v>765</v>
      </c>
      <c r="G11" s="21">
        <v>645</v>
      </c>
      <c r="H11" s="21"/>
      <c r="I11" s="21">
        <v>68</v>
      </c>
      <c r="J11" s="47">
        <v>11467</v>
      </c>
    </row>
    <row r="12" spans="1:10">
      <c r="A12" s="115">
        <v>1978</v>
      </c>
      <c r="B12" s="21">
        <v>6669</v>
      </c>
      <c r="C12" s="21">
        <v>1303</v>
      </c>
      <c r="D12" s="21">
        <v>2609</v>
      </c>
      <c r="E12" s="21"/>
      <c r="F12" s="21">
        <v>764</v>
      </c>
      <c r="G12" s="21">
        <v>687</v>
      </c>
      <c r="H12" s="21"/>
      <c r="I12" s="21">
        <v>79</v>
      </c>
      <c r="J12" s="47">
        <v>12111</v>
      </c>
    </row>
    <row r="13" spans="1:10">
      <c r="A13" s="115">
        <v>1979</v>
      </c>
      <c r="B13" s="21">
        <v>6189</v>
      </c>
      <c r="C13" s="21">
        <v>1163</v>
      </c>
      <c r="D13" s="21">
        <v>2594</v>
      </c>
      <c r="E13" s="21"/>
      <c r="F13" s="21">
        <v>756</v>
      </c>
      <c r="G13" s="21">
        <v>681</v>
      </c>
      <c r="H13" s="21">
        <v>68</v>
      </c>
      <c r="I13" s="21">
        <v>124</v>
      </c>
      <c r="J13" s="47">
        <v>11575</v>
      </c>
    </row>
    <row r="14" spans="1:10">
      <c r="A14" s="115">
        <v>1980</v>
      </c>
      <c r="B14" s="21">
        <v>6197</v>
      </c>
      <c r="C14" s="21">
        <v>1084</v>
      </c>
      <c r="D14" s="21">
        <v>2744</v>
      </c>
      <c r="E14" s="21"/>
      <c r="F14" s="21">
        <v>768</v>
      </c>
      <c r="G14" s="21">
        <v>759</v>
      </c>
      <c r="H14" s="21">
        <v>70</v>
      </c>
      <c r="I14" s="21">
        <v>90</v>
      </c>
      <c r="J14" s="47">
        <v>11712</v>
      </c>
    </row>
    <row r="15" spans="1:10">
      <c r="A15" s="115">
        <v>1981</v>
      </c>
      <c r="B15" s="21">
        <v>5824</v>
      </c>
      <c r="C15" s="21">
        <v>852</v>
      </c>
      <c r="D15" s="21">
        <v>2850</v>
      </c>
      <c r="E15" s="21"/>
      <c r="F15" s="21">
        <v>725</v>
      </c>
      <c r="G15" s="21">
        <v>763</v>
      </c>
      <c r="H15" s="21">
        <v>46</v>
      </c>
      <c r="I15" s="21">
        <v>65</v>
      </c>
      <c r="J15" s="47">
        <v>11125</v>
      </c>
    </row>
    <row r="16" spans="1:10">
      <c r="A16" s="115">
        <v>1982</v>
      </c>
      <c r="B16" s="21">
        <v>5464</v>
      </c>
      <c r="C16" s="21">
        <v>728</v>
      </c>
      <c r="D16" s="21">
        <v>2888</v>
      </c>
      <c r="E16" s="21"/>
      <c r="F16" s="21">
        <v>718</v>
      </c>
      <c r="G16" s="21">
        <v>782</v>
      </c>
      <c r="H16" s="21">
        <v>90</v>
      </c>
      <c r="I16" s="21">
        <v>73</v>
      </c>
      <c r="J16" s="47">
        <v>10743</v>
      </c>
    </row>
    <row r="17" spans="1:10">
      <c r="A17" s="115">
        <v>1983</v>
      </c>
      <c r="B17" s="21">
        <v>5600</v>
      </c>
      <c r="C17" s="21">
        <v>646</v>
      </c>
      <c r="D17" s="21">
        <v>3014</v>
      </c>
      <c r="E17" s="21"/>
      <c r="F17" s="21">
        <v>783</v>
      </c>
      <c r="G17" s="21">
        <v>782</v>
      </c>
      <c r="H17" s="21">
        <v>135</v>
      </c>
      <c r="I17" s="21">
        <v>72</v>
      </c>
      <c r="J17" s="47">
        <v>11032</v>
      </c>
    </row>
    <row r="18" spans="1:10">
      <c r="A18" s="115">
        <v>1984</v>
      </c>
      <c r="B18" s="21">
        <v>5832</v>
      </c>
      <c r="C18" s="21">
        <v>589</v>
      </c>
      <c r="D18" s="21">
        <v>3087</v>
      </c>
      <c r="E18" s="21"/>
      <c r="F18" s="21">
        <v>828</v>
      </c>
      <c r="G18" s="21">
        <v>836</v>
      </c>
      <c r="H18" s="21">
        <v>22</v>
      </c>
      <c r="I18" s="21">
        <v>68</v>
      </c>
      <c r="J18" s="47">
        <v>11262</v>
      </c>
    </row>
    <row r="19" spans="1:10">
      <c r="A19" s="115">
        <v>1985</v>
      </c>
      <c r="B19" s="21">
        <v>5827</v>
      </c>
      <c r="C19" s="21">
        <v>506</v>
      </c>
      <c r="D19" s="21">
        <v>3058</v>
      </c>
      <c r="E19" s="21">
        <v>251</v>
      </c>
      <c r="F19" s="21">
        <v>883</v>
      </c>
      <c r="G19" s="21">
        <v>861</v>
      </c>
      <c r="H19" s="21">
        <v>25</v>
      </c>
      <c r="I19" s="21">
        <v>117</v>
      </c>
      <c r="J19" s="47">
        <v>11277</v>
      </c>
    </row>
    <row r="20" spans="1:10">
      <c r="A20" s="115">
        <v>1986</v>
      </c>
      <c r="B20" s="21">
        <v>5816</v>
      </c>
      <c r="C20" s="21">
        <v>603</v>
      </c>
      <c r="D20" s="21">
        <v>3197</v>
      </c>
      <c r="E20" s="21">
        <v>621</v>
      </c>
      <c r="F20" s="21">
        <v>930</v>
      </c>
      <c r="G20" s="21">
        <v>896</v>
      </c>
      <c r="H20" s="21">
        <v>36</v>
      </c>
      <c r="I20" s="21">
        <v>106</v>
      </c>
      <c r="J20" s="47">
        <v>11584</v>
      </c>
    </row>
    <row r="21" spans="1:10">
      <c r="A21" s="115">
        <v>1987</v>
      </c>
      <c r="B21" s="21">
        <v>5605</v>
      </c>
      <c r="C21" s="21">
        <v>687</v>
      </c>
      <c r="D21" s="21">
        <v>3298</v>
      </c>
      <c r="E21" s="21">
        <v>898</v>
      </c>
      <c r="F21" s="21">
        <v>957</v>
      </c>
      <c r="G21" s="21">
        <v>925</v>
      </c>
      <c r="H21" s="21">
        <v>25</v>
      </c>
      <c r="I21" s="21">
        <v>102</v>
      </c>
      <c r="J21" s="47">
        <v>11599</v>
      </c>
    </row>
    <row r="22" spans="1:10">
      <c r="A22" s="115">
        <v>1988</v>
      </c>
      <c r="B22" s="21">
        <v>5381</v>
      </c>
      <c r="C22" s="21">
        <v>749</v>
      </c>
      <c r="D22" s="21">
        <v>3429</v>
      </c>
      <c r="E22" s="21">
        <v>1250</v>
      </c>
      <c r="F22" s="21">
        <v>1019</v>
      </c>
      <c r="G22" s="21">
        <v>981</v>
      </c>
      <c r="H22" s="21">
        <v>35</v>
      </c>
      <c r="I22" s="21">
        <v>98</v>
      </c>
      <c r="J22" s="47">
        <v>11692</v>
      </c>
    </row>
    <row r="23" spans="1:10">
      <c r="A23" s="115">
        <v>1989</v>
      </c>
      <c r="B23" s="21">
        <v>5139</v>
      </c>
      <c r="C23" s="21">
        <v>628</v>
      </c>
      <c r="D23" s="21">
        <v>3539</v>
      </c>
      <c r="E23" s="21">
        <v>1566</v>
      </c>
      <c r="F23" s="21">
        <v>1062</v>
      </c>
      <c r="G23" s="21">
        <v>1036</v>
      </c>
      <c r="H23" s="21">
        <v>59</v>
      </c>
      <c r="I23" s="21">
        <v>92</v>
      </c>
      <c r="J23" s="47">
        <v>11555</v>
      </c>
    </row>
    <row r="24" spans="1:10">
      <c r="A24" s="115">
        <v>1990</v>
      </c>
      <c r="B24" s="21">
        <v>5136</v>
      </c>
      <c r="C24" s="21">
        <v>458</v>
      </c>
      <c r="D24" s="21">
        <v>3702</v>
      </c>
      <c r="E24" s="21">
        <v>1885</v>
      </c>
      <c r="F24" s="21">
        <v>1118</v>
      </c>
      <c r="G24" s="21">
        <v>1117</v>
      </c>
      <c r="H24" s="21">
        <v>40</v>
      </c>
      <c r="I24" s="21">
        <v>99</v>
      </c>
      <c r="J24" s="47">
        <v>11670</v>
      </c>
    </row>
    <row r="25" spans="1:10">
      <c r="A25" s="115">
        <v>1991</v>
      </c>
      <c r="B25" s="21">
        <v>5585</v>
      </c>
      <c r="C25" s="21">
        <v>422</v>
      </c>
      <c r="D25" s="21">
        <v>3856</v>
      </c>
      <c r="E25" s="21">
        <v>2215</v>
      </c>
      <c r="F25" s="21">
        <v>1083</v>
      </c>
      <c r="G25" s="21">
        <v>1133</v>
      </c>
      <c r="H25" s="21">
        <v>28</v>
      </c>
      <c r="I25" s="21">
        <v>117</v>
      </c>
      <c r="J25" s="47">
        <v>12224</v>
      </c>
    </row>
    <row r="26" spans="1:10">
      <c r="A26" s="115">
        <v>1992</v>
      </c>
      <c r="B26" s="21">
        <v>5539</v>
      </c>
      <c r="C26" s="21">
        <v>409</v>
      </c>
      <c r="D26" s="21">
        <v>3995</v>
      </c>
      <c r="E26" s="21">
        <v>2590</v>
      </c>
      <c r="F26" s="21">
        <v>1142</v>
      </c>
      <c r="G26" s="21">
        <v>1098</v>
      </c>
      <c r="H26" s="21">
        <v>9</v>
      </c>
      <c r="I26" s="21">
        <v>103</v>
      </c>
      <c r="J26" s="47">
        <v>12295</v>
      </c>
    </row>
    <row r="27" spans="1:10">
      <c r="A27" s="115">
        <v>1993</v>
      </c>
      <c r="B27" s="21">
        <v>5292</v>
      </c>
      <c r="C27" s="21">
        <v>349</v>
      </c>
      <c r="D27" s="21">
        <v>3705</v>
      </c>
      <c r="E27" s="21">
        <v>2712</v>
      </c>
      <c r="F27" s="21">
        <v>1181</v>
      </c>
      <c r="G27" s="21">
        <v>1057</v>
      </c>
      <c r="H27" s="21">
        <v>32</v>
      </c>
      <c r="I27" s="21">
        <v>100</v>
      </c>
      <c r="J27" s="47">
        <v>11716</v>
      </c>
    </row>
    <row r="28" spans="1:10">
      <c r="A28" s="115">
        <v>1994</v>
      </c>
      <c r="B28" s="21">
        <v>4869</v>
      </c>
      <c r="C28" s="21">
        <v>362</v>
      </c>
      <c r="D28" s="21">
        <v>3703</v>
      </c>
      <c r="E28" s="21">
        <v>2924</v>
      </c>
      <c r="F28" s="21">
        <v>1212</v>
      </c>
      <c r="G28" s="21">
        <v>1121</v>
      </c>
      <c r="H28" s="21">
        <v>42</v>
      </c>
      <c r="I28" s="21">
        <v>102</v>
      </c>
      <c r="J28" s="47">
        <v>11411</v>
      </c>
    </row>
    <row r="29" spans="1:10">
      <c r="A29" s="115">
        <v>1995</v>
      </c>
      <c r="B29" s="21">
        <v>5118</v>
      </c>
      <c r="C29" s="21">
        <v>332</v>
      </c>
      <c r="D29" s="21">
        <v>3590</v>
      </c>
      <c r="E29" s="21">
        <v>3006</v>
      </c>
      <c r="F29" s="21">
        <v>1278</v>
      </c>
      <c r="G29" s="21">
        <v>1141</v>
      </c>
      <c r="H29" s="21">
        <v>36</v>
      </c>
      <c r="I29" s="21">
        <v>102</v>
      </c>
      <c r="J29" s="47">
        <v>11597</v>
      </c>
    </row>
    <row r="30" spans="1:10">
      <c r="A30" s="115">
        <v>1996</v>
      </c>
      <c r="B30" s="21">
        <v>5316</v>
      </c>
      <c r="C30" s="21">
        <v>269</v>
      </c>
      <c r="D30" s="21">
        <v>3682</v>
      </c>
      <c r="E30" s="21">
        <v>3223</v>
      </c>
      <c r="F30" s="21">
        <v>1320</v>
      </c>
      <c r="G30" s="21">
        <v>1071</v>
      </c>
      <c r="H30" s="21">
        <v>29</v>
      </c>
      <c r="I30" s="21">
        <v>108</v>
      </c>
      <c r="J30" s="47">
        <v>11795</v>
      </c>
    </row>
    <row r="31" spans="1:10">
      <c r="A31" s="115">
        <v>1997</v>
      </c>
      <c r="B31" s="21">
        <v>4983</v>
      </c>
      <c r="C31" s="21">
        <v>237</v>
      </c>
      <c r="D31" s="21">
        <v>3823</v>
      </c>
      <c r="E31" s="21">
        <v>3460</v>
      </c>
      <c r="F31" s="21">
        <v>1367</v>
      </c>
      <c r="G31" s="21">
        <v>1113</v>
      </c>
      <c r="H31" s="21">
        <v>8</v>
      </c>
      <c r="I31" s="21">
        <v>126</v>
      </c>
      <c r="J31" s="47">
        <v>11657</v>
      </c>
    </row>
    <row r="32" spans="1:10">
      <c r="A32" s="115">
        <v>1998</v>
      </c>
      <c r="B32" s="21">
        <v>5229</v>
      </c>
      <c r="C32" s="21">
        <v>252</v>
      </c>
      <c r="D32" s="21">
        <v>3851</v>
      </c>
      <c r="E32" s="21">
        <v>3590</v>
      </c>
      <c r="F32" s="21">
        <v>1425</v>
      </c>
      <c r="G32" s="21">
        <v>1157</v>
      </c>
      <c r="H32" s="21">
        <v>13</v>
      </c>
      <c r="I32" s="21">
        <v>134</v>
      </c>
      <c r="J32" s="47">
        <v>12061</v>
      </c>
    </row>
    <row r="33" spans="1:10">
      <c r="A33" s="115">
        <v>1999</v>
      </c>
      <c r="B33" s="21">
        <v>4982</v>
      </c>
      <c r="C33" s="21">
        <v>198</v>
      </c>
      <c r="D33" s="21">
        <v>3979</v>
      </c>
      <c r="E33" s="21">
        <v>3821</v>
      </c>
      <c r="F33" s="21">
        <v>1517</v>
      </c>
      <c r="G33" s="21">
        <v>1227</v>
      </c>
      <c r="H33" s="21">
        <v>15</v>
      </c>
      <c r="I33" s="21">
        <v>145</v>
      </c>
      <c r="J33" s="47">
        <v>12063</v>
      </c>
    </row>
    <row r="34" spans="1:10">
      <c r="A34" s="115">
        <v>2000</v>
      </c>
      <c r="B34" s="21">
        <v>4603</v>
      </c>
      <c r="C34" s="21">
        <v>138</v>
      </c>
      <c r="D34" s="21">
        <v>3983</v>
      </c>
      <c r="E34" s="21">
        <v>3983</v>
      </c>
      <c r="F34" s="21">
        <v>1582</v>
      </c>
      <c r="G34" s="21">
        <v>1307</v>
      </c>
      <c r="H34" s="21">
        <v>16</v>
      </c>
      <c r="I34" s="21">
        <v>129</v>
      </c>
      <c r="J34" s="47">
        <v>11758</v>
      </c>
    </row>
    <row r="35" spans="1:10">
      <c r="A35" s="115">
        <v>2001</v>
      </c>
      <c r="B35" s="21">
        <v>4996</v>
      </c>
      <c r="C35" s="21">
        <v>186</v>
      </c>
      <c r="D35" s="21">
        <v>3873</v>
      </c>
      <c r="E35" s="21">
        <v>3873</v>
      </c>
      <c r="F35" s="21">
        <v>1492</v>
      </c>
      <c r="G35" s="21">
        <v>1330</v>
      </c>
      <c r="H35" s="21">
        <v>12</v>
      </c>
      <c r="I35" s="21">
        <v>121</v>
      </c>
      <c r="J35" s="47">
        <v>12010</v>
      </c>
    </row>
    <row r="36" spans="1:10">
      <c r="A36" s="115">
        <v>2002</v>
      </c>
      <c r="B36" s="21">
        <v>4612</v>
      </c>
      <c r="C36" s="21">
        <v>111</v>
      </c>
      <c r="D36" s="21">
        <v>3795</v>
      </c>
      <c r="E36" s="21">
        <v>3795</v>
      </c>
      <c r="F36" s="21">
        <v>1380</v>
      </c>
      <c r="G36" s="21">
        <v>1377</v>
      </c>
      <c r="H36" s="21">
        <v>20</v>
      </c>
      <c r="I36" s="21">
        <v>134</v>
      </c>
      <c r="J36" s="47">
        <v>11429</v>
      </c>
    </row>
    <row r="37" spans="1:10">
      <c r="A37" s="115">
        <v>2003</v>
      </c>
      <c r="B37" s="21">
        <v>4872</v>
      </c>
      <c r="C37" s="21">
        <v>118</v>
      </c>
      <c r="D37" s="21">
        <v>3776</v>
      </c>
      <c r="E37" s="21">
        <v>3776</v>
      </c>
      <c r="F37" s="21">
        <v>1241</v>
      </c>
      <c r="G37" s="21">
        <v>1460</v>
      </c>
      <c r="H37" s="21">
        <v>6</v>
      </c>
      <c r="I37" s="21">
        <v>116</v>
      </c>
      <c r="J37" s="47">
        <v>11589</v>
      </c>
    </row>
    <row r="38" spans="1:10">
      <c r="A38" s="115">
        <v>2004</v>
      </c>
      <c r="B38" s="21">
        <v>4766</v>
      </c>
      <c r="C38" s="21">
        <v>143</v>
      </c>
      <c r="D38" s="21">
        <v>3708</v>
      </c>
      <c r="E38" s="21">
        <v>3708</v>
      </c>
      <c r="F38" s="21">
        <v>1171</v>
      </c>
      <c r="G38" s="21">
        <v>1568</v>
      </c>
      <c r="H38" s="21">
        <v>24</v>
      </c>
      <c r="I38" s="21">
        <v>112</v>
      </c>
      <c r="J38" s="47">
        <v>11492</v>
      </c>
    </row>
    <row r="39" spans="1:10">
      <c r="A39" s="115">
        <v>2005</v>
      </c>
      <c r="B39" s="21">
        <v>4806</v>
      </c>
      <c r="C39" s="21">
        <v>112</v>
      </c>
      <c r="D39" s="21">
        <v>3595</v>
      </c>
      <c r="E39" s="21">
        <v>3595</v>
      </c>
      <c r="F39" s="21">
        <v>1186</v>
      </c>
      <c r="G39" s="21">
        <v>1712</v>
      </c>
      <c r="H39" s="21">
        <v>33</v>
      </c>
      <c r="I39" s="21">
        <v>100</v>
      </c>
      <c r="J39" s="47">
        <v>11544</v>
      </c>
    </row>
    <row r="40" spans="1:10">
      <c r="A40" s="115">
        <v>2006</v>
      </c>
      <c r="B40" s="21">
        <v>4576</v>
      </c>
      <c r="C40" s="21">
        <v>132</v>
      </c>
      <c r="D40" s="21">
        <v>3484</v>
      </c>
      <c r="E40" s="21">
        <v>3484</v>
      </c>
      <c r="F40" s="21">
        <v>1243</v>
      </c>
      <c r="G40" s="21">
        <v>1852</v>
      </c>
      <c r="H40" s="21">
        <v>46</v>
      </c>
      <c r="I40" s="21">
        <v>110</v>
      </c>
      <c r="J40" s="47">
        <v>11443</v>
      </c>
    </row>
    <row r="41" spans="1:10">
      <c r="A41" s="115">
        <v>2007</v>
      </c>
      <c r="B41" s="21">
        <v>4000</v>
      </c>
      <c r="C41" s="21">
        <v>92</v>
      </c>
      <c r="D41" s="21">
        <v>3450</v>
      </c>
      <c r="E41" s="21">
        <v>3450</v>
      </c>
      <c r="F41" s="21">
        <v>1326</v>
      </c>
      <c r="G41" s="21">
        <v>1988</v>
      </c>
      <c r="H41" s="21">
        <v>39</v>
      </c>
      <c r="I41" s="21">
        <v>99</v>
      </c>
      <c r="J41" s="47">
        <v>10994</v>
      </c>
    </row>
    <row r="42" spans="1:10">
      <c r="A42" s="115">
        <v>2008</v>
      </c>
      <c r="B42" s="21">
        <v>4185</v>
      </c>
      <c r="C42" s="21">
        <v>91</v>
      </c>
      <c r="D42" s="21">
        <v>3374</v>
      </c>
      <c r="E42" s="21">
        <v>3374</v>
      </c>
      <c r="F42" s="21">
        <v>1418</v>
      </c>
      <c r="G42" s="21">
        <v>2181</v>
      </c>
      <c r="H42" s="21">
        <v>33</v>
      </c>
      <c r="I42" s="21">
        <v>94</v>
      </c>
      <c r="J42" s="47">
        <v>11376</v>
      </c>
    </row>
    <row r="43" spans="1:10">
      <c r="A43" s="115">
        <v>2009</v>
      </c>
      <c r="B43" s="21">
        <v>4053</v>
      </c>
      <c r="C43" s="21">
        <v>66</v>
      </c>
      <c r="D43" s="21">
        <v>3282</v>
      </c>
      <c r="E43" s="21">
        <v>3282</v>
      </c>
      <c r="F43" s="21">
        <v>1360</v>
      </c>
      <c r="G43" s="21">
        <v>2213</v>
      </c>
      <c r="H43" s="21">
        <v>38</v>
      </c>
      <c r="I43" s="21">
        <v>100</v>
      </c>
      <c r="J43" s="47">
        <v>11112</v>
      </c>
    </row>
    <row r="44" spans="1:10">
      <c r="A44" s="115">
        <v>2010</v>
      </c>
      <c r="B44" s="21">
        <v>4260</v>
      </c>
      <c r="C44" s="21">
        <v>54</v>
      </c>
      <c r="D44" s="21">
        <v>3164</v>
      </c>
      <c r="E44" s="21">
        <v>3164</v>
      </c>
      <c r="F44" s="21">
        <v>1428</v>
      </c>
      <c r="G44" s="21">
        <v>2298</v>
      </c>
      <c r="H44" s="21">
        <v>47</v>
      </c>
      <c r="I44" s="21">
        <v>91</v>
      </c>
      <c r="J44" s="47">
        <v>11342</v>
      </c>
    </row>
    <row r="45" spans="1:10">
      <c r="A45" s="115">
        <v>2011</v>
      </c>
      <c r="B45" s="21">
        <v>3359</v>
      </c>
      <c r="C45" s="21">
        <v>36</v>
      </c>
      <c r="D45" s="21">
        <v>3041</v>
      </c>
      <c r="E45" s="21">
        <v>3041</v>
      </c>
      <c r="F45" s="21">
        <v>1522</v>
      </c>
      <c r="G45" s="21">
        <v>2359</v>
      </c>
      <c r="H45" s="21">
        <v>40</v>
      </c>
      <c r="I45" s="21">
        <v>90</v>
      </c>
      <c r="J45" s="47">
        <v>10447</v>
      </c>
    </row>
    <row r="46" spans="1:10">
      <c r="A46" s="115">
        <v>2012</v>
      </c>
      <c r="B46" s="21">
        <v>3598</v>
      </c>
      <c r="C46" s="21">
        <v>36</v>
      </c>
      <c r="D46" s="21">
        <v>2934</v>
      </c>
      <c r="E46" s="21">
        <v>2934</v>
      </c>
      <c r="F46" s="21">
        <v>1559</v>
      </c>
      <c r="G46" s="21">
        <v>2502</v>
      </c>
      <c r="H46" s="21">
        <v>43</v>
      </c>
      <c r="I46" s="21">
        <v>87</v>
      </c>
      <c r="J46" s="47">
        <v>10759</v>
      </c>
    </row>
    <row r="47" spans="1:10">
      <c r="A47" s="115">
        <v>2013</v>
      </c>
      <c r="B47" s="21">
        <v>3789</v>
      </c>
      <c r="C47" s="21">
        <v>21</v>
      </c>
      <c r="D47" s="21">
        <v>2800</v>
      </c>
      <c r="E47" s="21">
        <v>2800</v>
      </c>
      <c r="F47" s="21">
        <v>1576</v>
      </c>
      <c r="G47" s="21">
        <v>2614</v>
      </c>
      <c r="H47" s="21">
        <v>33</v>
      </c>
      <c r="I47" s="21">
        <v>87</v>
      </c>
      <c r="J47" s="47">
        <v>10920</v>
      </c>
    </row>
    <row r="48" spans="1:10">
      <c r="A48" s="115">
        <v>2014</v>
      </c>
      <c r="B48" s="21">
        <v>2853</v>
      </c>
      <c r="C48" s="21">
        <v>9</v>
      </c>
      <c r="D48" s="21">
        <v>2687</v>
      </c>
      <c r="E48" s="21">
        <v>2687</v>
      </c>
      <c r="F48" s="21">
        <v>1587</v>
      </c>
      <c r="G48" s="21">
        <v>2680</v>
      </c>
      <c r="H48" s="21">
        <v>39</v>
      </c>
      <c r="I48" s="21">
        <v>77</v>
      </c>
      <c r="J48" s="47">
        <v>9932</v>
      </c>
    </row>
    <row r="49" spans="1:11">
      <c r="A49" s="115">
        <v>2015</v>
      </c>
      <c r="B49" s="21">
        <v>3013</v>
      </c>
      <c r="C49" s="21">
        <v>6</v>
      </c>
      <c r="D49" s="21">
        <v>2490</v>
      </c>
      <c r="E49" s="21">
        <v>2490</v>
      </c>
      <c r="F49" s="21">
        <v>1639</v>
      </c>
      <c r="G49" s="21">
        <v>2643</v>
      </c>
      <c r="H49" s="21">
        <v>25</v>
      </c>
      <c r="I49" s="21">
        <v>78</v>
      </c>
      <c r="J49" s="47">
        <v>9894</v>
      </c>
    </row>
    <row r="50" spans="1:11">
      <c r="A50" s="115">
        <v>2016</v>
      </c>
      <c r="B50" s="21">
        <v>3085</v>
      </c>
      <c r="C50" s="21">
        <v>3</v>
      </c>
      <c r="D50" s="21">
        <v>2412</v>
      </c>
      <c r="E50" s="21">
        <v>2412</v>
      </c>
      <c r="F50" s="21">
        <v>1717</v>
      </c>
      <c r="G50" s="21">
        <v>2672</v>
      </c>
      <c r="H50" s="21">
        <v>28</v>
      </c>
      <c r="I50" s="21">
        <v>65</v>
      </c>
      <c r="J50" s="47">
        <v>9982</v>
      </c>
    </row>
    <row r="51" spans="1:11">
      <c r="A51" s="115">
        <v>2017</v>
      </c>
      <c r="B51" s="21">
        <v>2884</v>
      </c>
      <c r="C51" s="21">
        <v>2</v>
      </c>
      <c r="D51" s="21">
        <v>2338</v>
      </c>
      <c r="E51" s="21">
        <v>2338</v>
      </c>
      <c r="F51" s="21">
        <v>1758</v>
      </c>
      <c r="G51" s="21">
        <v>2664</v>
      </c>
      <c r="H51" s="21">
        <v>24</v>
      </c>
      <c r="I51" s="21">
        <v>73</v>
      </c>
      <c r="J51" s="47">
        <v>9743</v>
      </c>
    </row>
    <row r="52" spans="1:11">
      <c r="A52" s="115">
        <v>2018</v>
      </c>
      <c r="B52" s="21">
        <v>2593</v>
      </c>
      <c r="C52" s="21">
        <v>1</v>
      </c>
      <c r="D52" s="21">
        <v>2301</v>
      </c>
      <c r="E52" s="21">
        <v>2301</v>
      </c>
      <c r="F52" s="21">
        <v>1858</v>
      </c>
      <c r="G52" s="21">
        <v>2698</v>
      </c>
      <c r="H52" s="21">
        <v>34</v>
      </c>
      <c r="I52" s="21">
        <v>71</v>
      </c>
      <c r="J52" s="47">
        <v>9556</v>
      </c>
    </row>
    <row r="53" spans="1:11">
      <c r="A53" s="115">
        <v>2019</v>
      </c>
      <c r="B53" s="21">
        <v>2533</v>
      </c>
      <c r="C53" s="21">
        <v>1</v>
      </c>
      <c r="D53" s="21">
        <v>2282</v>
      </c>
      <c r="E53" s="21">
        <v>2282</v>
      </c>
      <c r="F53" s="21">
        <v>1877</v>
      </c>
      <c r="G53" s="21">
        <v>2699</v>
      </c>
      <c r="H53" s="21">
        <v>15</v>
      </c>
      <c r="I53" s="21">
        <v>68</v>
      </c>
      <c r="J53" s="47">
        <v>9475</v>
      </c>
    </row>
    <row r="54" spans="1:11">
      <c r="A54" s="115">
        <v>2020</v>
      </c>
      <c r="B54" s="21">
        <v>2270</v>
      </c>
      <c r="C54" s="21">
        <v>1</v>
      </c>
      <c r="D54" s="21">
        <v>2021</v>
      </c>
      <c r="E54" s="21">
        <v>2021</v>
      </c>
      <c r="F54" s="21">
        <v>709</v>
      </c>
      <c r="G54" s="21">
        <v>2558</v>
      </c>
      <c r="H54" s="21">
        <v>22</v>
      </c>
      <c r="I54" s="21">
        <v>65</v>
      </c>
      <c r="J54" s="47">
        <v>7646</v>
      </c>
    </row>
    <row r="55" spans="1:11">
      <c r="A55" s="115">
        <v>2021</v>
      </c>
      <c r="B55" s="21">
        <v>2517</v>
      </c>
      <c r="C55" s="21">
        <v>0</v>
      </c>
      <c r="D55" s="21">
        <v>2065</v>
      </c>
      <c r="E55" s="21">
        <v>2065</v>
      </c>
      <c r="F55" s="21">
        <v>787</v>
      </c>
      <c r="G55" s="21">
        <v>2587</v>
      </c>
      <c r="H55" s="21">
        <v>19</v>
      </c>
      <c r="I55" s="21">
        <v>68</v>
      </c>
      <c r="J55" s="47">
        <v>8043</v>
      </c>
    </row>
    <row r="56" spans="1:11">
      <c r="A56" s="115">
        <v>2022</v>
      </c>
      <c r="B56" s="21">
        <v>2026</v>
      </c>
      <c r="C56" s="21">
        <v>0</v>
      </c>
      <c r="D56" s="21">
        <v>2005</v>
      </c>
      <c r="E56" s="21">
        <v>2005</v>
      </c>
      <c r="F56" s="21">
        <v>1386</v>
      </c>
      <c r="G56" s="21">
        <v>2582</v>
      </c>
      <c r="H56" s="21">
        <v>23</v>
      </c>
      <c r="I56" s="21">
        <v>68</v>
      </c>
      <c r="J56" s="47">
        <v>8090</v>
      </c>
    </row>
    <row r="57" spans="1:11">
      <c r="A57" s="115">
        <v>2023</v>
      </c>
      <c r="B57" s="21">
        <v>1965</v>
      </c>
      <c r="C57" s="21">
        <v>1</v>
      </c>
      <c r="D57" s="21">
        <v>2073</v>
      </c>
      <c r="E57" s="21">
        <v>2073</v>
      </c>
      <c r="F57" s="21">
        <v>1649</v>
      </c>
      <c r="G57" s="21">
        <v>2528</v>
      </c>
      <c r="H57" s="21">
        <v>24</v>
      </c>
      <c r="I57" s="21">
        <v>70</v>
      </c>
      <c r="J57" s="47">
        <v>8310</v>
      </c>
    </row>
    <row r="58" spans="1:11" s="30" customFormat="1" ht="13">
      <c r="A58" s="116">
        <v>2024</v>
      </c>
      <c r="B58" s="27">
        <v>1884</v>
      </c>
      <c r="C58" s="27">
        <v>0</v>
      </c>
      <c r="D58" s="27">
        <v>2050</v>
      </c>
      <c r="E58" s="27">
        <v>2050</v>
      </c>
      <c r="F58" s="27">
        <v>1799</v>
      </c>
      <c r="G58" s="27">
        <v>2455</v>
      </c>
      <c r="H58" s="27">
        <v>15</v>
      </c>
      <c r="I58" s="27">
        <v>63</v>
      </c>
      <c r="J58" s="117">
        <v>8266</v>
      </c>
    </row>
    <row r="59" spans="1:11" ht="13">
      <c r="A59" s="31"/>
      <c r="B59" s="32"/>
      <c r="C59" s="32"/>
      <c r="D59" s="32"/>
      <c r="E59" s="32"/>
      <c r="F59" s="32"/>
      <c r="G59" s="32"/>
      <c r="H59" s="32"/>
      <c r="I59" s="32"/>
      <c r="J59" s="32"/>
    </row>
    <row r="60" spans="1:11" s="35" customFormat="1" ht="12">
      <c r="A60" s="93" t="s">
        <v>347</v>
      </c>
      <c r="F60" s="93" t="s">
        <v>348</v>
      </c>
      <c r="K60" s="118"/>
    </row>
    <row r="61" spans="1:11" s="35" customFormat="1" ht="12">
      <c r="A61" s="93" t="s">
        <v>349</v>
      </c>
      <c r="F61" s="93" t="s">
        <v>350</v>
      </c>
      <c r="K61" s="118"/>
    </row>
    <row r="62" spans="1:11" s="35" customFormat="1" ht="12">
      <c r="A62" s="93" t="s">
        <v>351</v>
      </c>
      <c r="F62" s="93" t="s">
        <v>352</v>
      </c>
      <c r="K62" s="118"/>
    </row>
    <row r="63" spans="1:11" s="35" customFormat="1" ht="12">
      <c r="A63" s="93" t="s">
        <v>353</v>
      </c>
      <c r="F63" s="93" t="s">
        <v>354</v>
      </c>
      <c r="K63" s="118"/>
    </row>
    <row r="64" spans="1:11">
      <c r="K64" s="118"/>
    </row>
    <row r="65" spans="1:11" s="35" customFormat="1" ht="10">
      <c r="A65" s="35" t="s">
        <v>355</v>
      </c>
      <c r="F65" s="35" t="s">
        <v>356</v>
      </c>
      <c r="K65" s="118"/>
    </row>
    <row r="66" spans="1:11">
      <c r="K66" s="118"/>
    </row>
    <row r="67" spans="1:11">
      <c r="K67" s="118"/>
    </row>
    <row r="68" spans="1:11" s="34" customFormat="1">
      <c r="A68" s="4"/>
      <c r="B68" s="4"/>
      <c r="C68" s="4"/>
      <c r="D68" s="4"/>
      <c r="E68" s="4"/>
      <c r="F68" s="4"/>
      <c r="G68" s="4"/>
      <c r="H68" s="4"/>
      <c r="I68" s="4"/>
      <c r="J68" s="4"/>
      <c r="K68" s="118"/>
    </row>
    <row r="69" spans="1:11">
      <c r="A69" s="35" t="s">
        <v>75</v>
      </c>
    </row>
    <row r="70" spans="1:11">
      <c r="A70" s="35" t="s">
        <v>76</v>
      </c>
    </row>
    <row r="71" spans="1:11">
      <c r="A71" s="35" t="s">
        <v>77</v>
      </c>
    </row>
    <row r="72" spans="1:11" s="34" customFormat="1">
      <c r="A72" s="4"/>
      <c r="B72" s="4"/>
      <c r="C72" s="4"/>
      <c r="D72" s="4"/>
      <c r="E72" s="4"/>
      <c r="F72" s="4"/>
      <c r="G72" s="4"/>
      <c r="H72" s="4"/>
      <c r="I72" s="4"/>
      <c r="J72" s="4"/>
      <c r="K72" s="118"/>
    </row>
    <row r="73" spans="1:11" s="34" customFormat="1">
      <c r="A73" s="4"/>
      <c r="B73" s="4"/>
      <c r="C73" s="4"/>
      <c r="D73" s="4"/>
      <c r="E73" s="4"/>
      <c r="F73" s="4"/>
      <c r="G73" s="4"/>
      <c r="H73" s="4"/>
      <c r="I73" s="4"/>
      <c r="J73" s="4"/>
      <c r="K73" s="118"/>
    </row>
    <row r="74" spans="1:11" s="34" customFormat="1">
      <c r="A74" s="4"/>
      <c r="B74" s="4"/>
      <c r="C74" s="4"/>
      <c r="D74" s="4"/>
      <c r="E74" s="4"/>
      <c r="F74" s="4"/>
      <c r="G74" s="4"/>
      <c r="H74" s="4"/>
      <c r="I74" s="4"/>
      <c r="J74" s="4"/>
      <c r="K74" s="118"/>
    </row>
    <row r="75" spans="1:11" s="34" customFormat="1">
      <c r="A75" s="4"/>
      <c r="B75" s="4"/>
      <c r="C75" s="4"/>
      <c r="D75" s="4"/>
      <c r="E75" s="4"/>
      <c r="F75" s="4"/>
      <c r="G75" s="4"/>
      <c r="H75" s="4"/>
      <c r="I75" s="4"/>
      <c r="J75" s="4"/>
      <c r="K75" s="118"/>
    </row>
    <row r="76" spans="1:11" s="34" customFormat="1">
      <c r="A76" s="4"/>
      <c r="B76" s="4"/>
      <c r="C76" s="4"/>
      <c r="D76" s="4"/>
      <c r="E76" s="4"/>
      <c r="F76" s="4"/>
      <c r="G76" s="4"/>
      <c r="H76" s="4"/>
      <c r="I76" s="4"/>
      <c r="J76" s="4"/>
      <c r="K76" s="118"/>
    </row>
    <row r="77" spans="1:11" s="34" customFormat="1">
      <c r="A77" s="4"/>
      <c r="B77" s="4"/>
      <c r="C77" s="4"/>
      <c r="D77" s="4"/>
      <c r="E77" s="4"/>
      <c r="F77" s="4"/>
      <c r="G77" s="4"/>
      <c r="H77" s="4"/>
      <c r="I77" s="4"/>
      <c r="J77" s="4"/>
      <c r="K77" s="118"/>
    </row>
    <row r="78" spans="1:11" s="34" customFormat="1">
      <c r="A78" s="4"/>
      <c r="B78" s="4"/>
      <c r="C78" s="4"/>
      <c r="D78" s="4"/>
      <c r="E78" s="4"/>
      <c r="F78" s="4"/>
      <c r="G78" s="4"/>
      <c r="H78" s="4"/>
      <c r="I78" s="4"/>
      <c r="J78" s="4"/>
      <c r="K78" s="118"/>
    </row>
    <row r="79" spans="1:11" s="34" customFormat="1">
      <c r="A79" s="4"/>
      <c r="B79" s="4"/>
      <c r="C79" s="4"/>
      <c r="D79" s="4"/>
      <c r="E79" s="4"/>
      <c r="F79" s="4"/>
      <c r="G79" s="4"/>
      <c r="H79" s="4"/>
      <c r="I79" s="4"/>
      <c r="J79" s="4"/>
      <c r="K79" s="118"/>
    </row>
    <row r="80" spans="1:11" s="34" customFormat="1">
      <c r="A80" s="4"/>
      <c r="B80" s="4"/>
      <c r="C80" s="4"/>
      <c r="D80" s="4"/>
      <c r="E80" s="4"/>
      <c r="F80" s="4"/>
      <c r="G80" s="4"/>
      <c r="H80" s="4"/>
      <c r="I80" s="4"/>
      <c r="J80" s="4"/>
      <c r="K80" s="118"/>
    </row>
    <row r="81" spans="1:11" s="34" customFormat="1">
      <c r="A81" s="4"/>
      <c r="B81" s="4"/>
      <c r="C81" s="4"/>
      <c r="D81" s="4"/>
      <c r="E81" s="4"/>
      <c r="F81" s="4"/>
      <c r="G81" s="4"/>
      <c r="H81" s="4"/>
      <c r="I81" s="4"/>
      <c r="J81" s="4"/>
      <c r="K81" s="118"/>
    </row>
    <row r="82" spans="1:11" s="34" customFormat="1">
      <c r="A82" s="4"/>
      <c r="B82" s="4"/>
      <c r="C82" s="4"/>
      <c r="D82" s="4"/>
      <c r="E82" s="4"/>
      <c r="F82" s="4"/>
      <c r="G82" s="4"/>
      <c r="H82" s="4"/>
      <c r="I82" s="4"/>
      <c r="J82" s="4"/>
      <c r="K82" s="118"/>
    </row>
    <row r="83" spans="1:11" s="34" customFormat="1">
      <c r="A83" s="4"/>
      <c r="B83" s="4"/>
      <c r="C83" s="4"/>
      <c r="D83" s="4"/>
      <c r="E83" s="4"/>
      <c r="F83" s="4"/>
      <c r="G83" s="4"/>
      <c r="H83" s="4"/>
      <c r="I83" s="4"/>
      <c r="J83" s="4"/>
      <c r="K83" s="118"/>
    </row>
    <row r="84" spans="1:11" s="34" customFormat="1">
      <c r="A84" s="4"/>
      <c r="B84" s="4"/>
      <c r="C84" s="4"/>
      <c r="D84" s="4"/>
      <c r="E84" s="4"/>
      <c r="F84" s="4"/>
      <c r="G84" s="4"/>
      <c r="H84" s="4"/>
      <c r="I84" s="4"/>
      <c r="J84" s="4"/>
      <c r="K84" s="118"/>
    </row>
    <row r="85" spans="1:11" s="34" customFormat="1">
      <c r="A85" s="4"/>
      <c r="B85" s="4"/>
      <c r="C85" s="4"/>
      <c r="D85" s="4"/>
      <c r="E85" s="4"/>
      <c r="F85" s="4"/>
      <c r="G85" s="4"/>
      <c r="H85" s="4"/>
      <c r="I85" s="4"/>
      <c r="J85" s="4"/>
      <c r="K85" s="118"/>
    </row>
    <row r="86" spans="1:11" s="34" customFormat="1">
      <c r="A86" s="4"/>
      <c r="B86" s="4"/>
      <c r="C86" s="4"/>
      <c r="D86" s="4"/>
      <c r="E86" s="4"/>
      <c r="F86" s="4"/>
      <c r="G86" s="4"/>
      <c r="H86" s="4"/>
      <c r="I86" s="4"/>
      <c r="J86" s="4"/>
      <c r="K86" s="118"/>
    </row>
  </sheetData>
  <mergeCells count="18">
    <mergeCell ref="G6:G7"/>
    <mergeCell ref="H6:H7"/>
    <mergeCell ref="A4:A5"/>
    <mergeCell ref="B4:B5"/>
    <mergeCell ref="C4:C5"/>
    <mergeCell ref="D4:E4"/>
    <mergeCell ref="F4:F5"/>
    <mergeCell ref="G4:G5"/>
    <mergeCell ref="A6:A7"/>
    <mergeCell ref="B6:B7"/>
    <mergeCell ref="C6:C7"/>
    <mergeCell ref="D6:E6"/>
    <mergeCell ref="F6:F7"/>
    <mergeCell ref="I6:I7"/>
    <mergeCell ref="J6:J7"/>
    <mergeCell ref="H4:H5"/>
    <mergeCell ref="I4:I5"/>
    <mergeCell ref="J4:J5"/>
  </mergeCells>
  <conditionalFormatting sqref="B8:J59">
    <cfRule type="expression" dxfId="9" priority="1">
      <formula>Y8&lt;&gt;0</formula>
    </cfRule>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B6527-3FF8-4384-91EE-0E4777D6339D}">
  <sheetPr codeName="Tabelle34"/>
  <dimension ref="A1:H78"/>
  <sheetViews>
    <sheetView workbookViewId="0">
      <selection activeCell="D73" sqref="D73"/>
    </sheetView>
  </sheetViews>
  <sheetFormatPr defaultColWidth="11.54296875" defaultRowHeight="12.5"/>
  <cols>
    <col min="1" max="1" width="8.7265625" style="4" customWidth="1"/>
    <col min="2" max="8" width="15.26953125" style="4" customWidth="1"/>
    <col min="9" max="16384" width="11.54296875" style="4"/>
  </cols>
  <sheetData>
    <row r="1" spans="1:8" ht="13">
      <c r="A1" s="3" t="s">
        <v>399</v>
      </c>
      <c r="H1" s="5" t="s">
        <v>400</v>
      </c>
    </row>
    <row r="2" spans="1:8" ht="13">
      <c r="A2" s="3" t="s">
        <v>401</v>
      </c>
      <c r="H2" s="5" t="s">
        <v>402</v>
      </c>
    </row>
    <row r="4" spans="1:8" ht="20">
      <c r="A4" s="6" t="s">
        <v>403</v>
      </c>
      <c r="B4" s="7" t="s">
        <v>404</v>
      </c>
      <c r="C4" s="7" t="s">
        <v>405</v>
      </c>
      <c r="D4" s="7" t="s">
        <v>406</v>
      </c>
      <c r="E4" s="8" t="s">
        <v>407</v>
      </c>
      <c r="F4" s="8" t="s">
        <v>408</v>
      </c>
      <c r="G4" s="8" t="s">
        <v>409</v>
      </c>
      <c r="H4" s="39" t="s">
        <v>410</v>
      </c>
    </row>
    <row r="5" spans="1:8" ht="20">
      <c r="A5" s="10" t="s">
        <v>62</v>
      </c>
      <c r="B5" s="11" t="s">
        <v>411</v>
      </c>
      <c r="C5" s="11" t="s">
        <v>405</v>
      </c>
      <c r="D5" s="11" t="s">
        <v>406</v>
      </c>
      <c r="E5" s="12" t="s">
        <v>412</v>
      </c>
      <c r="F5" s="12" t="s">
        <v>413</v>
      </c>
      <c r="G5" s="12" t="s">
        <v>414</v>
      </c>
      <c r="H5" s="100" t="s">
        <v>415</v>
      </c>
    </row>
    <row r="6" spans="1:8">
      <c r="A6" s="141">
        <v>1960</v>
      </c>
      <c r="B6" s="15">
        <v>20427</v>
      </c>
      <c r="C6" s="20">
        <v>1306</v>
      </c>
      <c r="D6" s="20">
        <v>3822</v>
      </c>
      <c r="E6" s="21">
        <v>-2516</v>
      </c>
      <c r="F6" s="21">
        <v>17911</v>
      </c>
      <c r="G6" s="21">
        <v>2020</v>
      </c>
      <c r="H6" s="47">
        <v>15891</v>
      </c>
    </row>
    <row r="7" spans="1:8">
      <c r="A7" s="141">
        <v>1961</v>
      </c>
      <c r="B7" s="20">
        <v>21489</v>
      </c>
      <c r="C7" s="20">
        <v>1530</v>
      </c>
      <c r="D7" s="20">
        <v>4249</v>
      </c>
      <c r="E7" s="21">
        <v>-2719</v>
      </c>
      <c r="F7" s="21">
        <v>18770</v>
      </c>
      <c r="G7" s="21">
        <v>2029</v>
      </c>
      <c r="H7" s="47">
        <v>16741</v>
      </c>
    </row>
    <row r="8" spans="1:8">
      <c r="A8" s="141">
        <v>1962</v>
      </c>
      <c r="B8" s="20">
        <v>21090</v>
      </c>
      <c r="C8" s="20">
        <v>3184</v>
      </c>
      <c r="D8" s="20">
        <v>4443</v>
      </c>
      <c r="E8" s="21">
        <v>-1259</v>
      </c>
      <c r="F8" s="21">
        <v>19831</v>
      </c>
      <c r="G8" s="21">
        <v>2115</v>
      </c>
      <c r="H8" s="47">
        <v>17716</v>
      </c>
    </row>
    <row r="9" spans="1:8">
      <c r="A9" s="141">
        <v>1963</v>
      </c>
      <c r="B9" s="20">
        <v>22445</v>
      </c>
      <c r="C9" s="20">
        <v>3419</v>
      </c>
      <c r="D9" s="20">
        <v>5119</v>
      </c>
      <c r="E9" s="21">
        <v>-1700</v>
      </c>
      <c r="F9" s="21">
        <v>20745</v>
      </c>
      <c r="G9" s="21">
        <v>2262</v>
      </c>
      <c r="H9" s="47">
        <v>18483</v>
      </c>
    </row>
    <row r="10" spans="1:8">
      <c r="A10" s="141">
        <v>1964</v>
      </c>
      <c r="B10" s="20">
        <v>22015</v>
      </c>
      <c r="C10" s="20">
        <v>4213</v>
      </c>
      <c r="D10" s="20">
        <v>4662</v>
      </c>
      <c r="E10" s="21">
        <v>-449</v>
      </c>
      <c r="F10" s="21">
        <v>21566</v>
      </c>
      <c r="G10" s="21">
        <v>2220</v>
      </c>
      <c r="H10" s="47">
        <v>19346</v>
      </c>
    </row>
    <row r="11" spans="1:8">
      <c r="A11" s="141">
        <v>1965</v>
      </c>
      <c r="B11" s="20">
        <v>24788</v>
      </c>
      <c r="C11" s="20">
        <v>2843</v>
      </c>
      <c r="D11" s="20">
        <v>5115</v>
      </c>
      <c r="E11" s="21">
        <v>-2272</v>
      </c>
      <c r="F11" s="21">
        <v>22516</v>
      </c>
      <c r="G11" s="21">
        <v>2295</v>
      </c>
      <c r="H11" s="47">
        <v>20221</v>
      </c>
    </row>
    <row r="12" spans="1:8">
      <c r="A12" s="141">
        <v>1966</v>
      </c>
      <c r="B12" s="20">
        <v>27860</v>
      </c>
      <c r="C12" s="20">
        <v>1578</v>
      </c>
      <c r="D12" s="20">
        <v>6298</v>
      </c>
      <c r="E12" s="21">
        <v>-4720</v>
      </c>
      <c r="F12" s="21">
        <v>23140</v>
      </c>
      <c r="G12" s="21">
        <v>2432</v>
      </c>
      <c r="H12" s="47">
        <v>20708</v>
      </c>
    </row>
    <row r="13" spans="1:8">
      <c r="A13" s="141">
        <v>1967</v>
      </c>
      <c r="B13" s="20">
        <v>30217</v>
      </c>
      <c r="C13" s="20">
        <v>2035</v>
      </c>
      <c r="D13" s="20">
        <v>8209</v>
      </c>
      <c r="E13" s="21">
        <v>-6174</v>
      </c>
      <c r="F13" s="21">
        <v>24043</v>
      </c>
      <c r="G13" s="21">
        <v>2516</v>
      </c>
      <c r="H13" s="47">
        <v>21527</v>
      </c>
    </row>
    <row r="14" spans="1:8">
      <c r="A14" s="141">
        <v>1968</v>
      </c>
      <c r="B14" s="20">
        <v>30188</v>
      </c>
      <c r="C14" s="20">
        <v>2357</v>
      </c>
      <c r="D14" s="20">
        <v>7601</v>
      </c>
      <c r="E14" s="21">
        <v>-5244</v>
      </c>
      <c r="F14" s="21">
        <v>24944</v>
      </c>
      <c r="G14" s="21">
        <v>2507</v>
      </c>
      <c r="H14" s="47">
        <v>22437</v>
      </c>
    </row>
    <row r="15" spans="1:8">
      <c r="A15" s="141">
        <v>1969</v>
      </c>
      <c r="B15" s="20">
        <v>28844</v>
      </c>
      <c r="C15" s="20">
        <v>5161</v>
      </c>
      <c r="D15" s="20">
        <v>7656</v>
      </c>
      <c r="E15" s="21">
        <v>-2495</v>
      </c>
      <c r="F15" s="21">
        <v>26349</v>
      </c>
      <c r="G15" s="21">
        <v>2650</v>
      </c>
      <c r="H15" s="47">
        <v>23699</v>
      </c>
    </row>
    <row r="16" spans="1:8">
      <c r="A16" s="141">
        <v>1970</v>
      </c>
      <c r="B16" s="20">
        <v>33921</v>
      </c>
      <c r="C16" s="20">
        <v>3594</v>
      </c>
      <c r="D16" s="20">
        <v>9619</v>
      </c>
      <c r="E16" s="21">
        <v>-6025</v>
      </c>
      <c r="F16" s="21">
        <v>27896</v>
      </c>
      <c r="G16" s="21">
        <v>2809</v>
      </c>
      <c r="H16" s="47">
        <v>25087</v>
      </c>
    </row>
    <row r="17" spans="1:8">
      <c r="A17" s="141">
        <v>1971</v>
      </c>
      <c r="B17" s="20">
        <v>30210</v>
      </c>
      <c r="C17" s="20">
        <v>6873</v>
      </c>
      <c r="D17" s="20">
        <v>7953</v>
      </c>
      <c r="E17" s="21">
        <v>-1080</v>
      </c>
      <c r="F17" s="21">
        <v>29130</v>
      </c>
      <c r="G17" s="21">
        <v>2882</v>
      </c>
      <c r="H17" s="47">
        <v>26248</v>
      </c>
    </row>
    <row r="18" spans="1:8">
      <c r="A18" s="141">
        <v>1972</v>
      </c>
      <c r="B18" s="20">
        <v>30654</v>
      </c>
      <c r="C18" s="20">
        <v>7847</v>
      </c>
      <c r="D18" s="20">
        <v>8329</v>
      </c>
      <c r="E18" s="21">
        <v>-482</v>
      </c>
      <c r="F18" s="21">
        <v>30172</v>
      </c>
      <c r="G18" s="21">
        <v>3031</v>
      </c>
      <c r="H18" s="47">
        <v>27141</v>
      </c>
    </row>
    <row r="19" spans="1:8">
      <c r="A19" s="141">
        <v>1973</v>
      </c>
      <c r="B19" s="20">
        <v>35431</v>
      </c>
      <c r="C19" s="20">
        <v>7018</v>
      </c>
      <c r="D19" s="20">
        <v>10516</v>
      </c>
      <c r="E19" s="21">
        <v>-3498</v>
      </c>
      <c r="F19" s="21">
        <v>31933</v>
      </c>
      <c r="G19" s="21">
        <v>3159</v>
      </c>
      <c r="H19" s="47">
        <v>28774</v>
      </c>
    </row>
    <row r="20" spans="1:8">
      <c r="A20" s="141">
        <v>1974</v>
      </c>
      <c r="B20" s="20">
        <v>35869</v>
      </c>
      <c r="C20" s="20">
        <v>6274</v>
      </c>
      <c r="D20" s="20">
        <v>9505</v>
      </c>
      <c r="E20" s="21">
        <v>-3231</v>
      </c>
      <c r="F20" s="21">
        <v>32638</v>
      </c>
      <c r="G20" s="21">
        <v>3071</v>
      </c>
      <c r="H20" s="47">
        <v>29567</v>
      </c>
    </row>
    <row r="21" spans="1:8">
      <c r="A21" s="141">
        <v>1975</v>
      </c>
      <c r="B21" s="20">
        <v>41796</v>
      </c>
      <c r="C21" s="20">
        <v>4635</v>
      </c>
      <c r="D21" s="20">
        <v>14360</v>
      </c>
      <c r="E21" s="21">
        <v>-9725</v>
      </c>
      <c r="F21" s="21">
        <v>32071</v>
      </c>
      <c r="G21" s="21">
        <v>3168</v>
      </c>
      <c r="H21" s="47">
        <v>28903</v>
      </c>
    </row>
    <row r="22" spans="1:8">
      <c r="A22" s="141">
        <v>1976</v>
      </c>
      <c r="B22" s="20">
        <v>34897</v>
      </c>
      <c r="C22" s="20">
        <v>7179</v>
      </c>
      <c r="D22" s="20">
        <v>9094</v>
      </c>
      <c r="E22" s="21">
        <v>-1915</v>
      </c>
      <c r="F22" s="21">
        <v>32982</v>
      </c>
      <c r="G22" s="21">
        <v>3079</v>
      </c>
      <c r="H22" s="47">
        <v>29903</v>
      </c>
    </row>
    <row r="23" spans="1:8">
      <c r="A23" s="141">
        <v>1977</v>
      </c>
      <c r="B23" s="20">
        <v>44626</v>
      </c>
      <c r="C23" s="20">
        <v>5046</v>
      </c>
      <c r="D23" s="20">
        <v>15231</v>
      </c>
      <c r="E23" s="21">
        <v>-10185</v>
      </c>
      <c r="F23" s="21">
        <v>34441</v>
      </c>
      <c r="G23" s="21">
        <v>3152</v>
      </c>
      <c r="H23" s="47">
        <v>31289</v>
      </c>
    </row>
    <row r="24" spans="1:8">
      <c r="A24" s="141">
        <v>1978</v>
      </c>
      <c r="B24" s="20">
        <v>40989</v>
      </c>
      <c r="C24" s="20">
        <v>7653</v>
      </c>
      <c r="D24" s="20">
        <v>13047</v>
      </c>
      <c r="E24" s="21">
        <v>-5394</v>
      </c>
      <c r="F24" s="21">
        <v>35595</v>
      </c>
      <c r="G24" s="21">
        <v>3131</v>
      </c>
      <c r="H24" s="47">
        <v>32464</v>
      </c>
    </row>
    <row r="25" spans="1:8">
      <c r="A25" s="141">
        <v>1979</v>
      </c>
      <c r="B25" s="20">
        <v>43965</v>
      </c>
      <c r="C25" s="20">
        <v>8868</v>
      </c>
      <c r="D25" s="20">
        <v>15915</v>
      </c>
      <c r="E25" s="21">
        <v>-7047</v>
      </c>
      <c r="F25" s="21">
        <v>36918</v>
      </c>
      <c r="G25" s="21">
        <v>3152</v>
      </c>
      <c r="H25" s="47">
        <v>33766</v>
      </c>
    </row>
    <row r="26" spans="1:8">
      <c r="A26" s="141">
        <v>1980</v>
      </c>
      <c r="B26" s="20">
        <v>46631</v>
      </c>
      <c r="C26" s="20">
        <v>9947</v>
      </c>
      <c r="D26" s="20">
        <v>18128</v>
      </c>
      <c r="E26" s="21">
        <v>-8181</v>
      </c>
      <c r="F26" s="21">
        <v>38450</v>
      </c>
      <c r="G26" s="21">
        <v>3198</v>
      </c>
      <c r="H26" s="47">
        <v>35252</v>
      </c>
    </row>
    <row r="27" spans="1:8">
      <c r="A27" s="141">
        <v>1981</v>
      </c>
      <c r="B27" s="20">
        <v>50120</v>
      </c>
      <c r="C27" s="20">
        <v>9839</v>
      </c>
      <c r="D27" s="20">
        <v>20551</v>
      </c>
      <c r="E27" s="21">
        <v>-10712</v>
      </c>
      <c r="F27" s="21">
        <v>39408</v>
      </c>
      <c r="G27" s="21">
        <v>3214</v>
      </c>
      <c r="H27" s="47">
        <v>36194</v>
      </c>
    </row>
    <row r="28" spans="1:8">
      <c r="A28" s="141">
        <v>1982</v>
      </c>
      <c r="B28" s="20">
        <v>50753</v>
      </c>
      <c r="C28" s="20">
        <v>9041</v>
      </c>
      <c r="D28" s="20">
        <v>19868</v>
      </c>
      <c r="E28" s="21">
        <v>-10827</v>
      </c>
      <c r="F28" s="21">
        <v>39926</v>
      </c>
      <c r="G28" s="21">
        <v>3195</v>
      </c>
      <c r="H28" s="47">
        <v>36731</v>
      </c>
    </row>
    <row r="29" spans="1:8">
      <c r="A29" s="141">
        <v>1983</v>
      </c>
      <c r="B29" s="20">
        <v>50473</v>
      </c>
      <c r="C29" s="20">
        <v>11149</v>
      </c>
      <c r="D29" s="20">
        <v>20395</v>
      </c>
      <c r="E29" s="21">
        <v>-9246</v>
      </c>
      <c r="F29" s="21">
        <v>41227</v>
      </c>
      <c r="G29" s="21">
        <v>3257</v>
      </c>
      <c r="H29" s="47">
        <v>37970</v>
      </c>
    </row>
    <row r="30" spans="1:8">
      <c r="A30" s="141">
        <v>1984</v>
      </c>
      <c r="B30" s="20">
        <v>47708</v>
      </c>
      <c r="C30" s="20">
        <v>16306</v>
      </c>
      <c r="D30" s="20">
        <v>21001</v>
      </c>
      <c r="E30" s="21">
        <v>-4695</v>
      </c>
      <c r="F30" s="21">
        <v>43013</v>
      </c>
      <c r="G30" s="21">
        <v>3348</v>
      </c>
      <c r="H30" s="47">
        <v>39665</v>
      </c>
    </row>
    <row r="31" spans="1:8">
      <c r="A31" s="141">
        <v>1985</v>
      </c>
      <c r="B31" s="20">
        <v>53463</v>
      </c>
      <c r="C31" s="20">
        <v>15579</v>
      </c>
      <c r="D31" s="20">
        <v>24277</v>
      </c>
      <c r="E31" s="21">
        <v>-8698</v>
      </c>
      <c r="F31" s="21">
        <v>44765</v>
      </c>
      <c r="G31" s="21">
        <v>3444</v>
      </c>
      <c r="H31" s="47">
        <v>41321</v>
      </c>
    </row>
    <row r="32" spans="1:8">
      <c r="A32" s="141">
        <v>1986</v>
      </c>
      <c r="B32" s="20">
        <v>54419</v>
      </c>
      <c r="C32" s="20">
        <v>14512</v>
      </c>
      <c r="D32" s="20">
        <v>23098</v>
      </c>
      <c r="E32" s="21">
        <v>-8586</v>
      </c>
      <c r="F32" s="21">
        <v>45833</v>
      </c>
      <c r="G32" s="21">
        <v>3485</v>
      </c>
      <c r="H32" s="47">
        <v>42348</v>
      </c>
    </row>
    <row r="33" spans="1:8">
      <c r="A33" s="141">
        <v>1987</v>
      </c>
      <c r="B33" s="20">
        <v>56597</v>
      </c>
      <c r="C33" s="20">
        <v>12710</v>
      </c>
      <c r="D33" s="20">
        <v>22165</v>
      </c>
      <c r="E33" s="21">
        <v>-9455</v>
      </c>
      <c r="F33" s="21">
        <v>47142</v>
      </c>
      <c r="G33" s="21">
        <v>3551</v>
      </c>
      <c r="H33" s="47">
        <v>43591</v>
      </c>
    </row>
    <row r="34" spans="1:8">
      <c r="A34" s="141">
        <v>1988</v>
      </c>
      <c r="B34" s="20">
        <v>57519</v>
      </c>
      <c r="C34" s="20">
        <v>15106</v>
      </c>
      <c r="D34" s="20">
        <v>24727</v>
      </c>
      <c r="E34" s="21">
        <v>-9621</v>
      </c>
      <c r="F34" s="21">
        <v>47898</v>
      </c>
      <c r="G34" s="21">
        <v>3571</v>
      </c>
      <c r="H34" s="47">
        <v>44327</v>
      </c>
    </row>
    <row r="35" spans="1:8">
      <c r="A35" s="141">
        <v>1989</v>
      </c>
      <c r="B35" s="20">
        <v>51656</v>
      </c>
      <c r="C35" s="20">
        <v>21933</v>
      </c>
      <c r="D35" s="20">
        <v>24449</v>
      </c>
      <c r="E35" s="21">
        <v>-2516</v>
      </c>
      <c r="F35" s="21">
        <v>49140</v>
      </c>
      <c r="G35" s="21">
        <v>3638</v>
      </c>
      <c r="H35" s="47">
        <v>45502</v>
      </c>
    </row>
    <row r="36" spans="1:8">
      <c r="A36" s="141">
        <v>1990</v>
      </c>
      <c r="B36" s="20">
        <v>52379</v>
      </c>
      <c r="C36" s="20">
        <v>22799</v>
      </c>
      <c r="D36" s="20">
        <v>24907</v>
      </c>
      <c r="E36" s="21">
        <v>-2108</v>
      </c>
      <c r="F36" s="21">
        <v>50271</v>
      </c>
      <c r="G36" s="21">
        <v>3693</v>
      </c>
      <c r="H36" s="47">
        <v>46578</v>
      </c>
    </row>
    <row r="37" spans="1:8">
      <c r="A37" s="141">
        <v>1991</v>
      </c>
      <c r="B37" s="20">
        <v>54132</v>
      </c>
      <c r="C37" s="20">
        <v>24005</v>
      </c>
      <c r="D37" s="20">
        <v>26801</v>
      </c>
      <c r="E37" s="21">
        <v>-2796</v>
      </c>
      <c r="F37" s="21">
        <v>51336</v>
      </c>
      <c r="G37" s="21">
        <v>3750</v>
      </c>
      <c r="H37" s="47">
        <v>47586</v>
      </c>
    </row>
    <row r="38" spans="1:8">
      <c r="A38" s="141">
        <v>1992</v>
      </c>
      <c r="B38" s="20">
        <v>55910</v>
      </c>
      <c r="C38" s="20">
        <v>21757</v>
      </c>
      <c r="D38" s="20">
        <v>26046</v>
      </c>
      <c r="E38" s="21">
        <v>-4289</v>
      </c>
      <c r="F38" s="21">
        <v>51621</v>
      </c>
      <c r="G38" s="21">
        <v>3755</v>
      </c>
      <c r="H38" s="47">
        <v>47866</v>
      </c>
    </row>
    <row r="39" spans="1:8">
      <c r="A39" s="141">
        <v>1993</v>
      </c>
      <c r="B39" s="20">
        <v>58127</v>
      </c>
      <c r="C39" s="20">
        <v>23854</v>
      </c>
      <c r="D39" s="20">
        <v>31053</v>
      </c>
      <c r="E39" s="21">
        <v>-7199</v>
      </c>
      <c r="F39" s="21">
        <v>50928</v>
      </c>
      <c r="G39" s="21">
        <v>3689</v>
      </c>
      <c r="H39" s="47">
        <v>47239</v>
      </c>
    </row>
    <row r="40" spans="1:8">
      <c r="A40" s="141">
        <v>1994</v>
      </c>
      <c r="B40" s="20">
        <v>62390</v>
      </c>
      <c r="C40" s="20">
        <v>22723</v>
      </c>
      <c r="D40" s="20">
        <v>34566</v>
      </c>
      <c r="E40" s="21">
        <v>-11843</v>
      </c>
      <c r="F40" s="21">
        <v>50547</v>
      </c>
      <c r="G40" s="21">
        <v>3650</v>
      </c>
      <c r="H40" s="47">
        <v>46897</v>
      </c>
    </row>
    <row r="41" spans="1:8">
      <c r="A41" s="141">
        <v>1995</v>
      </c>
      <c r="B41" s="20">
        <v>58838</v>
      </c>
      <c r="C41" s="20">
        <v>28948</v>
      </c>
      <c r="D41" s="20">
        <v>36219</v>
      </c>
      <c r="E41" s="21">
        <v>-7271</v>
      </c>
      <c r="F41" s="21">
        <v>51567</v>
      </c>
      <c r="G41" s="21">
        <v>3685</v>
      </c>
      <c r="H41" s="47">
        <v>47882</v>
      </c>
    </row>
    <row r="42" spans="1:8">
      <c r="A42" s="141">
        <v>1996</v>
      </c>
      <c r="B42" s="20">
        <v>53366</v>
      </c>
      <c r="C42" s="20">
        <v>33485</v>
      </c>
      <c r="D42" s="20">
        <v>34431</v>
      </c>
      <c r="E42" s="21">
        <v>-946</v>
      </c>
      <c r="F42" s="21">
        <v>52420</v>
      </c>
      <c r="G42" s="21">
        <v>3728</v>
      </c>
      <c r="H42" s="47">
        <v>48692</v>
      </c>
    </row>
    <row r="43" spans="1:8">
      <c r="A43" s="141">
        <v>1997</v>
      </c>
      <c r="B43" s="20">
        <v>59081</v>
      </c>
      <c r="C43" s="20">
        <v>30655</v>
      </c>
      <c r="D43" s="20">
        <v>37409</v>
      </c>
      <c r="E43" s="21">
        <v>-6754</v>
      </c>
      <c r="F43" s="21">
        <v>52327</v>
      </c>
      <c r="G43" s="21">
        <v>3715</v>
      </c>
      <c r="H43" s="47">
        <v>48612</v>
      </c>
    </row>
    <row r="44" spans="1:8">
      <c r="A44" s="141">
        <v>1998</v>
      </c>
      <c r="B44" s="20">
        <v>59328</v>
      </c>
      <c r="C44" s="20">
        <v>37419</v>
      </c>
      <c r="D44" s="20">
        <v>43373</v>
      </c>
      <c r="E44" s="21">
        <v>-5954</v>
      </c>
      <c r="F44" s="21">
        <v>53374</v>
      </c>
      <c r="G44" s="21">
        <v>3754</v>
      </c>
      <c r="H44" s="47">
        <v>49620</v>
      </c>
    </row>
    <row r="45" spans="1:8">
      <c r="A45" s="141">
        <v>1999</v>
      </c>
      <c r="B45" s="20">
        <v>65285</v>
      </c>
      <c r="C45" s="20">
        <v>37064</v>
      </c>
      <c r="D45" s="20">
        <v>47293</v>
      </c>
      <c r="E45" s="21">
        <v>-10229</v>
      </c>
      <c r="F45" s="21">
        <v>55056</v>
      </c>
      <c r="G45" s="21">
        <v>3843</v>
      </c>
      <c r="H45" s="47">
        <v>51213</v>
      </c>
    </row>
    <row r="46" spans="1:8">
      <c r="A46" s="141">
        <v>2000</v>
      </c>
      <c r="B46" s="20">
        <v>63374</v>
      </c>
      <c r="C46" s="20">
        <v>24330</v>
      </c>
      <c r="D46" s="20">
        <v>31400</v>
      </c>
      <c r="E46" s="21">
        <v>-7070</v>
      </c>
      <c r="F46" s="21">
        <v>56304</v>
      </c>
      <c r="G46" s="21">
        <v>3931</v>
      </c>
      <c r="H46" s="47">
        <v>52373</v>
      </c>
    </row>
    <row r="47" spans="1:8">
      <c r="A47" s="141">
        <v>2001</v>
      </c>
      <c r="B47" s="20">
        <v>68227</v>
      </c>
      <c r="C47" s="20">
        <v>24096</v>
      </c>
      <c r="D47" s="20">
        <v>34540</v>
      </c>
      <c r="E47" s="21">
        <v>-10444</v>
      </c>
      <c r="F47" s="21">
        <v>57783</v>
      </c>
      <c r="G47" s="21">
        <v>4034</v>
      </c>
      <c r="H47" s="47">
        <v>53749</v>
      </c>
    </row>
    <row r="48" spans="1:8">
      <c r="A48" s="141">
        <v>2002</v>
      </c>
      <c r="B48" s="20">
        <v>62593</v>
      </c>
      <c r="C48" s="20">
        <v>27800</v>
      </c>
      <c r="D48" s="20">
        <v>32308</v>
      </c>
      <c r="E48" s="21">
        <v>-4508</v>
      </c>
      <c r="F48" s="21">
        <v>58085</v>
      </c>
      <c r="G48" s="21">
        <v>4056</v>
      </c>
      <c r="H48" s="47">
        <v>54029</v>
      </c>
    </row>
    <row r="49" spans="1:8">
      <c r="A49" s="141">
        <v>2003</v>
      </c>
      <c r="B49" s="20">
        <v>62373</v>
      </c>
      <c r="C49" s="20">
        <v>30084</v>
      </c>
      <c r="D49" s="20">
        <v>33196</v>
      </c>
      <c r="E49" s="21">
        <v>-3112</v>
      </c>
      <c r="F49" s="21">
        <v>59261</v>
      </c>
      <c r="G49" s="21">
        <v>4139</v>
      </c>
      <c r="H49" s="47">
        <v>55122</v>
      </c>
    </row>
    <row r="50" spans="1:8">
      <c r="A50" s="141">
        <v>2004</v>
      </c>
      <c r="B50" s="20">
        <v>61090</v>
      </c>
      <c r="C50" s="20">
        <v>27056</v>
      </c>
      <c r="D50" s="20">
        <v>27759</v>
      </c>
      <c r="E50" s="21">
        <v>-703</v>
      </c>
      <c r="F50" s="21">
        <v>60387</v>
      </c>
      <c r="G50" s="21">
        <v>4216</v>
      </c>
      <c r="H50" s="47">
        <v>56171</v>
      </c>
    </row>
    <row r="51" spans="1:8">
      <c r="A51" s="141">
        <v>2005</v>
      </c>
      <c r="B51" s="20">
        <v>55287</v>
      </c>
      <c r="C51" s="20">
        <v>38346</v>
      </c>
      <c r="D51" s="20">
        <v>31996</v>
      </c>
      <c r="E51" s="21">
        <v>6350</v>
      </c>
      <c r="F51" s="21">
        <v>61637</v>
      </c>
      <c r="G51" s="21">
        <v>4307</v>
      </c>
      <c r="H51" s="47">
        <v>57330</v>
      </c>
    </row>
    <row r="52" spans="1:8">
      <c r="A52" s="141">
        <v>2006</v>
      </c>
      <c r="B52" s="20">
        <v>59421</v>
      </c>
      <c r="C52" s="20">
        <v>33803</v>
      </c>
      <c r="D52" s="20">
        <v>31100</v>
      </c>
      <c r="E52" s="21">
        <v>2703</v>
      </c>
      <c r="F52" s="21">
        <v>62124</v>
      </c>
      <c r="G52" s="21">
        <v>4342</v>
      </c>
      <c r="H52" s="47">
        <v>57782</v>
      </c>
    </row>
    <row r="53" spans="1:8">
      <c r="A53" s="141">
        <v>2007</v>
      </c>
      <c r="B53" s="20">
        <v>63812</v>
      </c>
      <c r="C53" s="20">
        <v>34818</v>
      </c>
      <c r="D53" s="20">
        <v>36880</v>
      </c>
      <c r="E53" s="21">
        <v>-2062</v>
      </c>
      <c r="F53" s="21">
        <v>61750</v>
      </c>
      <c r="G53" s="21">
        <v>4318</v>
      </c>
      <c r="H53" s="47">
        <v>57432</v>
      </c>
    </row>
    <row r="54" spans="1:8">
      <c r="A54" s="141">
        <v>2008</v>
      </c>
      <c r="B54" s="20">
        <v>64282</v>
      </c>
      <c r="C54" s="20">
        <v>31601</v>
      </c>
      <c r="D54" s="20">
        <v>32736</v>
      </c>
      <c r="E54" s="21">
        <v>-1135</v>
      </c>
      <c r="F54" s="21">
        <v>63147</v>
      </c>
      <c r="G54" s="21">
        <v>4418</v>
      </c>
      <c r="H54" s="47">
        <v>58729</v>
      </c>
    </row>
    <row r="55" spans="1:8">
      <c r="A55" s="141">
        <v>2009</v>
      </c>
      <c r="B55" s="20">
        <v>63971</v>
      </c>
      <c r="C55" s="20">
        <v>31368</v>
      </c>
      <c r="D55" s="20">
        <v>33525</v>
      </c>
      <c r="E55" s="21">
        <v>-2157</v>
      </c>
      <c r="F55" s="21">
        <v>61814</v>
      </c>
      <c r="G55" s="21">
        <v>4320</v>
      </c>
      <c r="H55" s="47">
        <v>57494</v>
      </c>
    </row>
    <row r="56" spans="1:8">
      <c r="A56" s="141">
        <v>2010</v>
      </c>
      <c r="B56" s="20">
        <v>63758</v>
      </c>
      <c r="C56" s="20">
        <v>33401</v>
      </c>
      <c r="D56" s="20">
        <v>32881</v>
      </c>
      <c r="E56" s="21">
        <v>520</v>
      </c>
      <c r="F56" s="21">
        <v>64278</v>
      </c>
      <c r="G56" s="21">
        <v>4493</v>
      </c>
      <c r="H56" s="47">
        <v>59785</v>
      </c>
    </row>
    <row r="57" spans="1:8">
      <c r="A57" s="141">
        <v>2011</v>
      </c>
      <c r="B57" s="20">
        <v>60415</v>
      </c>
      <c r="C57" s="20">
        <v>34824</v>
      </c>
      <c r="D57" s="20">
        <v>32237</v>
      </c>
      <c r="E57" s="21">
        <v>2587</v>
      </c>
      <c r="F57" s="21">
        <v>63002</v>
      </c>
      <c r="G57" s="21">
        <v>4403</v>
      </c>
      <c r="H57" s="47">
        <v>58599</v>
      </c>
    </row>
    <row r="58" spans="1:8">
      <c r="A58" s="141">
        <v>2012</v>
      </c>
      <c r="B58" s="20">
        <v>65608</v>
      </c>
      <c r="C58" s="20">
        <v>31549</v>
      </c>
      <c r="D58" s="20">
        <v>33749</v>
      </c>
      <c r="E58" s="21">
        <v>-2200</v>
      </c>
      <c r="F58" s="21">
        <v>63408</v>
      </c>
      <c r="G58" s="21">
        <v>4435</v>
      </c>
      <c r="H58" s="47">
        <v>58973</v>
      </c>
    </row>
    <row r="59" spans="1:8">
      <c r="A59" s="141">
        <v>2013</v>
      </c>
      <c r="B59" s="20">
        <v>66180</v>
      </c>
      <c r="C59" s="20">
        <v>29874</v>
      </c>
      <c r="D59" s="20">
        <v>32270</v>
      </c>
      <c r="E59" s="21">
        <v>-2396</v>
      </c>
      <c r="F59" s="21">
        <v>63784</v>
      </c>
      <c r="G59" s="21">
        <v>4461</v>
      </c>
      <c r="H59" s="47">
        <v>59323</v>
      </c>
    </row>
    <row r="60" spans="1:8">
      <c r="A60" s="141">
        <v>2014</v>
      </c>
      <c r="B60" s="20">
        <v>67278</v>
      </c>
      <c r="C60" s="20">
        <v>28530</v>
      </c>
      <c r="D60" s="20">
        <v>34021</v>
      </c>
      <c r="E60" s="21">
        <v>-5491</v>
      </c>
      <c r="F60" s="21">
        <v>61787</v>
      </c>
      <c r="G60" s="21">
        <v>4321</v>
      </c>
      <c r="H60" s="47">
        <v>57466</v>
      </c>
    </row>
    <row r="61" spans="1:8">
      <c r="A61" s="141">
        <v>2015</v>
      </c>
      <c r="B61" s="20">
        <v>63661</v>
      </c>
      <c r="C61" s="20">
        <v>34033</v>
      </c>
      <c r="D61" s="20">
        <v>35068</v>
      </c>
      <c r="E61" s="21">
        <v>-1035</v>
      </c>
      <c r="F61" s="21">
        <v>62626</v>
      </c>
      <c r="G61" s="21">
        <v>4380</v>
      </c>
      <c r="H61" s="47">
        <v>58246</v>
      </c>
    </row>
    <row r="62" spans="1:8">
      <c r="A62" s="141">
        <v>2016</v>
      </c>
      <c r="B62" s="20">
        <v>58694</v>
      </c>
      <c r="C62" s="20">
        <v>34096</v>
      </c>
      <c r="D62" s="20">
        <v>30173</v>
      </c>
      <c r="E62" s="21">
        <v>3923</v>
      </c>
      <c r="F62" s="21">
        <v>62617</v>
      </c>
      <c r="G62" s="21">
        <v>4378</v>
      </c>
      <c r="H62" s="47">
        <v>58239</v>
      </c>
    </row>
    <row r="63" spans="1:8">
      <c r="A63" s="141">
        <v>2017</v>
      </c>
      <c r="B63" s="20">
        <v>57327</v>
      </c>
      <c r="C63" s="20">
        <v>36496</v>
      </c>
      <c r="D63" s="20">
        <v>30946</v>
      </c>
      <c r="E63" s="21">
        <v>5550</v>
      </c>
      <c r="F63" s="21">
        <v>62877</v>
      </c>
      <c r="G63" s="21">
        <v>4394</v>
      </c>
      <c r="H63" s="47">
        <v>58483</v>
      </c>
    </row>
    <row r="64" spans="1:8">
      <c r="A64" s="141">
        <v>2018</v>
      </c>
      <c r="B64" s="20">
        <v>63571</v>
      </c>
      <c r="C64" s="20">
        <v>31020</v>
      </c>
      <c r="D64" s="20">
        <v>32607</v>
      </c>
      <c r="E64" s="21">
        <v>-1587</v>
      </c>
      <c r="F64" s="21">
        <v>61984</v>
      </c>
      <c r="G64" s="21">
        <v>4337</v>
      </c>
      <c r="H64" s="47">
        <v>57647</v>
      </c>
    </row>
    <row r="65" spans="1:8">
      <c r="A65" s="141">
        <v>2019</v>
      </c>
      <c r="B65" s="20">
        <v>67761</v>
      </c>
      <c r="C65" s="20">
        <v>29505</v>
      </c>
      <c r="D65" s="20">
        <v>35765</v>
      </c>
      <c r="E65" s="21">
        <v>-6260</v>
      </c>
      <c r="F65" s="21">
        <v>61501</v>
      </c>
      <c r="G65" s="21">
        <v>4303</v>
      </c>
      <c r="H65" s="47">
        <v>57198</v>
      </c>
    </row>
    <row r="66" spans="1:8">
      <c r="A66" s="141">
        <v>2020</v>
      </c>
      <c r="B66" s="20">
        <v>65872</v>
      </c>
      <c r="C66" s="20">
        <v>26988</v>
      </c>
      <c r="D66" s="20">
        <v>32548</v>
      </c>
      <c r="E66" s="21">
        <v>-5560</v>
      </c>
      <c r="F66" s="21">
        <v>60312</v>
      </c>
      <c r="G66" s="21">
        <v>4215</v>
      </c>
      <c r="H66" s="47">
        <v>56097</v>
      </c>
    </row>
    <row r="67" spans="1:8">
      <c r="A67" s="141">
        <v>2021</v>
      </c>
      <c r="B67" s="20">
        <v>60813</v>
      </c>
      <c r="C67" s="20">
        <v>31532</v>
      </c>
      <c r="D67" s="20">
        <v>29119</v>
      </c>
      <c r="E67" s="21">
        <v>2413</v>
      </c>
      <c r="F67" s="21">
        <v>63226</v>
      </c>
      <c r="G67" s="21">
        <v>4423</v>
      </c>
      <c r="H67" s="47">
        <v>58803</v>
      </c>
    </row>
    <row r="68" spans="1:8">
      <c r="A68" s="141">
        <v>2022</v>
      </c>
      <c r="B68" s="20">
        <v>58953</v>
      </c>
      <c r="C68" s="20">
        <v>33117</v>
      </c>
      <c r="D68" s="20">
        <v>29734</v>
      </c>
      <c r="E68" s="21">
        <v>3383</v>
      </c>
      <c r="F68" s="21">
        <v>62336</v>
      </c>
      <c r="G68" s="21">
        <v>4360</v>
      </c>
      <c r="H68" s="47">
        <v>57976</v>
      </c>
    </row>
    <row r="69" spans="1:8">
      <c r="A69" s="141">
        <v>2023</v>
      </c>
      <c r="B69" s="20">
        <v>67369</v>
      </c>
      <c r="C69" s="20">
        <v>27462</v>
      </c>
      <c r="D69" s="20">
        <v>33856</v>
      </c>
      <c r="E69" s="21">
        <v>-6394</v>
      </c>
      <c r="F69" s="21">
        <v>60975</v>
      </c>
      <c r="G69" s="21">
        <v>4265</v>
      </c>
      <c r="H69" s="47">
        <v>56710</v>
      </c>
    </row>
    <row r="70" spans="1:8" ht="13">
      <c r="A70" s="142">
        <v>2024</v>
      </c>
      <c r="B70" s="49">
        <v>76237</v>
      </c>
      <c r="C70" s="49">
        <v>25955</v>
      </c>
      <c r="D70" s="49">
        <v>40354</v>
      </c>
      <c r="E70" s="50">
        <v>-14399</v>
      </c>
      <c r="F70" s="50">
        <v>61838</v>
      </c>
      <c r="G70" s="50">
        <v>4326</v>
      </c>
      <c r="H70" s="51">
        <v>57512</v>
      </c>
    </row>
    <row r="72" spans="1:8">
      <c r="A72" s="78" t="s">
        <v>416</v>
      </c>
      <c r="F72" s="78" t="s">
        <v>417</v>
      </c>
    </row>
    <row r="76" spans="1:8">
      <c r="A76" s="35" t="s">
        <v>75</v>
      </c>
    </row>
    <row r="77" spans="1:8">
      <c r="A77" s="35" t="s">
        <v>76</v>
      </c>
    </row>
    <row r="78" spans="1:8">
      <c r="A78" s="35" t="s">
        <v>77</v>
      </c>
    </row>
  </sheetData>
  <conditionalFormatting sqref="B6:C15">
    <cfRule type="expression" dxfId="8" priority="4">
      <formula>AI6&lt;&gt;0</formula>
    </cfRule>
  </conditionalFormatting>
  <conditionalFormatting sqref="B16:H70">
    <cfRule type="expression" dxfId="7" priority="1">
      <formula>#REF!&lt;&gt;0</formula>
    </cfRule>
  </conditionalFormatting>
  <conditionalFormatting sqref="D6:D15">
    <cfRule type="expression" dxfId="6" priority="3">
      <formula>AJ6&lt;&gt;0</formula>
    </cfRule>
  </conditionalFormatting>
  <conditionalFormatting sqref="E6:H15">
    <cfRule type="expression" dxfId="5" priority="2">
      <formula>AJ6&lt;&gt;0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D7882-5D18-4A6A-9384-80A5E3934449}">
  <sheetPr codeName="Tabelle37"/>
  <dimension ref="A1:N67"/>
  <sheetViews>
    <sheetView workbookViewId="0">
      <selection activeCell="A53" sqref="A53:XFD53"/>
    </sheetView>
  </sheetViews>
  <sheetFormatPr defaultColWidth="11.54296875" defaultRowHeight="12.5"/>
  <cols>
    <col min="1" max="1" width="8.7265625" style="4" customWidth="1"/>
    <col min="2" max="2" width="12.7265625" style="4" customWidth="1"/>
    <col min="3" max="10" width="9.7265625" style="4" customWidth="1"/>
    <col min="11" max="13" width="12.7265625" style="4" customWidth="1"/>
    <col min="14" max="16384" width="11.54296875" style="4"/>
  </cols>
  <sheetData>
    <row r="1" spans="1:13" ht="15">
      <c r="A1" s="3" t="s">
        <v>471</v>
      </c>
      <c r="M1" s="5" t="s">
        <v>472</v>
      </c>
    </row>
    <row r="2" spans="1:13" ht="15">
      <c r="A2" s="3" t="s">
        <v>473</v>
      </c>
      <c r="M2" s="5" t="s">
        <v>474</v>
      </c>
    </row>
    <row r="4" spans="1:13" ht="12.75" customHeight="1">
      <c r="A4" s="258" t="s">
        <v>55</v>
      </c>
      <c r="B4" s="295" t="s">
        <v>475</v>
      </c>
      <c r="C4" s="283" t="s">
        <v>476</v>
      </c>
      <c r="D4" s="309"/>
      <c r="E4" s="309"/>
      <c r="F4" s="284"/>
      <c r="G4" s="276" t="s">
        <v>477</v>
      </c>
      <c r="H4" s="309"/>
      <c r="I4" s="309"/>
      <c r="J4" s="275"/>
      <c r="K4" s="258" t="s">
        <v>478</v>
      </c>
      <c r="L4" s="258" t="s">
        <v>479</v>
      </c>
      <c r="M4" s="296" t="s">
        <v>335</v>
      </c>
    </row>
    <row r="5" spans="1:13" ht="21.75" customHeight="1">
      <c r="A5" s="253"/>
      <c r="B5" s="298"/>
      <c r="C5" s="96" t="s">
        <v>480</v>
      </c>
      <c r="D5" s="97" t="s">
        <v>481</v>
      </c>
      <c r="E5" s="97" t="s">
        <v>482</v>
      </c>
      <c r="F5" s="42" t="s">
        <v>61</v>
      </c>
      <c r="G5" s="40" t="s">
        <v>480</v>
      </c>
      <c r="H5" s="97" t="s">
        <v>481</v>
      </c>
      <c r="I5" s="97" t="s">
        <v>482</v>
      </c>
      <c r="J5" s="151" t="s">
        <v>61</v>
      </c>
      <c r="K5" s="253"/>
      <c r="L5" s="253"/>
      <c r="M5" s="299"/>
    </row>
    <row r="6" spans="1:13" ht="12.75" customHeight="1">
      <c r="A6" s="253" t="s">
        <v>62</v>
      </c>
      <c r="B6" s="298" t="s">
        <v>483</v>
      </c>
      <c r="C6" s="287" t="s">
        <v>484</v>
      </c>
      <c r="D6" s="305"/>
      <c r="E6" s="305"/>
      <c r="F6" s="288"/>
      <c r="G6" s="278" t="s">
        <v>485</v>
      </c>
      <c r="H6" s="305"/>
      <c r="I6" s="305"/>
      <c r="J6" s="277"/>
      <c r="K6" s="253" t="s">
        <v>486</v>
      </c>
      <c r="L6" s="253" t="s">
        <v>487</v>
      </c>
      <c r="M6" s="299" t="s">
        <v>345</v>
      </c>
    </row>
    <row r="7" spans="1:13" ht="32.25" customHeight="1">
      <c r="A7" s="254"/>
      <c r="B7" s="325"/>
      <c r="C7" s="89" t="s">
        <v>488</v>
      </c>
      <c r="D7" s="12" t="s">
        <v>489</v>
      </c>
      <c r="E7" s="12" t="s">
        <v>490</v>
      </c>
      <c r="F7" s="100" t="s">
        <v>61</v>
      </c>
      <c r="G7" s="11" t="s">
        <v>488</v>
      </c>
      <c r="H7" s="12" t="s">
        <v>489</v>
      </c>
      <c r="I7" s="12" t="s">
        <v>490</v>
      </c>
      <c r="J7" s="13" t="s">
        <v>61</v>
      </c>
      <c r="K7" s="254"/>
      <c r="L7" s="254"/>
      <c r="M7" s="326"/>
    </row>
    <row r="8" spans="1:13">
      <c r="A8" s="14">
        <v>1970</v>
      </c>
      <c r="B8" s="15">
        <v>9990</v>
      </c>
      <c r="C8" s="144" t="s">
        <v>68</v>
      </c>
      <c r="D8" s="16" t="s">
        <v>68</v>
      </c>
      <c r="E8" s="16">
        <v>120</v>
      </c>
      <c r="F8" s="46">
        <v>120</v>
      </c>
      <c r="G8" s="15" t="s">
        <v>68</v>
      </c>
      <c r="H8" s="16" t="s">
        <v>68</v>
      </c>
      <c r="I8" s="16" t="s">
        <v>68</v>
      </c>
      <c r="J8" s="17" t="s">
        <v>68</v>
      </c>
      <c r="K8" s="18">
        <v>10110</v>
      </c>
      <c r="L8" s="18" t="s">
        <v>68</v>
      </c>
      <c r="M8" s="145">
        <v>10110</v>
      </c>
    </row>
    <row r="9" spans="1:13">
      <c r="A9" s="19">
        <v>1980</v>
      </c>
      <c r="B9" s="127">
        <v>26060</v>
      </c>
      <c r="C9" s="125">
        <v>30</v>
      </c>
      <c r="D9" s="21" t="s">
        <v>68</v>
      </c>
      <c r="E9" s="21">
        <v>190</v>
      </c>
      <c r="F9" s="47">
        <v>220</v>
      </c>
      <c r="G9" s="20" t="s">
        <v>68</v>
      </c>
      <c r="H9" s="21" t="s">
        <v>68</v>
      </c>
      <c r="I9" s="21" t="s">
        <v>68</v>
      </c>
      <c r="J9" s="22" t="s">
        <v>68</v>
      </c>
      <c r="K9" s="23">
        <v>26280</v>
      </c>
      <c r="L9" s="23" t="s">
        <v>68</v>
      </c>
      <c r="M9" s="103">
        <v>26280</v>
      </c>
    </row>
    <row r="10" spans="1:13">
      <c r="A10" s="19">
        <v>1981</v>
      </c>
      <c r="B10" s="127">
        <v>25260</v>
      </c>
      <c r="C10" s="125">
        <v>20</v>
      </c>
      <c r="D10" s="21"/>
      <c r="E10" s="21">
        <v>200</v>
      </c>
      <c r="F10" s="47">
        <v>220</v>
      </c>
      <c r="G10" s="20" t="s">
        <v>68</v>
      </c>
      <c r="H10" s="21" t="s">
        <v>68</v>
      </c>
      <c r="I10" s="21" t="s">
        <v>68</v>
      </c>
      <c r="J10" s="22" t="s">
        <v>68</v>
      </c>
      <c r="K10" s="23">
        <v>25480</v>
      </c>
      <c r="L10" s="23" t="s">
        <v>68</v>
      </c>
      <c r="M10" s="103">
        <v>25480</v>
      </c>
    </row>
    <row r="11" spans="1:13">
      <c r="A11" s="19">
        <v>1982</v>
      </c>
      <c r="B11" s="127">
        <v>24650</v>
      </c>
      <c r="C11" s="125">
        <v>90</v>
      </c>
      <c r="D11" s="21"/>
      <c r="E11" s="21">
        <v>190</v>
      </c>
      <c r="F11" s="47">
        <v>280</v>
      </c>
      <c r="G11" s="20" t="s">
        <v>68</v>
      </c>
      <c r="H11" s="21" t="s">
        <v>68</v>
      </c>
      <c r="I11" s="21" t="s">
        <v>68</v>
      </c>
      <c r="J11" s="22" t="s">
        <v>68</v>
      </c>
      <c r="K11" s="23">
        <v>24930</v>
      </c>
      <c r="L11" s="23" t="s">
        <v>68</v>
      </c>
      <c r="M11" s="103">
        <v>24930</v>
      </c>
    </row>
    <row r="12" spans="1:13">
      <c r="A12" s="19">
        <v>1983</v>
      </c>
      <c r="B12" s="127">
        <v>25090</v>
      </c>
      <c r="C12" s="125">
        <v>50</v>
      </c>
      <c r="D12" s="21"/>
      <c r="E12" s="21">
        <v>200</v>
      </c>
      <c r="F12" s="47">
        <v>250</v>
      </c>
      <c r="G12" s="20" t="s">
        <v>68</v>
      </c>
      <c r="H12" s="21" t="s">
        <v>68</v>
      </c>
      <c r="I12" s="21" t="s">
        <v>68</v>
      </c>
      <c r="J12" s="22" t="s">
        <v>68</v>
      </c>
      <c r="K12" s="23">
        <v>25340</v>
      </c>
      <c r="L12" s="23" t="s">
        <v>68</v>
      </c>
      <c r="M12" s="103">
        <v>25340</v>
      </c>
    </row>
    <row r="13" spans="1:13">
      <c r="A13" s="19">
        <v>1984</v>
      </c>
      <c r="B13" s="127">
        <v>26300</v>
      </c>
      <c r="C13" s="125">
        <v>50</v>
      </c>
      <c r="D13" s="21"/>
      <c r="E13" s="21">
        <v>210</v>
      </c>
      <c r="F13" s="47">
        <v>260</v>
      </c>
      <c r="G13" s="20" t="s">
        <v>68</v>
      </c>
      <c r="H13" s="21" t="s">
        <v>68</v>
      </c>
      <c r="I13" s="21" t="s">
        <v>68</v>
      </c>
      <c r="J13" s="22" t="s">
        <v>68</v>
      </c>
      <c r="K13" s="23">
        <v>26560</v>
      </c>
      <c r="L13" s="23" t="s">
        <v>68</v>
      </c>
      <c r="M13" s="103">
        <v>26560</v>
      </c>
    </row>
    <row r="14" spans="1:13">
      <c r="A14" s="19">
        <v>1985</v>
      </c>
      <c r="B14" s="127">
        <v>26680</v>
      </c>
      <c r="C14" s="125">
        <v>130</v>
      </c>
      <c r="D14" s="21"/>
      <c r="E14" s="21">
        <v>220</v>
      </c>
      <c r="F14" s="47">
        <v>350</v>
      </c>
      <c r="G14" s="20" t="s">
        <v>68</v>
      </c>
      <c r="H14" s="21" t="s">
        <v>68</v>
      </c>
      <c r="I14" s="21" t="s">
        <v>68</v>
      </c>
      <c r="J14" s="22" t="s">
        <v>68</v>
      </c>
      <c r="K14" s="23">
        <v>27030</v>
      </c>
      <c r="L14" s="23" t="s">
        <v>68</v>
      </c>
      <c r="M14" s="103">
        <v>27030</v>
      </c>
    </row>
    <row r="15" spans="1:13">
      <c r="A15" s="19">
        <v>1986</v>
      </c>
      <c r="B15" s="127">
        <v>25630</v>
      </c>
      <c r="C15" s="125">
        <v>400</v>
      </c>
      <c r="D15" s="21"/>
      <c r="E15" s="21">
        <v>260</v>
      </c>
      <c r="F15" s="47">
        <v>660</v>
      </c>
      <c r="G15" s="20" t="s">
        <v>68</v>
      </c>
      <c r="H15" s="21" t="s">
        <v>68</v>
      </c>
      <c r="I15" s="21" t="s">
        <v>68</v>
      </c>
      <c r="J15" s="22" t="s">
        <v>68</v>
      </c>
      <c r="K15" s="23">
        <v>26290</v>
      </c>
      <c r="L15" s="23" t="s">
        <v>68</v>
      </c>
      <c r="M15" s="103">
        <v>26290</v>
      </c>
    </row>
    <row r="16" spans="1:13">
      <c r="A16" s="19">
        <v>1987</v>
      </c>
      <c r="B16" s="127">
        <v>25880</v>
      </c>
      <c r="C16" s="125">
        <v>230</v>
      </c>
      <c r="D16" s="21"/>
      <c r="E16" s="21">
        <v>270</v>
      </c>
      <c r="F16" s="47">
        <v>500</v>
      </c>
      <c r="G16" s="20" t="s">
        <v>68</v>
      </c>
      <c r="H16" s="21" t="s">
        <v>68</v>
      </c>
      <c r="I16" s="21" t="s">
        <v>68</v>
      </c>
      <c r="J16" s="22" t="s">
        <v>68</v>
      </c>
      <c r="K16" s="23">
        <v>26380</v>
      </c>
      <c r="L16" s="23" t="s">
        <v>68</v>
      </c>
      <c r="M16" s="103">
        <v>26380</v>
      </c>
    </row>
    <row r="17" spans="1:14">
      <c r="A17" s="19">
        <v>1988</v>
      </c>
      <c r="B17" s="127">
        <v>24460</v>
      </c>
      <c r="C17" s="125">
        <v>260</v>
      </c>
      <c r="D17" s="21"/>
      <c r="E17" s="21">
        <v>290</v>
      </c>
      <c r="F17" s="47">
        <v>550</v>
      </c>
      <c r="G17" s="20" t="s">
        <v>68</v>
      </c>
      <c r="H17" s="21" t="s">
        <v>68</v>
      </c>
      <c r="I17" s="21" t="s">
        <v>68</v>
      </c>
      <c r="J17" s="22" t="s">
        <v>68</v>
      </c>
      <c r="K17" s="23">
        <v>25010</v>
      </c>
      <c r="L17" s="23" t="s">
        <v>68</v>
      </c>
      <c r="M17" s="103">
        <v>25010</v>
      </c>
    </row>
    <row r="18" spans="1:14">
      <c r="A18" s="19">
        <v>1989</v>
      </c>
      <c r="B18" s="127">
        <v>24280</v>
      </c>
      <c r="C18" s="125">
        <v>270</v>
      </c>
      <c r="D18" s="21"/>
      <c r="E18" s="21">
        <v>320</v>
      </c>
      <c r="F18" s="47">
        <v>590</v>
      </c>
      <c r="G18" s="20" t="s">
        <v>68</v>
      </c>
      <c r="H18" s="21" t="s">
        <v>68</v>
      </c>
      <c r="I18" s="21" t="s">
        <v>68</v>
      </c>
      <c r="J18" s="22" t="s">
        <v>68</v>
      </c>
      <c r="K18" s="23">
        <v>24870</v>
      </c>
      <c r="L18" s="23" t="s">
        <v>68</v>
      </c>
      <c r="M18" s="103">
        <v>24870</v>
      </c>
    </row>
    <row r="19" spans="1:14">
      <c r="A19" s="19">
        <v>1990</v>
      </c>
      <c r="B19" s="127">
        <v>28420</v>
      </c>
      <c r="C19" s="125">
        <v>60</v>
      </c>
      <c r="D19" s="21" t="s">
        <v>68</v>
      </c>
      <c r="E19" s="21">
        <v>310</v>
      </c>
      <c r="F19" s="47">
        <v>370</v>
      </c>
      <c r="G19" s="20">
        <v>100</v>
      </c>
      <c r="H19" s="21" t="s">
        <v>68</v>
      </c>
      <c r="I19" s="21">
        <v>0</v>
      </c>
      <c r="J19" s="22">
        <v>100</v>
      </c>
      <c r="K19" s="23">
        <v>28690</v>
      </c>
      <c r="L19" s="23">
        <v>30</v>
      </c>
      <c r="M19" s="103">
        <v>28660</v>
      </c>
    </row>
    <row r="20" spans="1:14">
      <c r="A20" s="19">
        <v>1991</v>
      </c>
      <c r="B20" s="127">
        <v>31570</v>
      </c>
      <c r="C20" s="125">
        <v>50</v>
      </c>
      <c r="D20" s="21" t="s">
        <v>68</v>
      </c>
      <c r="E20" s="21">
        <v>310</v>
      </c>
      <c r="F20" s="47">
        <v>360</v>
      </c>
      <c r="G20" s="20">
        <v>320</v>
      </c>
      <c r="H20" s="21" t="s">
        <v>68</v>
      </c>
      <c r="I20" s="21">
        <v>0</v>
      </c>
      <c r="J20" s="22">
        <v>320</v>
      </c>
      <c r="K20" s="23">
        <v>31610</v>
      </c>
      <c r="L20" s="23">
        <v>30</v>
      </c>
      <c r="M20" s="103">
        <v>31580</v>
      </c>
    </row>
    <row r="21" spans="1:14" ht="13">
      <c r="A21" s="19">
        <v>1992</v>
      </c>
      <c r="B21" s="127">
        <v>30550</v>
      </c>
      <c r="C21" s="125">
        <v>90</v>
      </c>
      <c r="D21" s="21" t="s">
        <v>68</v>
      </c>
      <c r="E21" s="21">
        <v>320</v>
      </c>
      <c r="F21" s="47">
        <v>410</v>
      </c>
      <c r="G21" s="20">
        <v>300</v>
      </c>
      <c r="H21" s="21" t="s">
        <v>68</v>
      </c>
      <c r="I21" s="21">
        <v>0</v>
      </c>
      <c r="J21" s="22">
        <v>300</v>
      </c>
      <c r="K21" s="23">
        <v>30660</v>
      </c>
      <c r="L21" s="23">
        <v>60</v>
      </c>
      <c r="M21" s="103">
        <v>30600</v>
      </c>
      <c r="N21" s="76"/>
    </row>
    <row r="22" spans="1:14" ht="13">
      <c r="A22" s="19">
        <v>1993</v>
      </c>
      <c r="B22" s="127">
        <v>30550</v>
      </c>
      <c r="C22" s="125">
        <v>80</v>
      </c>
      <c r="D22" s="21" t="s">
        <v>68</v>
      </c>
      <c r="E22" s="21">
        <v>320</v>
      </c>
      <c r="F22" s="47">
        <v>400</v>
      </c>
      <c r="G22" s="20">
        <v>200</v>
      </c>
      <c r="H22" s="21" t="s">
        <v>68</v>
      </c>
      <c r="I22" s="21">
        <v>0</v>
      </c>
      <c r="J22" s="22">
        <v>200</v>
      </c>
      <c r="K22" s="23">
        <v>30750</v>
      </c>
      <c r="L22" s="23">
        <v>50</v>
      </c>
      <c r="M22" s="103">
        <v>30700</v>
      </c>
      <c r="N22" s="76"/>
    </row>
    <row r="23" spans="1:14" ht="13">
      <c r="A23" s="19">
        <v>1994</v>
      </c>
      <c r="B23" s="127">
        <v>28620</v>
      </c>
      <c r="C23" s="125">
        <v>40</v>
      </c>
      <c r="D23" s="21" t="s">
        <v>68</v>
      </c>
      <c r="E23" s="21">
        <v>290</v>
      </c>
      <c r="F23" s="47">
        <v>330</v>
      </c>
      <c r="G23" s="20">
        <v>240</v>
      </c>
      <c r="H23" s="21" t="s">
        <v>68</v>
      </c>
      <c r="I23" s="21">
        <v>0</v>
      </c>
      <c r="J23" s="22">
        <v>240</v>
      </c>
      <c r="K23" s="23">
        <v>28710</v>
      </c>
      <c r="L23" s="23">
        <v>60</v>
      </c>
      <c r="M23" s="103">
        <v>28650</v>
      </c>
      <c r="N23" s="76"/>
    </row>
    <row r="24" spans="1:14" ht="13">
      <c r="A24" s="19">
        <v>1995</v>
      </c>
      <c r="B24" s="127">
        <v>30470</v>
      </c>
      <c r="C24" s="125">
        <v>50</v>
      </c>
      <c r="D24" s="21" t="s">
        <v>68</v>
      </c>
      <c r="E24" s="21">
        <v>290</v>
      </c>
      <c r="F24" s="47">
        <v>340</v>
      </c>
      <c r="G24" s="20">
        <v>170</v>
      </c>
      <c r="H24" s="21" t="s">
        <v>68</v>
      </c>
      <c r="I24" s="21">
        <v>0</v>
      </c>
      <c r="J24" s="22">
        <v>170</v>
      </c>
      <c r="K24" s="23">
        <v>30640</v>
      </c>
      <c r="L24" s="23">
        <v>40</v>
      </c>
      <c r="M24" s="103">
        <v>30600</v>
      </c>
      <c r="N24" s="76"/>
    </row>
    <row r="25" spans="1:14" ht="13">
      <c r="A25" s="19">
        <v>1996</v>
      </c>
      <c r="B25" s="127">
        <v>33590</v>
      </c>
      <c r="C25" s="125">
        <v>60</v>
      </c>
      <c r="D25" s="21" t="s">
        <v>68</v>
      </c>
      <c r="E25" s="21">
        <v>290</v>
      </c>
      <c r="F25" s="47">
        <v>350</v>
      </c>
      <c r="G25" s="20">
        <v>220</v>
      </c>
      <c r="H25" s="21" t="s">
        <v>68</v>
      </c>
      <c r="I25" s="21">
        <v>0</v>
      </c>
      <c r="J25" s="22">
        <v>220</v>
      </c>
      <c r="K25" s="23">
        <v>33720</v>
      </c>
      <c r="L25" s="23">
        <v>60</v>
      </c>
      <c r="M25" s="103">
        <v>33660</v>
      </c>
      <c r="N25" s="76"/>
    </row>
    <row r="26" spans="1:14" ht="13">
      <c r="A26" s="19">
        <v>1997</v>
      </c>
      <c r="B26" s="127">
        <v>29510</v>
      </c>
      <c r="C26" s="125">
        <v>60</v>
      </c>
      <c r="D26" s="21">
        <v>0</v>
      </c>
      <c r="E26" s="21">
        <v>270</v>
      </c>
      <c r="F26" s="47">
        <v>330</v>
      </c>
      <c r="G26" s="20">
        <v>180</v>
      </c>
      <c r="H26" s="21">
        <v>0</v>
      </c>
      <c r="I26" s="21">
        <v>0</v>
      </c>
      <c r="J26" s="22">
        <v>180</v>
      </c>
      <c r="K26" s="23">
        <v>29660</v>
      </c>
      <c r="L26" s="23">
        <v>50</v>
      </c>
      <c r="M26" s="103">
        <v>29610</v>
      </c>
      <c r="N26" s="76"/>
    </row>
    <row r="27" spans="1:14" ht="13">
      <c r="A27" s="19">
        <v>1998</v>
      </c>
      <c r="B27" s="127">
        <v>30010</v>
      </c>
      <c r="C27" s="125">
        <v>60</v>
      </c>
      <c r="D27" s="21">
        <v>0</v>
      </c>
      <c r="E27" s="21">
        <v>300</v>
      </c>
      <c r="F27" s="47">
        <v>360</v>
      </c>
      <c r="G27" s="20">
        <v>170</v>
      </c>
      <c r="H27" s="21">
        <v>0</v>
      </c>
      <c r="I27" s="21">
        <v>0</v>
      </c>
      <c r="J27" s="22">
        <v>170</v>
      </c>
      <c r="K27" s="23">
        <v>30200</v>
      </c>
      <c r="L27" s="23">
        <v>60</v>
      </c>
      <c r="M27" s="23">
        <v>30140</v>
      </c>
      <c r="N27" s="76"/>
    </row>
    <row r="28" spans="1:14" ht="13">
      <c r="A28" s="19">
        <v>1999</v>
      </c>
      <c r="B28" s="127">
        <v>29980</v>
      </c>
      <c r="C28" s="125">
        <v>60</v>
      </c>
      <c r="D28" s="21">
        <v>0</v>
      </c>
      <c r="E28" s="21">
        <v>280</v>
      </c>
      <c r="F28" s="47">
        <v>340</v>
      </c>
      <c r="G28" s="20">
        <v>250</v>
      </c>
      <c r="H28" s="21">
        <v>0</v>
      </c>
      <c r="I28" s="21">
        <v>0</v>
      </c>
      <c r="J28" s="22">
        <v>250</v>
      </c>
      <c r="K28" s="23">
        <v>30070</v>
      </c>
      <c r="L28" s="23">
        <v>260</v>
      </c>
      <c r="M28" s="103">
        <v>29810</v>
      </c>
      <c r="N28" s="76"/>
    </row>
    <row r="29" spans="1:14" ht="13">
      <c r="A29" s="19">
        <v>2000</v>
      </c>
      <c r="B29" s="127">
        <v>28390</v>
      </c>
      <c r="C29" s="125">
        <v>50</v>
      </c>
      <c r="D29" s="21">
        <v>0</v>
      </c>
      <c r="E29" s="21">
        <v>290</v>
      </c>
      <c r="F29" s="47">
        <v>340</v>
      </c>
      <c r="G29" s="20">
        <v>340</v>
      </c>
      <c r="H29" s="21">
        <v>0</v>
      </c>
      <c r="I29" s="21">
        <v>0</v>
      </c>
      <c r="J29" s="22">
        <v>340</v>
      </c>
      <c r="K29" s="23">
        <v>28390</v>
      </c>
      <c r="L29" s="23">
        <v>260</v>
      </c>
      <c r="M29" s="103">
        <v>28130</v>
      </c>
      <c r="N29" s="76"/>
    </row>
    <row r="30" spans="1:14" ht="13">
      <c r="A30" s="19">
        <v>2001</v>
      </c>
      <c r="B30" s="127">
        <v>30160</v>
      </c>
      <c r="C30" s="125">
        <v>60</v>
      </c>
      <c r="D30" s="21">
        <v>0</v>
      </c>
      <c r="E30" s="21">
        <v>360</v>
      </c>
      <c r="F30" s="47">
        <v>420</v>
      </c>
      <c r="G30" s="20">
        <v>380</v>
      </c>
      <c r="H30" s="21">
        <v>0</v>
      </c>
      <c r="I30" s="21">
        <v>0</v>
      </c>
      <c r="J30" s="22">
        <v>380</v>
      </c>
      <c r="K30" s="23">
        <v>30200</v>
      </c>
      <c r="L30" s="23">
        <v>250</v>
      </c>
      <c r="M30" s="103">
        <v>29950</v>
      </c>
      <c r="N30" s="76"/>
    </row>
    <row r="31" spans="1:14" ht="13">
      <c r="A31" s="19">
        <v>2002</v>
      </c>
      <c r="B31" s="127">
        <v>29000</v>
      </c>
      <c r="C31" s="125">
        <v>60</v>
      </c>
      <c r="D31" s="21">
        <v>0</v>
      </c>
      <c r="E31" s="21">
        <v>330</v>
      </c>
      <c r="F31" s="47">
        <v>390</v>
      </c>
      <c r="G31" s="20">
        <v>300</v>
      </c>
      <c r="H31" s="21">
        <v>0</v>
      </c>
      <c r="I31" s="21">
        <v>0</v>
      </c>
      <c r="J31" s="22">
        <v>300</v>
      </c>
      <c r="K31" s="23">
        <v>29090</v>
      </c>
      <c r="L31" s="23">
        <v>350</v>
      </c>
      <c r="M31" s="103">
        <v>28740</v>
      </c>
      <c r="N31" s="76"/>
    </row>
    <row r="32" spans="1:14" ht="13">
      <c r="A32" s="19">
        <v>2003</v>
      </c>
      <c r="B32" s="127">
        <v>31220</v>
      </c>
      <c r="C32" s="125">
        <v>60</v>
      </c>
      <c r="D32" s="21">
        <v>0</v>
      </c>
      <c r="E32" s="21">
        <v>300</v>
      </c>
      <c r="F32" s="47">
        <v>360</v>
      </c>
      <c r="G32" s="20">
        <v>380</v>
      </c>
      <c r="H32" s="21">
        <v>0</v>
      </c>
      <c r="I32" s="21">
        <v>0</v>
      </c>
      <c r="J32" s="22">
        <v>380</v>
      </c>
      <c r="K32" s="23">
        <v>31200</v>
      </c>
      <c r="L32" s="23">
        <v>430</v>
      </c>
      <c r="M32" s="103">
        <v>30770</v>
      </c>
      <c r="N32" s="76"/>
    </row>
    <row r="33" spans="1:14" ht="13">
      <c r="A33" s="19">
        <v>2004</v>
      </c>
      <c r="B33" s="127">
        <v>31200</v>
      </c>
      <c r="C33" s="125">
        <v>70</v>
      </c>
      <c r="D33" s="21">
        <v>0</v>
      </c>
      <c r="E33" s="21">
        <v>280</v>
      </c>
      <c r="F33" s="47">
        <v>350</v>
      </c>
      <c r="G33" s="20">
        <v>450</v>
      </c>
      <c r="H33" s="21">
        <v>0</v>
      </c>
      <c r="I33" s="21">
        <v>0</v>
      </c>
      <c r="J33" s="22">
        <v>450</v>
      </c>
      <c r="K33" s="23">
        <v>31100</v>
      </c>
      <c r="L33" s="23">
        <v>490</v>
      </c>
      <c r="M33" s="103">
        <v>30610</v>
      </c>
      <c r="N33" s="76"/>
    </row>
    <row r="34" spans="1:14" ht="13">
      <c r="A34" s="19">
        <v>2005</v>
      </c>
      <c r="B34" s="127">
        <v>32490</v>
      </c>
      <c r="C34" s="125">
        <v>70</v>
      </c>
      <c r="D34" s="21">
        <v>0</v>
      </c>
      <c r="E34" s="21">
        <v>310</v>
      </c>
      <c r="F34" s="47">
        <v>380</v>
      </c>
      <c r="G34" s="20">
        <v>410</v>
      </c>
      <c r="H34" s="21">
        <v>0</v>
      </c>
      <c r="I34" s="21">
        <v>0</v>
      </c>
      <c r="J34" s="22">
        <v>410</v>
      </c>
      <c r="K34" s="23">
        <v>32460</v>
      </c>
      <c r="L34" s="23">
        <v>540</v>
      </c>
      <c r="M34" s="103">
        <v>31920</v>
      </c>
      <c r="N34" s="76"/>
    </row>
    <row r="35" spans="1:14" ht="13">
      <c r="A35" s="19">
        <v>2006</v>
      </c>
      <c r="B35" s="127">
        <v>33220</v>
      </c>
      <c r="C35" s="125">
        <v>80</v>
      </c>
      <c r="D35" s="21">
        <v>0</v>
      </c>
      <c r="E35" s="21">
        <v>300</v>
      </c>
      <c r="F35" s="47">
        <v>380</v>
      </c>
      <c r="G35" s="20">
        <v>380</v>
      </c>
      <c r="H35" s="21">
        <v>0</v>
      </c>
      <c r="I35" s="21">
        <v>0</v>
      </c>
      <c r="J35" s="22">
        <v>380</v>
      </c>
      <c r="K35" s="23">
        <v>33220</v>
      </c>
      <c r="L35" s="23">
        <v>590</v>
      </c>
      <c r="M35" s="103">
        <v>32630</v>
      </c>
      <c r="N35" s="76"/>
    </row>
    <row r="36" spans="1:14" ht="13">
      <c r="A36" s="19">
        <v>2007</v>
      </c>
      <c r="B36" s="127">
        <v>32160</v>
      </c>
      <c r="C36" s="125">
        <v>100</v>
      </c>
      <c r="D36" s="21">
        <v>400</v>
      </c>
      <c r="E36" s="21">
        <v>320</v>
      </c>
      <c r="F36" s="47">
        <v>820</v>
      </c>
      <c r="G36" s="20">
        <v>250</v>
      </c>
      <c r="H36" s="21">
        <v>50</v>
      </c>
      <c r="I36" s="21">
        <v>10</v>
      </c>
      <c r="J36" s="22">
        <v>310</v>
      </c>
      <c r="K36" s="23">
        <v>32670</v>
      </c>
      <c r="L36" s="23">
        <v>920</v>
      </c>
      <c r="M36" s="103">
        <v>31750</v>
      </c>
      <c r="N36" s="76"/>
    </row>
    <row r="37" spans="1:14" ht="13">
      <c r="A37" s="19">
        <v>2008</v>
      </c>
      <c r="B37" s="127">
        <v>37030</v>
      </c>
      <c r="C37" s="125">
        <v>130</v>
      </c>
      <c r="D37" s="21">
        <v>310</v>
      </c>
      <c r="E37" s="21">
        <v>350</v>
      </c>
      <c r="F37" s="47">
        <v>790</v>
      </c>
      <c r="G37" s="20">
        <v>270</v>
      </c>
      <c r="H37" s="21">
        <v>90</v>
      </c>
      <c r="I37" s="21">
        <v>0</v>
      </c>
      <c r="J37" s="22">
        <v>360</v>
      </c>
      <c r="K37" s="23">
        <v>37460</v>
      </c>
      <c r="L37" s="23">
        <v>1510</v>
      </c>
      <c r="M37" s="103">
        <v>35950</v>
      </c>
      <c r="N37" s="76"/>
    </row>
    <row r="38" spans="1:14" ht="13">
      <c r="A38" s="19">
        <v>2009</v>
      </c>
      <c r="B38" s="127">
        <v>38750</v>
      </c>
      <c r="C38" s="125">
        <v>170</v>
      </c>
      <c r="D38" s="21">
        <v>580</v>
      </c>
      <c r="E38" s="21">
        <v>340</v>
      </c>
      <c r="F38" s="47">
        <v>1090</v>
      </c>
      <c r="G38" s="20">
        <v>280</v>
      </c>
      <c r="H38" s="21">
        <v>320</v>
      </c>
      <c r="I38" s="21">
        <v>0</v>
      </c>
      <c r="J38" s="22">
        <v>600</v>
      </c>
      <c r="K38" s="23">
        <v>39240</v>
      </c>
      <c r="L38" s="23">
        <v>2030</v>
      </c>
      <c r="M38" s="103">
        <v>37210</v>
      </c>
      <c r="N38" s="76"/>
    </row>
    <row r="39" spans="1:14" ht="13">
      <c r="A39" s="19">
        <v>2010</v>
      </c>
      <c r="B39" s="127">
        <v>42140</v>
      </c>
      <c r="C39" s="125">
        <v>190</v>
      </c>
      <c r="D39" s="21">
        <v>660</v>
      </c>
      <c r="E39" s="21">
        <v>340</v>
      </c>
      <c r="F39" s="47">
        <v>1190</v>
      </c>
      <c r="G39" s="20">
        <v>280</v>
      </c>
      <c r="H39" s="21">
        <v>320</v>
      </c>
      <c r="I39" s="21">
        <v>0</v>
      </c>
      <c r="J39" s="22">
        <v>600</v>
      </c>
      <c r="K39" s="23">
        <v>42730</v>
      </c>
      <c r="L39" s="23">
        <v>1740</v>
      </c>
      <c r="M39" s="103">
        <v>40990</v>
      </c>
      <c r="N39" s="76"/>
    </row>
    <row r="40" spans="1:14" ht="13">
      <c r="A40" s="19">
        <v>2011</v>
      </c>
      <c r="B40" s="127">
        <v>37180</v>
      </c>
      <c r="C40" s="125">
        <v>210</v>
      </c>
      <c r="D40" s="21">
        <v>700</v>
      </c>
      <c r="E40" s="21">
        <v>340</v>
      </c>
      <c r="F40" s="47">
        <v>1250</v>
      </c>
      <c r="G40" s="20">
        <v>210</v>
      </c>
      <c r="H40" s="21">
        <v>90</v>
      </c>
      <c r="I40" s="21">
        <v>0</v>
      </c>
      <c r="J40" s="22">
        <v>300</v>
      </c>
      <c r="K40" s="23">
        <v>38130</v>
      </c>
      <c r="L40" s="23">
        <v>2460</v>
      </c>
      <c r="M40" s="103">
        <v>35670</v>
      </c>
      <c r="N40" s="76"/>
    </row>
    <row r="41" spans="1:14" ht="13">
      <c r="A41" s="19">
        <v>2012</v>
      </c>
      <c r="B41" s="127">
        <v>42040</v>
      </c>
      <c r="C41" s="125">
        <v>230</v>
      </c>
      <c r="D41" s="21">
        <v>610</v>
      </c>
      <c r="E41" s="21">
        <v>340</v>
      </c>
      <c r="F41" s="47">
        <v>1180</v>
      </c>
      <c r="G41" s="20">
        <v>180</v>
      </c>
      <c r="H41" s="21">
        <v>120</v>
      </c>
      <c r="I41" s="21">
        <v>0</v>
      </c>
      <c r="J41" s="22">
        <v>300</v>
      </c>
      <c r="K41" s="23">
        <v>42920</v>
      </c>
      <c r="L41" s="23">
        <v>3450</v>
      </c>
      <c r="M41" s="103">
        <v>39470</v>
      </c>
      <c r="N41" s="76"/>
    </row>
    <row r="42" spans="1:14" ht="13">
      <c r="A42" s="19">
        <v>2013</v>
      </c>
      <c r="B42" s="127">
        <v>45400</v>
      </c>
      <c r="C42" s="125">
        <v>240</v>
      </c>
      <c r="D42" s="21">
        <v>1500</v>
      </c>
      <c r="E42" s="21">
        <v>340</v>
      </c>
      <c r="F42" s="47">
        <v>2080</v>
      </c>
      <c r="G42" s="20">
        <v>120</v>
      </c>
      <c r="H42" s="21">
        <v>50</v>
      </c>
      <c r="I42" s="21">
        <v>0</v>
      </c>
      <c r="J42" s="22">
        <v>170</v>
      </c>
      <c r="K42" s="23">
        <v>47310</v>
      </c>
      <c r="L42" s="23">
        <v>3810</v>
      </c>
      <c r="M42" s="103">
        <v>43500</v>
      </c>
      <c r="N42" s="76"/>
    </row>
    <row r="43" spans="1:14" ht="13">
      <c r="A43" s="19">
        <v>2014</v>
      </c>
      <c r="B43" s="127">
        <v>39110</v>
      </c>
      <c r="C43" s="125">
        <v>240</v>
      </c>
      <c r="D43" s="21">
        <v>1040</v>
      </c>
      <c r="E43" s="21">
        <v>350</v>
      </c>
      <c r="F43" s="47">
        <v>1630</v>
      </c>
      <c r="G43" s="20">
        <v>100</v>
      </c>
      <c r="H43" s="21">
        <v>50</v>
      </c>
      <c r="I43" s="21">
        <v>0</v>
      </c>
      <c r="J43" s="22">
        <v>150</v>
      </c>
      <c r="K43" s="23">
        <v>40590</v>
      </c>
      <c r="L43" s="23">
        <v>3850</v>
      </c>
      <c r="M43" s="103">
        <v>36740</v>
      </c>
      <c r="N43" s="76"/>
    </row>
    <row r="44" spans="1:14" ht="13">
      <c r="A44" s="19">
        <v>2015</v>
      </c>
      <c r="B44" s="127">
        <v>40260</v>
      </c>
      <c r="C44" s="125">
        <v>250</v>
      </c>
      <c r="D44" s="21">
        <v>1500</v>
      </c>
      <c r="E44" s="21">
        <v>350</v>
      </c>
      <c r="F44" s="47">
        <v>2100</v>
      </c>
      <c r="G44" s="20">
        <v>100</v>
      </c>
      <c r="H44" s="21">
        <v>10</v>
      </c>
      <c r="I44" s="21">
        <v>0</v>
      </c>
      <c r="J44" s="22">
        <v>110</v>
      </c>
      <c r="K44" s="23">
        <v>42250</v>
      </c>
      <c r="L44" s="23">
        <v>3080</v>
      </c>
      <c r="M44" s="103">
        <v>39170</v>
      </c>
      <c r="N44" s="76"/>
    </row>
    <row r="45" spans="1:14" ht="13">
      <c r="A45" s="19">
        <v>2016</v>
      </c>
      <c r="B45" s="127">
        <v>44090</v>
      </c>
      <c r="C45" s="125">
        <v>220</v>
      </c>
      <c r="D45" s="21">
        <v>1170</v>
      </c>
      <c r="E45" s="21">
        <v>330</v>
      </c>
      <c r="F45" s="47">
        <v>1720</v>
      </c>
      <c r="G45" s="20">
        <v>100</v>
      </c>
      <c r="H45" s="21">
        <v>0</v>
      </c>
      <c r="I45" s="21">
        <v>0</v>
      </c>
      <c r="J45" s="22">
        <v>100</v>
      </c>
      <c r="K45" s="23">
        <v>45710</v>
      </c>
      <c r="L45" s="23">
        <v>3370</v>
      </c>
      <c r="M45" s="103">
        <v>42340</v>
      </c>
      <c r="N45" s="76"/>
    </row>
    <row r="46" spans="1:14" ht="13">
      <c r="A46" s="19">
        <v>2017</v>
      </c>
      <c r="B46" s="127">
        <v>44620</v>
      </c>
      <c r="C46" s="125">
        <v>260</v>
      </c>
      <c r="D46" s="21">
        <v>1560</v>
      </c>
      <c r="E46" s="21">
        <v>370</v>
      </c>
      <c r="F46" s="47">
        <v>2190</v>
      </c>
      <c r="G46" s="20">
        <v>90</v>
      </c>
      <c r="H46" s="21">
        <v>0</v>
      </c>
      <c r="I46" s="21">
        <v>0</v>
      </c>
      <c r="J46" s="22">
        <v>90</v>
      </c>
      <c r="K46" s="23">
        <v>46720</v>
      </c>
      <c r="L46" s="23">
        <v>3980</v>
      </c>
      <c r="M46" s="103">
        <v>42740</v>
      </c>
      <c r="N46" s="76"/>
    </row>
    <row r="47" spans="1:14" ht="13">
      <c r="A47" s="19">
        <v>2018</v>
      </c>
      <c r="B47" s="127">
        <v>42140</v>
      </c>
      <c r="C47" s="125">
        <v>250</v>
      </c>
      <c r="D47" s="21">
        <v>1520</v>
      </c>
      <c r="E47" s="21">
        <v>350</v>
      </c>
      <c r="F47" s="47">
        <v>2120</v>
      </c>
      <c r="G47" s="20">
        <v>100</v>
      </c>
      <c r="H47" s="21">
        <v>0</v>
      </c>
      <c r="I47" s="21">
        <v>0</v>
      </c>
      <c r="J47" s="22">
        <v>100</v>
      </c>
      <c r="K47" s="23">
        <v>44160</v>
      </c>
      <c r="L47" s="23">
        <v>3710</v>
      </c>
      <c r="M47" s="103">
        <v>40450</v>
      </c>
      <c r="N47" s="76"/>
    </row>
    <row r="48" spans="1:14">
      <c r="A48" s="19">
        <v>2019</v>
      </c>
      <c r="B48" s="127">
        <v>44390</v>
      </c>
      <c r="C48" s="125">
        <v>200</v>
      </c>
      <c r="D48" s="21">
        <v>1270</v>
      </c>
      <c r="E48" s="21">
        <v>320</v>
      </c>
      <c r="F48" s="47">
        <v>1790</v>
      </c>
      <c r="G48" s="20">
        <v>110</v>
      </c>
      <c r="H48" s="21">
        <v>0</v>
      </c>
      <c r="I48" s="21">
        <v>0</v>
      </c>
      <c r="J48" s="22">
        <v>110</v>
      </c>
      <c r="K48" s="23">
        <v>46070</v>
      </c>
      <c r="L48" s="23">
        <v>4960</v>
      </c>
      <c r="M48" s="103">
        <v>41110</v>
      </c>
    </row>
    <row r="49" spans="1:14">
      <c r="A49" s="19">
        <v>2020</v>
      </c>
      <c r="B49" s="127">
        <v>43650</v>
      </c>
      <c r="C49" s="125">
        <v>220</v>
      </c>
      <c r="D49" s="21">
        <v>1310</v>
      </c>
      <c r="E49" s="21">
        <v>400</v>
      </c>
      <c r="F49" s="47">
        <v>1930</v>
      </c>
      <c r="G49" s="20">
        <v>90</v>
      </c>
      <c r="H49" s="21">
        <v>0</v>
      </c>
      <c r="I49" s="21">
        <v>0</v>
      </c>
      <c r="J49" s="22">
        <v>90</v>
      </c>
      <c r="K49" s="23">
        <v>45490</v>
      </c>
      <c r="L49" s="23">
        <v>5780</v>
      </c>
      <c r="M49" s="103">
        <v>39710</v>
      </c>
    </row>
    <row r="50" spans="1:14">
      <c r="A50" s="19">
        <v>2021</v>
      </c>
      <c r="B50" s="127">
        <v>51390</v>
      </c>
      <c r="C50" s="125">
        <v>240</v>
      </c>
      <c r="D50" s="21">
        <v>1280</v>
      </c>
      <c r="E50" s="21">
        <v>360</v>
      </c>
      <c r="F50" s="47">
        <v>1880</v>
      </c>
      <c r="G50" s="20">
        <v>90</v>
      </c>
      <c r="H50" s="21">
        <v>0</v>
      </c>
      <c r="I50" s="21">
        <v>0</v>
      </c>
      <c r="J50" s="22">
        <v>90</v>
      </c>
      <c r="K50" s="23">
        <v>53180</v>
      </c>
      <c r="L50" s="23">
        <v>7140</v>
      </c>
      <c r="M50" s="103">
        <v>46040</v>
      </c>
    </row>
    <row r="51" spans="1:14">
      <c r="A51" s="19">
        <v>2022</v>
      </c>
      <c r="B51" s="127">
        <v>45940</v>
      </c>
      <c r="C51" s="125">
        <v>300</v>
      </c>
      <c r="D51" s="21">
        <v>1730</v>
      </c>
      <c r="E51" s="21">
        <v>360</v>
      </c>
      <c r="F51" s="47">
        <v>2390</v>
      </c>
      <c r="G51" s="20">
        <v>90</v>
      </c>
      <c r="H51" s="21">
        <v>10</v>
      </c>
      <c r="I51" s="21">
        <v>10</v>
      </c>
      <c r="J51" s="22">
        <v>110</v>
      </c>
      <c r="K51" s="23">
        <v>48220</v>
      </c>
      <c r="L51" s="23">
        <v>7460</v>
      </c>
      <c r="M51" s="103">
        <v>40760</v>
      </c>
    </row>
    <row r="52" spans="1:14">
      <c r="A52" s="19">
        <v>2023</v>
      </c>
      <c r="B52" s="127">
        <v>48520</v>
      </c>
      <c r="C52" s="125">
        <v>410</v>
      </c>
      <c r="D52" s="21">
        <v>1210</v>
      </c>
      <c r="E52" s="21">
        <v>300</v>
      </c>
      <c r="F52" s="47">
        <v>1920</v>
      </c>
      <c r="G52" s="20">
        <v>70</v>
      </c>
      <c r="H52" s="21">
        <v>0</v>
      </c>
      <c r="I52" s="21">
        <v>70</v>
      </c>
      <c r="J52" s="22">
        <v>140</v>
      </c>
      <c r="K52" s="23">
        <v>50300</v>
      </c>
      <c r="L52" s="23">
        <v>8050</v>
      </c>
      <c r="M52" s="103">
        <v>42250</v>
      </c>
    </row>
    <row r="53" spans="1:14" ht="13">
      <c r="A53" s="48">
        <v>2024</v>
      </c>
      <c r="B53" s="135">
        <v>48860</v>
      </c>
      <c r="C53" s="69">
        <v>320</v>
      </c>
      <c r="D53" s="50">
        <v>1810</v>
      </c>
      <c r="E53" s="50">
        <v>270</v>
      </c>
      <c r="F53" s="51">
        <v>2400</v>
      </c>
      <c r="G53" s="49">
        <v>40</v>
      </c>
      <c r="H53" s="50">
        <v>0</v>
      </c>
      <c r="I53" s="50">
        <v>40</v>
      </c>
      <c r="J53" s="86">
        <v>80</v>
      </c>
      <c r="K53" s="71">
        <v>51180</v>
      </c>
      <c r="L53" s="71">
        <v>9260</v>
      </c>
      <c r="M53" s="105">
        <v>41920</v>
      </c>
    </row>
    <row r="54" spans="1:14" ht="13">
      <c r="A54" s="31"/>
      <c r="B54" s="32"/>
      <c r="C54" s="32"/>
      <c r="D54" s="32"/>
      <c r="E54" s="32"/>
      <c r="F54" s="32"/>
      <c r="G54" s="32"/>
      <c r="H54" s="32"/>
      <c r="I54" s="32"/>
      <c r="J54" s="32"/>
      <c r="K54" s="32"/>
      <c r="L54" s="32"/>
      <c r="M54" s="32"/>
    </row>
    <row r="55" spans="1:14" s="34" customFormat="1">
      <c r="A55" s="93" t="s">
        <v>491</v>
      </c>
      <c r="B55" s="4"/>
      <c r="C55" s="4"/>
      <c r="D55" s="4"/>
      <c r="E55" s="4"/>
      <c r="F55" s="4"/>
      <c r="G55" s="4"/>
      <c r="H55" s="93" t="s">
        <v>70</v>
      </c>
      <c r="I55" s="4"/>
      <c r="J55" s="4"/>
      <c r="K55" s="4"/>
      <c r="L55" s="4"/>
      <c r="M55" s="4"/>
      <c r="N55" s="4"/>
    </row>
    <row r="56" spans="1:14" s="34" customFormat="1">
      <c r="A56" s="93" t="s">
        <v>492</v>
      </c>
      <c r="B56" s="4"/>
      <c r="C56" s="4"/>
      <c r="D56" s="4"/>
      <c r="E56" s="4"/>
      <c r="F56" s="4"/>
      <c r="G56" s="4"/>
      <c r="H56" s="93" t="s">
        <v>493</v>
      </c>
      <c r="I56" s="4"/>
      <c r="J56" s="4"/>
      <c r="K56" s="4"/>
      <c r="L56" s="4"/>
      <c r="M56" s="4"/>
      <c r="N56" s="4"/>
    </row>
    <row r="57" spans="1:14" s="34" customFormat="1">
      <c r="A57" s="93" t="s">
        <v>494</v>
      </c>
      <c r="B57" s="4"/>
      <c r="C57" s="4"/>
      <c r="D57" s="4"/>
      <c r="E57" s="4"/>
      <c r="F57" s="4"/>
      <c r="G57" s="4"/>
      <c r="H57" s="93" t="s">
        <v>495</v>
      </c>
      <c r="I57" s="4"/>
      <c r="J57" s="4"/>
      <c r="K57" s="4"/>
      <c r="L57" s="4"/>
      <c r="M57" s="4"/>
      <c r="N57" s="4"/>
    </row>
    <row r="58" spans="1:14" s="34" customFormat="1">
      <c r="A58" s="93" t="s">
        <v>496</v>
      </c>
      <c r="B58" s="4"/>
      <c r="C58" s="4"/>
      <c r="D58" s="4"/>
      <c r="E58" s="4"/>
      <c r="F58" s="4"/>
      <c r="G58" s="4"/>
      <c r="H58" s="93" t="s">
        <v>218</v>
      </c>
      <c r="I58" s="4"/>
      <c r="J58" s="4"/>
      <c r="K58" s="4"/>
      <c r="L58" s="4"/>
      <c r="M58" s="4"/>
      <c r="N58" s="4"/>
    </row>
    <row r="59" spans="1:14" s="34" customFormat="1">
      <c r="A59" s="93" t="s">
        <v>497</v>
      </c>
      <c r="B59" s="4"/>
      <c r="C59" s="4"/>
      <c r="D59" s="4"/>
      <c r="E59" s="4"/>
      <c r="F59" s="4"/>
      <c r="G59" s="4"/>
      <c r="H59" s="93" t="s">
        <v>498</v>
      </c>
      <c r="I59" s="4"/>
      <c r="J59" s="4"/>
      <c r="K59" s="4"/>
      <c r="L59" s="4"/>
      <c r="M59" s="4"/>
      <c r="N59" s="4"/>
    </row>
    <row r="60" spans="1:14" s="34" customFormat="1">
      <c r="A60" s="35"/>
      <c r="B60" s="4"/>
      <c r="C60" s="4"/>
      <c r="D60" s="4"/>
      <c r="E60" s="4"/>
      <c r="F60" s="4"/>
      <c r="G60" s="4"/>
      <c r="H60" s="35"/>
      <c r="I60" s="4"/>
      <c r="J60" s="4"/>
      <c r="K60" s="4"/>
      <c r="L60" s="4"/>
      <c r="M60" s="4"/>
      <c r="N60" s="4"/>
    </row>
    <row r="61" spans="1:14" s="34" customFormat="1" ht="25.5" customHeight="1">
      <c r="A61" s="262" t="s">
        <v>499</v>
      </c>
      <c r="B61" s="262"/>
      <c r="C61" s="262"/>
      <c r="D61" s="262"/>
      <c r="E61" s="262"/>
      <c r="F61" s="262"/>
      <c r="G61" s="4"/>
      <c r="H61" s="262" t="s">
        <v>500</v>
      </c>
      <c r="I61" s="262"/>
      <c r="J61" s="262"/>
      <c r="K61" s="262"/>
      <c r="L61" s="262"/>
      <c r="M61" s="262"/>
      <c r="N61" s="4"/>
    </row>
    <row r="62" spans="1:14" s="34" customFormat="1">
      <c r="A62" s="4"/>
      <c r="B62" s="4"/>
      <c r="C62" s="4"/>
      <c r="D62" s="4"/>
      <c r="E62" s="4"/>
      <c r="F62" s="4"/>
      <c r="G62" s="4"/>
      <c r="H62" s="4"/>
      <c r="I62" s="4"/>
      <c r="J62" s="4"/>
      <c r="K62" s="4"/>
      <c r="L62" s="4"/>
      <c r="M62" s="4"/>
      <c r="N62" s="4"/>
    </row>
    <row r="63" spans="1:14" s="34" customFormat="1">
      <c r="A63" s="4"/>
      <c r="B63" s="4"/>
      <c r="C63" s="4"/>
      <c r="D63" s="4"/>
      <c r="E63" s="4"/>
      <c r="F63" s="4"/>
      <c r="G63" s="4"/>
      <c r="H63" s="4"/>
      <c r="I63" s="4"/>
      <c r="J63" s="4"/>
      <c r="K63" s="4"/>
      <c r="L63" s="4"/>
      <c r="M63" s="4"/>
      <c r="N63" s="4"/>
    </row>
    <row r="65" spans="1:1">
      <c r="A65" s="35" t="s">
        <v>75</v>
      </c>
    </row>
    <row r="66" spans="1:1">
      <c r="A66" s="35" t="s">
        <v>76</v>
      </c>
    </row>
    <row r="67" spans="1:1">
      <c r="A67" s="35" t="s">
        <v>77</v>
      </c>
    </row>
  </sheetData>
  <mergeCells count="16">
    <mergeCell ref="A61:F61"/>
    <mergeCell ref="H61:M61"/>
    <mergeCell ref="M4:M5"/>
    <mergeCell ref="A6:A7"/>
    <mergeCell ref="B6:B7"/>
    <mergeCell ref="C6:F6"/>
    <mergeCell ref="G6:J6"/>
    <mergeCell ref="K6:K7"/>
    <mergeCell ref="L6:L7"/>
    <mergeCell ref="M6:M7"/>
    <mergeCell ref="A4:A5"/>
    <mergeCell ref="B4:B5"/>
    <mergeCell ref="C4:F4"/>
    <mergeCell ref="G4:J4"/>
    <mergeCell ref="K4:K5"/>
    <mergeCell ref="L4:L5"/>
  </mergeCells>
  <conditionalFormatting sqref="B8:M53">
    <cfRule type="expression" dxfId="4" priority="1">
      <formula>#REF!&lt;&gt;0</formula>
    </cfRule>
  </conditionalFormatting>
  <conditionalFormatting sqref="B54:M54">
    <cfRule type="expression" dxfId="3" priority="2">
      <formula>AW54&lt;&gt;0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E6E42-DAA6-479A-90F5-3054B6B7BB64}">
  <sheetPr codeName="Tabelle38"/>
  <dimension ref="A1:K51"/>
  <sheetViews>
    <sheetView workbookViewId="0">
      <selection activeCell="E21" sqref="E21"/>
    </sheetView>
  </sheetViews>
  <sheetFormatPr defaultColWidth="11.54296875" defaultRowHeight="12.5"/>
  <cols>
    <col min="1" max="1" width="8.7265625" style="4" customWidth="1"/>
    <col min="2" max="16384" width="11.54296875" style="4"/>
  </cols>
  <sheetData>
    <row r="1" spans="1:10" ht="13">
      <c r="A1" s="3" t="s">
        <v>501</v>
      </c>
      <c r="J1" s="5" t="s">
        <v>502</v>
      </c>
    </row>
    <row r="2" spans="1:10" ht="13">
      <c r="A2" s="3" t="s">
        <v>503</v>
      </c>
      <c r="J2" s="5" t="s">
        <v>504</v>
      </c>
    </row>
    <row r="4" spans="1:10" ht="25.5" customHeight="1">
      <c r="A4" s="54" t="s">
        <v>55</v>
      </c>
      <c r="B4" s="289" t="s">
        <v>505</v>
      </c>
      <c r="C4" s="296"/>
      <c r="D4" s="289" t="s">
        <v>506</v>
      </c>
      <c r="E4" s="295"/>
      <c r="F4" s="289" t="s">
        <v>507</v>
      </c>
      <c r="G4" s="296"/>
      <c r="H4" s="289" t="s">
        <v>508</v>
      </c>
      <c r="I4" s="296"/>
      <c r="J4" s="88" t="s">
        <v>509</v>
      </c>
    </row>
    <row r="5" spans="1:10" ht="25.5" customHeight="1">
      <c r="A5" s="263" t="s">
        <v>62</v>
      </c>
      <c r="B5" s="285" t="s">
        <v>510</v>
      </c>
      <c r="C5" s="299"/>
      <c r="D5" s="285" t="s">
        <v>511</v>
      </c>
      <c r="E5" s="298"/>
      <c r="F5" s="285" t="s">
        <v>512</v>
      </c>
      <c r="G5" s="299"/>
      <c r="H5" s="285" t="s">
        <v>513</v>
      </c>
      <c r="I5" s="299"/>
      <c r="J5" s="152" t="s">
        <v>509</v>
      </c>
    </row>
    <row r="6" spans="1:10">
      <c r="A6" s="264"/>
      <c r="B6" s="153" t="s">
        <v>100</v>
      </c>
      <c r="C6" s="154" t="s">
        <v>138</v>
      </c>
      <c r="D6" s="153" t="s">
        <v>100</v>
      </c>
      <c r="E6" s="155" t="s">
        <v>138</v>
      </c>
      <c r="F6" s="153" t="s">
        <v>100</v>
      </c>
      <c r="G6" s="154" t="s">
        <v>138</v>
      </c>
      <c r="H6" s="153" t="s">
        <v>100</v>
      </c>
      <c r="I6" s="154" t="s">
        <v>138</v>
      </c>
      <c r="J6" s="156" t="s">
        <v>100</v>
      </c>
    </row>
    <row r="7" spans="1:10">
      <c r="A7" s="157">
        <v>1990</v>
      </c>
      <c r="B7" s="144">
        <v>11380</v>
      </c>
      <c r="C7" s="124">
        <v>40.1</v>
      </c>
      <c r="D7" s="125">
        <v>12150</v>
      </c>
      <c r="E7" s="124">
        <v>42.8</v>
      </c>
      <c r="F7" s="125">
        <v>3710</v>
      </c>
      <c r="G7" s="124">
        <v>13.1</v>
      </c>
      <c r="H7" s="125">
        <v>1140</v>
      </c>
      <c r="I7" s="124">
        <v>4</v>
      </c>
      <c r="J7" s="103">
        <v>28380</v>
      </c>
    </row>
    <row r="8" spans="1:10">
      <c r="A8" s="157">
        <v>1991</v>
      </c>
      <c r="B8" s="125">
        <v>12270</v>
      </c>
      <c r="C8" s="124">
        <v>39.200000000000003</v>
      </c>
      <c r="D8" s="125">
        <v>13370</v>
      </c>
      <c r="E8" s="158">
        <v>42.7</v>
      </c>
      <c r="F8" s="125">
        <v>4540</v>
      </c>
      <c r="G8" s="124">
        <v>14.5</v>
      </c>
      <c r="H8" s="125">
        <v>1120</v>
      </c>
      <c r="I8" s="124">
        <v>3.6</v>
      </c>
      <c r="J8" s="103">
        <v>31300</v>
      </c>
    </row>
    <row r="9" spans="1:10">
      <c r="A9" s="157">
        <v>1992</v>
      </c>
      <c r="B9" s="125">
        <v>11440</v>
      </c>
      <c r="C9" s="124">
        <v>37.700000000000003</v>
      </c>
      <c r="D9" s="125">
        <v>12730</v>
      </c>
      <c r="E9" s="158">
        <v>42</v>
      </c>
      <c r="F9" s="125">
        <v>4810</v>
      </c>
      <c r="G9" s="124">
        <v>15.9</v>
      </c>
      <c r="H9" s="125">
        <v>1360</v>
      </c>
      <c r="I9" s="124">
        <v>4.4000000000000004</v>
      </c>
      <c r="J9" s="103">
        <v>30340</v>
      </c>
    </row>
    <row r="10" spans="1:10">
      <c r="A10" s="157">
        <v>1993</v>
      </c>
      <c r="B10" s="125">
        <v>11130</v>
      </c>
      <c r="C10" s="124">
        <v>36.6</v>
      </c>
      <c r="D10" s="125">
        <v>12620</v>
      </c>
      <c r="E10" s="158">
        <v>41.5</v>
      </c>
      <c r="F10" s="125">
        <v>5150</v>
      </c>
      <c r="G10" s="124">
        <v>16.899999999999999</v>
      </c>
      <c r="H10" s="125">
        <v>1530</v>
      </c>
      <c r="I10" s="124">
        <v>5</v>
      </c>
      <c r="J10" s="103">
        <v>30430</v>
      </c>
    </row>
    <row r="11" spans="1:10">
      <c r="A11" s="157">
        <v>1994</v>
      </c>
      <c r="B11" s="125">
        <v>9970</v>
      </c>
      <c r="C11" s="124">
        <v>35.1</v>
      </c>
      <c r="D11" s="125">
        <v>11470</v>
      </c>
      <c r="E11" s="158">
        <v>40.4</v>
      </c>
      <c r="F11" s="125">
        <v>5310</v>
      </c>
      <c r="G11" s="124">
        <v>18.7</v>
      </c>
      <c r="H11" s="125">
        <v>1670</v>
      </c>
      <c r="I11" s="124">
        <v>5.8</v>
      </c>
      <c r="J11" s="103">
        <v>28420</v>
      </c>
    </row>
    <row r="12" spans="1:10" collapsed="1">
      <c r="A12" s="157">
        <v>1995</v>
      </c>
      <c r="B12" s="125">
        <v>10280</v>
      </c>
      <c r="C12" s="124">
        <v>33.9</v>
      </c>
      <c r="D12" s="125">
        <v>11950</v>
      </c>
      <c r="E12" s="158">
        <v>39.4</v>
      </c>
      <c r="F12" s="125">
        <v>6360</v>
      </c>
      <c r="G12" s="124">
        <v>21</v>
      </c>
      <c r="H12" s="125">
        <v>1760</v>
      </c>
      <c r="I12" s="124">
        <v>5.7</v>
      </c>
      <c r="J12" s="103">
        <v>30350</v>
      </c>
    </row>
    <row r="13" spans="1:10">
      <c r="A13" s="157">
        <v>1996</v>
      </c>
      <c r="B13" s="125">
        <v>10940</v>
      </c>
      <c r="C13" s="124">
        <v>32.700000000000003</v>
      </c>
      <c r="D13" s="125">
        <v>12700</v>
      </c>
      <c r="E13" s="158">
        <v>38</v>
      </c>
      <c r="F13" s="125">
        <v>7390</v>
      </c>
      <c r="G13" s="124">
        <v>22.1</v>
      </c>
      <c r="H13" s="125">
        <v>2400</v>
      </c>
      <c r="I13" s="124">
        <v>7.2</v>
      </c>
      <c r="J13" s="103">
        <v>33430</v>
      </c>
    </row>
    <row r="14" spans="1:10">
      <c r="A14" s="157">
        <v>1997</v>
      </c>
      <c r="B14" s="125">
        <v>9440</v>
      </c>
      <c r="C14" s="124">
        <v>32.1</v>
      </c>
      <c r="D14" s="125">
        <v>11080</v>
      </c>
      <c r="E14" s="158">
        <v>37.700000000000003</v>
      </c>
      <c r="F14" s="125">
        <v>7140</v>
      </c>
      <c r="G14" s="124">
        <v>24.3</v>
      </c>
      <c r="H14" s="125">
        <v>1730</v>
      </c>
      <c r="I14" s="124">
        <v>5.9</v>
      </c>
      <c r="J14" s="103">
        <v>29390</v>
      </c>
    </row>
    <row r="15" spans="1:10">
      <c r="A15" s="157">
        <v>1998</v>
      </c>
      <c r="B15" s="125">
        <v>9480</v>
      </c>
      <c r="C15" s="124">
        <v>31.7</v>
      </c>
      <c r="D15" s="125">
        <v>11130</v>
      </c>
      <c r="E15" s="158">
        <v>37.200000000000003</v>
      </c>
      <c r="F15" s="125">
        <v>7710</v>
      </c>
      <c r="G15" s="124">
        <v>25.8</v>
      </c>
      <c r="H15" s="125">
        <v>1580</v>
      </c>
      <c r="I15" s="124">
        <v>5.3</v>
      </c>
      <c r="J15" s="103">
        <v>29900</v>
      </c>
    </row>
    <row r="16" spans="1:10">
      <c r="A16" s="157">
        <v>1999</v>
      </c>
      <c r="B16" s="125">
        <v>9250</v>
      </c>
      <c r="C16" s="124">
        <v>31.1</v>
      </c>
      <c r="D16" s="125">
        <v>10870</v>
      </c>
      <c r="E16" s="158">
        <v>36.5</v>
      </c>
      <c r="F16" s="125">
        <v>8170</v>
      </c>
      <c r="G16" s="124">
        <v>27.4</v>
      </c>
      <c r="H16" s="125">
        <v>1500</v>
      </c>
      <c r="I16" s="124">
        <v>5</v>
      </c>
      <c r="J16" s="103">
        <v>29790</v>
      </c>
    </row>
    <row r="17" spans="1:10">
      <c r="A17" s="157">
        <v>2000</v>
      </c>
      <c r="B17" s="125">
        <v>8300</v>
      </c>
      <c r="C17" s="124">
        <v>29.5</v>
      </c>
      <c r="D17" s="125">
        <v>9820</v>
      </c>
      <c r="E17" s="158">
        <v>34.9</v>
      </c>
      <c r="F17" s="125">
        <v>7970</v>
      </c>
      <c r="G17" s="124">
        <v>28.4</v>
      </c>
      <c r="H17" s="125">
        <v>2010</v>
      </c>
      <c r="I17" s="124">
        <v>7.2</v>
      </c>
      <c r="J17" s="103">
        <v>28100</v>
      </c>
    </row>
    <row r="18" spans="1:10">
      <c r="A18" s="157">
        <v>2001</v>
      </c>
      <c r="B18" s="125">
        <v>8580</v>
      </c>
      <c r="C18" s="124">
        <v>28.8</v>
      </c>
      <c r="D18" s="125">
        <v>10270</v>
      </c>
      <c r="E18" s="158">
        <v>34.4</v>
      </c>
      <c r="F18" s="125">
        <v>8840</v>
      </c>
      <c r="G18" s="124">
        <v>29.6</v>
      </c>
      <c r="H18" s="125">
        <v>2150</v>
      </c>
      <c r="I18" s="124">
        <v>7.2</v>
      </c>
      <c r="J18" s="103">
        <v>29840</v>
      </c>
    </row>
    <row r="19" spans="1:10">
      <c r="A19" s="157">
        <v>2002</v>
      </c>
      <c r="B19" s="125">
        <v>8040</v>
      </c>
      <c r="C19" s="124">
        <v>28</v>
      </c>
      <c r="D19" s="125">
        <v>9520</v>
      </c>
      <c r="E19" s="158">
        <v>33.1</v>
      </c>
      <c r="F19" s="125">
        <v>8640</v>
      </c>
      <c r="G19" s="124">
        <v>30</v>
      </c>
      <c r="H19" s="125">
        <v>2560</v>
      </c>
      <c r="I19" s="124">
        <v>8.9</v>
      </c>
      <c r="J19" s="103">
        <v>28760</v>
      </c>
    </row>
    <row r="20" spans="1:10">
      <c r="A20" s="157">
        <v>2003</v>
      </c>
      <c r="B20" s="125">
        <v>8560</v>
      </c>
      <c r="C20" s="124">
        <v>27.7</v>
      </c>
      <c r="D20" s="125">
        <v>9930</v>
      </c>
      <c r="E20" s="158">
        <v>32.1</v>
      </c>
      <c r="F20" s="125">
        <v>9510</v>
      </c>
      <c r="G20" s="124">
        <v>30.8</v>
      </c>
      <c r="H20" s="125">
        <v>2900</v>
      </c>
      <c r="I20" s="124">
        <v>9.4</v>
      </c>
      <c r="J20" s="103">
        <v>30900</v>
      </c>
    </row>
    <row r="21" spans="1:10">
      <c r="A21" s="157">
        <v>2004</v>
      </c>
      <c r="B21" s="125">
        <v>8430</v>
      </c>
      <c r="C21" s="124">
        <v>27.4</v>
      </c>
      <c r="D21" s="125">
        <v>9690</v>
      </c>
      <c r="E21" s="158">
        <v>31.4</v>
      </c>
      <c r="F21" s="125">
        <v>9660</v>
      </c>
      <c r="G21" s="124">
        <v>31.3</v>
      </c>
      <c r="H21" s="125">
        <v>3040</v>
      </c>
      <c r="I21" s="124">
        <v>9.9</v>
      </c>
      <c r="J21" s="103">
        <v>30820</v>
      </c>
    </row>
    <row r="22" spans="1:10">
      <c r="A22" s="157">
        <v>2005</v>
      </c>
      <c r="B22" s="125">
        <v>8690</v>
      </c>
      <c r="C22" s="124">
        <v>27</v>
      </c>
      <c r="D22" s="125">
        <v>9990</v>
      </c>
      <c r="E22" s="158">
        <v>31.1</v>
      </c>
      <c r="F22" s="125">
        <v>10310</v>
      </c>
      <c r="G22" s="124">
        <v>32.1</v>
      </c>
      <c r="H22" s="125">
        <v>3160</v>
      </c>
      <c r="I22" s="124">
        <v>9.8000000000000007</v>
      </c>
      <c r="J22" s="103">
        <v>32150</v>
      </c>
    </row>
    <row r="23" spans="1:10">
      <c r="A23" s="157">
        <v>2006</v>
      </c>
      <c r="B23" s="125">
        <v>8620</v>
      </c>
      <c r="C23" s="124">
        <v>26.2</v>
      </c>
      <c r="D23" s="125">
        <v>9870</v>
      </c>
      <c r="E23" s="158">
        <v>30</v>
      </c>
      <c r="F23" s="125">
        <v>10960</v>
      </c>
      <c r="G23" s="124">
        <v>33.299999999999997</v>
      </c>
      <c r="H23" s="125">
        <v>3470</v>
      </c>
      <c r="I23" s="124">
        <v>10.5</v>
      </c>
      <c r="J23" s="103">
        <v>32920</v>
      </c>
    </row>
    <row r="24" spans="1:10">
      <c r="A24" s="157">
        <v>2007</v>
      </c>
      <c r="B24" s="125">
        <v>7860</v>
      </c>
      <c r="C24" s="124">
        <v>24.3</v>
      </c>
      <c r="D24" s="125">
        <v>8760</v>
      </c>
      <c r="E24" s="158">
        <v>27.1</v>
      </c>
      <c r="F24" s="125">
        <v>11680</v>
      </c>
      <c r="G24" s="124">
        <v>36.1</v>
      </c>
      <c r="H24" s="125">
        <v>4060</v>
      </c>
      <c r="I24" s="124">
        <v>12.5</v>
      </c>
      <c r="J24" s="103">
        <v>32360</v>
      </c>
    </row>
    <row r="25" spans="1:10">
      <c r="A25" s="157">
        <v>2008</v>
      </c>
      <c r="B25" s="125">
        <v>8660</v>
      </c>
      <c r="C25" s="124">
        <v>23.3</v>
      </c>
      <c r="D25" s="125">
        <v>9490</v>
      </c>
      <c r="E25" s="158">
        <v>25.6</v>
      </c>
      <c r="F25" s="125">
        <v>14750</v>
      </c>
      <c r="G25" s="124">
        <v>39.700000000000003</v>
      </c>
      <c r="H25" s="125">
        <v>4210</v>
      </c>
      <c r="I25" s="124">
        <v>11.4</v>
      </c>
      <c r="J25" s="103">
        <v>37110</v>
      </c>
    </row>
    <row r="26" spans="1:10">
      <c r="A26" s="157">
        <v>2009</v>
      </c>
      <c r="B26" s="125">
        <v>8700</v>
      </c>
      <c r="C26" s="124">
        <v>22.4</v>
      </c>
      <c r="D26" s="125">
        <v>9260</v>
      </c>
      <c r="E26" s="158">
        <v>23.8</v>
      </c>
      <c r="F26" s="125">
        <v>16370</v>
      </c>
      <c r="G26" s="124">
        <v>42.1</v>
      </c>
      <c r="H26" s="125">
        <v>4570</v>
      </c>
      <c r="I26" s="124">
        <v>11.7</v>
      </c>
      <c r="J26" s="103">
        <v>38900</v>
      </c>
    </row>
    <row r="27" spans="1:10">
      <c r="A27" s="157">
        <v>2010</v>
      </c>
      <c r="B27" s="125">
        <v>9650</v>
      </c>
      <c r="C27" s="124">
        <v>22.8</v>
      </c>
      <c r="D27" s="125">
        <v>9780</v>
      </c>
      <c r="E27" s="158">
        <v>23.1</v>
      </c>
      <c r="F27" s="125">
        <v>17640</v>
      </c>
      <c r="G27" s="124">
        <v>41.6</v>
      </c>
      <c r="H27" s="125">
        <v>5320</v>
      </c>
      <c r="I27" s="124">
        <v>12.5</v>
      </c>
      <c r="J27" s="103">
        <v>42390</v>
      </c>
    </row>
    <row r="28" spans="1:10">
      <c r="A28" s="157">
        <v>2011</v>
      </c>
      <c r="B28" s="125">
        <v>7810</v>
      </c>
      <c r="C28" s="124">
        <v>20.7</v>
      </c>
      <c r="D28" s="125">
        <v>7480</v>
      </c>
      <c r="E28" s="158">
        <v>19.8</v>
      </c>
      <c r="F28" s="125">
        <v>17190</v>
      </c>
      <c r="G28" s="124">
        <v>45.5</v>
      </c>
      <c r="H28" s="125">
        <v>5310</v>
      </c>
      <c r="I28" s="124">
        <v>14</v>
      </c>
      <c r="J28" s="103">
        <v>37790</v>
      </c>
    </row>
    <row r="29" spans="1:10">
      <c r="A29" s="157">
        <v>2012</v>
      </c>
      <c r="B29" s="125">
        <v>8710</v>
      </c>
      <c r="C29" s="124">
        <v>20.5</v>
      </c>
      <c r="D29" s="125">
        <v>7920</v>
      </c>
      <c r="E29" s="158">
        <v>18.600000000000001</v>
      </c>
      <c r="F29" s="125">
        <v>20410</v>
      </c>
      <c r="G29" s="124">
        <v>47.9</v>
      </c>
      <c r="H29" s="125">
        <v>5540</v>
      </c>
      <c r="I29" s="124">
        <v>13</v>
      </c>
      <c r="J29" s="103">
        <v>42580</v>
      </c>
    </row>
    <row r="30" spans="1:10">
      <c r="A30" s="157">
        <v>2013</v>
      </c>
      <c r="B30" s="125">
        <v>9580</v>
      </c>
      <c r="C30" s="124">
        <v>20.399999999999999</v>
      </c>
      <c r="D30" s="125">
        <v>8290</v>
      </c>
      <c r="E30" s="158">
        <v>17.600000000000001</v>
      </c>
      <c r="F30" s="125">
        <v>22920</v>
      </c>
      <c r="G30" s="124">
        <v>48.8</v>
      </c>
      <c r="H30" s="125">
        <v>6180</v>
      </c>
      <c r="I30" s="124">
        <v>13.2</v>
      </c>
      <c r="J30" s="103">
        <v>46970</v>
      </c>
    </row>
    <row r="31" spans="1:10">
      <c r="A31" s="157">
        <v>2014</v>
      </c>
      <c r="B31" s="125">
        <v>7560</v>
      </c>
      <c r="C31" s="124">
        <v>18.8</v>
      </c>
      <c r="D31" s="125">
        <v>6250</v>
      </c>
      <c r="E31" s="158">
        <v>15.5</v>
      </c>
      <c r="F31" s="125">
        <v>20150</v>
      </c>
      <c r="G31" s="124">
        <v>50.1</v>
      </c>
      <c r="H31" s="125">
        <v>6280</v>
      </c>
      <c r="I31" s="124">
        <v>15.6</v>
      </c>
      <c r="J31" s="103">
        <v>40240</v>
      </c>
    </row>
    <row r="32" spans="1:10">
      <c r="A32" s="157">
        <v>2015</v>
      </c>
      <c r="B32" s="125">
        <v>8220</v>
      </c>
      <c r="C32" s="124">
        <v>19.600000000000001</v>
      </c>
      <c r="D32" s="125">
        <v>6740</v>
      </c>
      <c r="E32" s="158">
        <v>16.100000000000001</v>
      </c>
      <c r="F32" s="125">
        <v>20680</v>
      </c>
      <c r="G32" s="124">
        <v>49.4</v>
      </c>
      <c r="H32" s="125">
        <v>6260</v>
      </c>
      <c r="I32" s="124">
        <v>14.9</v>
      </c>
      <c r="J32" s="103">
        <v>41900</v>
      </c>
    </row>
    <row r="33" spans="1:11">
      <c r="A33" s="157">
        <v>2016</v>
      </c>
      <c r="B33" s="125">
        <v>8650</v>
      </c>
      <c r="C33" s="124">
        <v>19.100000000000001</v>
      </c>
      <c r="D33" s="125">
        <v>7030</v>
      </c>
      <c r="E33" s="158">
        <v>15.5</v>
      </c>
      <c r="F33" s="125">
        <v>22580</v>
      </c>
      <c r="G33" s="124">
        <v>49.8</v>
      </c>
      <c r="H33" s="125">
        <v>7120</v>
      </c>
      <c r="I33" s="124">
        <v>15.6</v>
      </c>
      <c r="J33" s="103">
        <v>45380</v>
      </c>
    </row>
    <row r="34" spans="1:11">
      <c r="A34" s="157">
        <v>2017</v>
      </c>
      <c r="B34" s="125">
        <v>8270</v>
      </c>
      <c r="C34" s="124">
        <v>17.8</v>
      </c>
      <c r="D34" s="125">
        <v>6730</v>
      </c>
      <c r="E34" s="158">
        <v>14.5</v>
      </c>
      <c r="F34" s="125">
        <v>23780</v>
      </c>
      <c r="G34" s="124">
        <v>51.3</v>
      </c>
      <c r="H34" s="125">
        <v>7570</v>
      </c>
      <c r="I34" s="124">
        <v>16.399999999999999</v>
      </c>
      <c r="J34" s="103">
        <v>46350</v>
      </c>
    </row>
    <row r="35" spans="1:11">
      <c r="A35" s="157">
        <v>2018</v>
      </c>
      <c r="B35" s="125">
        <v>7580</v>
      </c>
      <c r="C35" s="124">
        <v>17.3</v>
      </c>
      <c r="D35" s="125">
        <v>6250</v>
      </c>
      <c r="E35" s="158">
        <v>14.3</v>
      </c>
      <c r="F35" s="125">
        <v>22960</v>
      </c>
      <c r="G35" s="124">
        <v>52.4</v>
      </c>
      <c r="H35" s="125">
        <v>7020</v>
      </c>
      <c r="I35" s="124">
        <v>16</v>
      </c>
      <c r="J35" s="103">
        <v>43810</v>
      </c>
    </row>
    <row r="36" spans="1:11" s="34" customFormat="1">
      <c r="A36" s="157">
        <v>2019</v>
      </c>
      <c r="B36" s="125">
        <v>7580</v>
      </c>
      <c r="C36" s="124">
        <v>16.600000000000001</v>
      </c>
      <c r="D36" s="125">
        <v>6350</v>
      </c>
      <c r="E36" s="158">
        <v>13.9</v>
      </c>
      <c r="F36" s="125">
        <v>25010</v>
      </c>
      <c r="G36" s="124">
        <v>54.7</v>
      </c>
      <c r="H36" s="125">
        <v>6810</v>
      </c>
      <c r="I36" s="124">
        <v>14.8</v>
      </c>
      <c r="J36" s="103">
        <v>45750</v>
      </c>
      <c r="K36" s="4"/>
    </row>
    <row r="37" spans="1:11" s="34" customFormat="1">
      <c r="A37" s="157">
        <v>2020</v>
      </c>
      <c r="B37" s="125">
        <v>6950</v>
      </c>
      <c r="C37" s="124">
        <v>15.4</v>
      </c>
      <c r="D37" s="125">
        <v>5750</v>
      </c>
      <c r="E37" s="158">
        <v>12.8</v>
      </c>
      <c r="F37" s="125">
        <v>25150</v>
      </c>
      <c r="G37" s="124">
        <v>55.8</v>
      </c>
      <c r="H37" s="125">
        <v>7240</v>
      </c>
      <c r="I37" s="124">
        <v>16</v>
      </c>
      <c r="J37" s="103">
        <v>45090</v>
      </c>
      <c r="K37" s="4"/>
    </row>
    <row r="38" spans="1:11" s="34" customFormat="1">
      <c r="A38" s="157">
        <v>2021</v>
      </c>
      <c r="B38" s="125">
        <v>7920</v>
      </c>
      <c r="C38" s="124">
        <v>15</v>
      </c>
      <c r="D38" s="125">
        <v>6410</v>
      </c>
      <c r="E38" s="158">
        <v>12.1</v>
      </c>
      <c r="F38" s="125">
        <v>29020</v>
      </c>
      <c r="G38" s="124">
        <v>54.9</v>
      </c>
      <c r="H38" s="125">
        <v>9470</v>
      </c>
      <c r="I38" s="124">
        <v>18</v>
      </c>
      <c r="J38" s="103">
        <v>52820</v>
      </c>
      <c r="K38" s="4"/>
    </row>
    <row r="39" spans="1:11" s="34" customFormat="1">
      <c r="A39" s="157">
        <v>2022</v>
      </c>
      <c r="B39" s="125">
        <v>6580</v>
      </c>
      <c r="C39" s="124">
        <v>13.7</v>
      </c>
      <c r="D39" s="125">
        <v>5540</v>
      </c>
      <c r="E39" s="158">
        <v>11.6</v>
      </c>
      <c r="F39" s="125">
        <v>26790</v>
      </c>
      <c r="G39" s="124">
        <v>56</v>
      </c>
      <c r="H39" s="125">
        <v>8960</v>
      </c>
      <c r="I39" s="124">
        <v>18.7</v>
      </c>
      <c r="J39" s="103">
        <v>47870</v>
      </c>
      <c r="K39" s="4"/>
    </row>
    <row r="40" spans="1:11" s="34" customFormat="1">
      <c r="A40" s="157">
        <v>2023</v>
      </c>
      <c r="B40" s="125">
        <v>6620</v>
      </c>
      <c r="C40" s="124">
        <v>13.2</v>
      </c>
      <c r="D40" s="125">
        <v>5630</v>
      </c>
      <c r="E40" s="158">
        <v>11.2</v>
      </c>
      <c r="F40" s="125">
        <v>28630</v>
      </c>
      <c r="G40" s="124">
        <v>57.2</v>
      </c>
      <c r="H40" s="125">
        <v>9190</v>
      </c>
      <c r="I40" s="124">
        <v>18.399999999999999</v>
      </c>
      <c r="J40" s="103">
        <v>50070</v>
      </c>
      <c r="K40" s="4"/>
    </row>
    <row r="41" spans="1:11" s="34" customFormat="1" ht="13">
      <c r="A41" s="159">
        <v>2024</v>
      </c>
      <c r="B41" s="69">
        <v>6640</v>
      </c>
      <c r="C41" s="70">
        <v>13</v>
      </c>
      <c r="D41" s="69">
        <v>5610</v>
      </c>
      <c r="E41" s="160">
        <v>11</v>
      </c>
      <c r="F41" s="69">
        <v>29080</v>
      </c>
      <c r="G41" s="70">
        <v>57.1</v>
      </c>
      <c r="H41" s="69">
        <v>9620</v>
      </c>
      <c r="I41" s="70">
        <v>18.899999999999999</v>
      </c>
      <c r="J41" s="105">
        <v>50950</v>
      </c>
      <c r="K41" s="4"/>
    </row>
    <row r="42" spans="1:11" s="34" customFormat="1" ht="13">
      <c r="A42" s="31"/>
      <c r="B42" s="32"/>
      <c r="C42" s="76"/>
      <c r="D42" s="32"/>
      <c r="E42" s="76"/>
      <c r="F42" s="32"/>
      <c r="G42" s="76"/>
      <c r="H42" s="32"/>
      <c r="I42" s="76"/>
      <c r="J42" s="32"/>
      <c r="K42" s="4"/>
    </row>
    <row r="43" spans="1:11" s="34" customFormat="1" ht="25.5" customHeight="1">
      <c r="A43" s="274" t="s">
        <v>514</v>
      </c>
      <c r="B43" s="262"/>
      <c r="C43" s="262"/>
      <c r="D43" s="262"/>
      <c r="E43" s="262"/>
      <c r="F43" s="274" t="s">
        <v>515</v>
      </c>
      <c r="G43" s="262"/>
      <c r="H43" s="262"/>
      <c r="I43" s="262"/>
      <c r="J43" s="262"/>
      <c r="K43" s="4"/>
    </row>
    <row r="44" spans="1:11" s="34" customFormat="1">
      <c r="A44" s="4"/>
      <c r="B44" s="4"/>
      <c r="C44" s="4"/>
      <c r="D44" s="4"/>
      <c r="E44" s="4"/>
      <c r="F44" s="4"/>
      <c r="G44" s="4"/>
      <c r="H44" s="4"/>
      <c r="I44" s="4"/>
      <c r="J44" s="4"/>
      <c r="K44" s="4"/>
    </row>
    <row r="45" spans="1:11" s="34" customFormat="1">
      <c r="A45" s="78" t="s">
        <v>516</v>
      </c>
      <c r="B45" s="4"/>
      <c r="C45" s="4"/>
      <c r="D45" s="4"/>
      <c r="E45" s="4"/>
      <c r="F45" s="78" t="s">
        <v>517</v>
      </c>
      <c r="G45" s="4"/>
      <c r="H45" s="4"/>
      <c r="I45" s="4"/>
      <c r="J45" s="4"/>
      <c r="K45" s="161"/>
    </row>
    <row r="46" spans="1:11" s="34" customFormat="1">
      <c r="A46" s="4"/>
      <c r="B46" s="4"/>
      <c r="C46" s="4"/>
      <c r="D46" s="4"/>
      <c r="E46" s="4"/>
      <c r="F46" s="4"/>
      <c r="G46" s="4"/>
      <c r="H46" s="4"/>
      <c r="I46" s="4"/>
      <c r="J46" s="4"/>
      <c r="K46" s="161"/>
    </row>
    <row r="47" spans="1:11" s="34" customFormat="1">
      <c r="A47" s="4"/>
      <c r="B47" s="4"/>
      <c r="C47" s="4"/>
      <c r="D47" s="4"/>
      <c r="E47" s="4"/>
      <c r="F47" s="4"/>
      <c r="G47" s="4"/>
      <c r="H47" s="4"/>
      <c r="I47" s="4"/>
      <c r="J47" s="4"/>
      <c r="K47" s="161"/>
    </row>
    <row r="48" spans="1:11" s="34" customFormat="1">
      <c r="A48" s="4"/>
      <c r="B48" s="4"/>
      <c r="C48" s="4"/>
      <c r="D48" s="4"/>
      <c r="E48" s="4"/>
      <c r="F48" s="4"/>
      <c r="G48" s="4"/>
      <c r="H48" s="4"/>
      <c r="I48" s="4"/>
      <c r="J48" s="4"/>
      <c r="K48" s="161"/>
    </row>
    <row r="49" spans="1:1">
      <c r="A49" s="35" t="s">
        <v>75</v>
      </c>
    </row>
    <row r="50" spans="1:1">
      <c r="A50" s="35" t="s">
        <v>76</v>
      </c>
    </row>
    <row r="51" spans="1:1">
      <c r="A51" s="35" t="s">
        <v>77</v>
      </c>
    </row>
  </sheetData>
  <mergeCells count="11">
    <mergeCell ref="A43:E43"/>
    <mergeCell ref="F43:J43"/>
    <mergeCell ref="B4:C4"/>
    <mergeCell ref="D4:E4"/>
    <mergeCell ref="F4:G4"/>
    <mergeCell ref="H4:I4"/>
    <mergeCell ref="A5:A6"/>
    <mergeCell ref="B5:C5"/>
    <mergeCell ref="D5:E5"/>
    <mergeCell ref="F5:G5"/>
    <mergeCell ref="H5:I5"/>
  </mergeCells>
  <conditionalFormatting sqref="B7:J41">
    <cfRule type="expression" dxfId="2" priority="1">
      <formula>#REF!&lt;&gt;0</formula>
    </cfRule>
  </conditionalFormatting>
  <conditionalFormatting sqref="B42:J42">
    <cfRule type="expression" dxfId="1" priority="2">
      <formula>AF42&lt;&gt;0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C5AAD-BD09-43CE-A68D-20FA631BE0E3}">
  <sheetPr codeName="Tabelle43"/>
  <dimension ref="A1:M53"/>
  <sheetViews>
    <sheetView workbookViewId="0">
      <selection activeCell="H22" sqref="H22"/>
    </sheetView>
  </sheetViews>
  <sheetFormatPr defaultColWidth="11.54296875" defaultRowHeight="12.5"/>
  <cols>
    <col min="1" max="1" width="8.7265625" style="4" customWidth="1"/>
    <col min="2" max="16384" width="11.54296875" style="4"/>
  </cols>
  <sheetData>
    <row r="1" spans="1:13" ht="13">
      <c r="A1" s="3" t="s">
        <v>561</v>
      </c>
      <c r="M1" s="5" t="s">
        <v>562</v>
      </c>
    </row>
    <row r="2" spans="1:13" ht="13">
      <c r="A2" s="3" t="s">
        <v>563</v>
      </c>
      <c r="M2" s="5" t="s">
        <v>564</v>
      </c>
    </row>
    <row r="4" spans="1:13" ht="13.15" customHeight="1">
      <c r="A4" s="270" t="s">
        <v>55</v>
      </c>
      <c r="B4" s="289" t="s">
        <v>565</v>
      </c>
      <c r="C4" s="295"/>
      <c r="D4" s="296"/>
      <c r="E4" s="289" t="s">
        <v>566</v>
      </c>
      <c r="F4" s="295"/>
      <c r="G4" s="296"/>
      <c r="H4" s="289" t="s">
        <v>567</v>
      </c>
      <c r="I4" s="295"/>
      <c r="J4" s="296"/>
      <c r="K4" s="289" t="s">
        <v>568</v>
      </c>
      <c r="L4" s="295"/>
      <c r="M4" s="296"/>
    </row>
    <row r="5" spans="1:13" ht="22">
      <c r="A5" s="271"/>
      <c r="B5" s="96" t="s">
        <v>569</v>
      </c>
      <c r="C5" s="97" t="s">
        <v>570</v>
      </c>
      <c r="D5" s="42" t="s">
        <v>571</v>
      </c>
      <c r="E5" s="96" t="s">
        <v>569</v>
      </c>
      <c r="F5" s="97" t="s">
        <v>570</v>
      </c>
      <c r="G5" s="42" t="s">
        <v>571</v>
      </c>
      <c r="H5" s="96" t="s">
        <v>569</v>
      </c>
      <c r="I5" s="97" t="s">
        <v>570</v>
      </c>
      <c r="J5" s="42" t="s">
        <v>571</v>
      </c>
      <c r="K5" s="96" t="s">
        <v>569</v>
      </c>
      <c r="L5" s="97" t="s">
        <v>570</v>
      </c>
      <c r="M5" s="42" t="s">
        <v>571</v>
      </c>
    </row>
    <row r="6" spans="1:13" ht="12.75" customHeight="1">
      <c r="A6" s="263" t="s">
        <v>62</v>
      </c>
      <c r="B6" s="285" t="s">
        <v>572</v>
      </c>
      <c r="C6" s="298"/>
      <c r="D6" s="299"/>
      <c r="E6" s="285" t="s">
        <v>573</v>
      </c>
      <c r="F6" s="298"/>
      <c r="G6" s="299"/>
      <c r="H6" s="285" t="s">
        <v>574</v>
      </c>
      <c r="I6" s="298"/>
      <c r="J6" s="299"/>
      <c r="K6" s="285" t="s">
        <v>527</v>
      </c>
      <c r="L6" s="298"/>
      <c r="M6" s="299"/>
    </row>
    <row r="7" spans="1:13" ht="22">
      <c r="A7" s="297"/>
      <c r="B7" s="174" t="s">
        <v>575</v>
      </c>
      <c r="C7" s="172" t="s">
        <v>576</v>
      </c>
      <c r="D7" s="175" t="s">
        <v>577</v>
      </c>
      <c r="E7" s="174" t="s">
        <v>575</v>
      </c>
      <c r="F7" s="172" t="s">
        <v>576</v>
      </c>
      <c r="G7" s="175" t="s">
        <v>577</v>
      </c>
      <c r="H7" s="174" t="s">
        <v>575</v>
      </c>
      <c r="I7" s="172" t="s">
        <v>576</v>
      </c>
      <c r="J7" s="175" t="s">
        <v>577</v>
      </c>
      <c r="K7" s="174" t="s">
        <v>575</v>
      </c>
      <c r="L7" s="172" t="s">
        <v>576</v>
      </c>
      <c r="M7" s="175" t="s">
        <v>577</v>
      </c>
    </row>
    <row r="8" spans="1:13">
      <c r="A8" s="192">
        <v>1990</v>
      </c>
      <c r="B8" s="15">
        <v>102</v>
      </c>
      <c r="C8" s="16">
        <v>8</v>
      </c>
      <c r="D8" s="46">
        <v>333</v>
      </c>
      <c r="E8" s="144">
        <v>16</v>
      </c>
      <c r="F8" s="16">
        <v>69</v>
      </c>
      <c r="G8" s="46">
        <v>361</v>
      </c>
      <c r="H8" s="164">
        <v>4.5999999999999996</v>
      </c>
      <c r="I8" s="16">
        <v>7</v>
      </c>
      <c r="J8" s="46">
        <v>204</v>
      </c>
      <c r="K8" s="164">
        <v>1.5</v>
      </c>
      <c r="L8" s="16">
        <v>20</v>
      </c>
      <c r="M8" s="46">
        <v>59</v>
      </c>
    </row>
    <row r="9" spans="1:13">
      <c r="A9" s="157">
        <v>1991</v>
      </c>
      <c r="B9" s="125">
        <v>98</v>
      </c>
      <c r="C9" s="21">
        <v>10</v>
      </c>
      <c r="D9" s="47">
        <v>344</v>
      </c>
      <c r="E9" s="125">
        <v>16</v>
      </c>
      <c r="F9" s="21">
        <v>80</v>
      </c>
      <c r="G9" s="47">
        <v>367</v>
      </c>
      <c r="H9" s="166">
        <v>4.5999999999999996</v>
      </c>
      <c r="I9" s="21">
        <v>7</v>
      </c>
      <c r="J9" s="47">
        <v>211</v>
      </c>
      <c r="K9" s="166">
        <v>1.5</v>
      </c>
      <c r="L9" s="21">
        <v>24</v>
      </c>
      <c r="M9" s="47">
        <v>61</v>
      </c>
    </row>
    <row r="10" spans="1:13">
      <c r="A10" s="157">
        <v>1992</v>
      </c>
      <c r="B10" s="125">
        <v>97</v>
      </c>
      <c r="C10" s="21">
        <v>13</v>
      </c>
      <c r="D10" s="47">
        <v>358</v>
      </c>
      <c r="E10" s="125">
        <v>16</v>
      </c>
      <c r="F10" s="21">
        <v>109</v>
      </c>
      <c r="G10" s="47">
        <v>381</v>
      </c>
      <c r="H10" s="166">
        <v>4.5</v>
      </c>
      <c r="I10" s="21">
        <v>11</v>
      </c>
      <c r="J10" s="47">
        <v>219</v>
      </c>
      <c r="K10" s="166">
        <v>1.5</v>
      </c>
      <c r="L10" s="21">
        <v>31</v>
      </c>
      <c r="M10" s="47">
        <v>63</v>
      </c>
    </row>
    <row r="11" spans="1:13">
      <c r="A11" s="157">
        <v>1993</v>
      </c>
      <c r="B11" s="125">
        <v>85</v>
      </c>
      <c r="C11" s="21">
        <v>13</v>
      </c>
      <c r="D11" s="47">
        <v>368</v>
      </c>
      <c r="E11" s="125">
        <v>15</v>
      </c>
      <c r="F11" s="21">
        <v>148</v>
      </c>
      <c r="G11" s="47">
        <v>395</v>
      </c>
      <c r="H11" s="166">
        <v>4.2</v>
      </c>
      <c r="I11" s="21">
        <v>23</v>
      </c>
      <c r="J11" s="47">
        <v>229</v>
      </c>
      <c r="K11" s="166">
        <v>1.4</v>
      </c>
      <c r="L11" s="21">
        <v>38</v>
      </c>
      <c r="M11" s="47">
        <v>66</v>
      </c>
    </row>
    <row r="12" spans="1:13">
      <c r="A12" s="157">
        <v>1994</v>
      </c>
      <c r="B12" s="125">
        <v>82</v>
      </c>
      <c r="C12" s="21">
        <v>14</v>
      </c>
      <c r="D12" s="47">
        <v>381</v>
      </c>
      <c r="E12" s="125">
        <v>15</v>
      </c>
      <c r="F12" s="21">
        <v>182</v>
      </c>
      <c r="G12" s="47">
        <v>405</v>
      </c>
      <c r="H12" s="166">
        <v>4</v>
      </c>
      <c r="I12" s="21">
        <v>27</v>
      </c>
      <c r="J12" s="47">
        <v>231</v>
      </c>
      <c r="K12" s="166">
        <v>1.5</v>
      </c>
      <c r="L12" s="21">
        <v>46</v>
      </c>
      <c r="M12" s="47">
        <v>70</v>
      </c>
    </row>
    <row r="13" spans="1:13">
      <c r="A13" s="157">
        <v>1995</v>
      </c>
      <c r="B13" s="125">
        <v>76</v>
      </c>
      <c r="C13" s="21">
        <v>16</v>
      </c>
      <c r="D13" s="47">
        <v>393</v>
      </c>
      <c r="E13" s="125">
        <v>14</v>
      </c>
      <c r="F13" s="21">
        <v>178</v>
      </c>
      <c r="G13" s="47">
        <v>411</v>
      </c>
      <c r="H13" s="166">
        <v>3.8</v>
      </c>
      <c r="I13" s="21">
        <v>26</v>
      </c>
      <c r="J13" s="47">
        <v>232</v>
      </c>
      <c r="K13" s="166">
        <v>1.5</v>
      </c>
      <c r="L13" s="21">
        <v>49</v>
      </c>
      <c r="M13" s="47">
        <v>71</v>
      </c>
    </row>
    <row r="14" spans="1:13">
      <c r="A14" s="157">
        <v>1996</v>
      </c>
      <c r="B14" s="125">
        <v>73</v>
      </c>
      <c r="C14" s="21">
        <v>18</v>
      </c>
      <c r="D14" s="47">
        <v>404</v>
      </c>
      <c r="E14" s="125">
        <v>14</v>
      </c>
      <c r="F14" s="21">
        <v>182</v>
      </c>
      <c r="G14" s="47">
        <v>421</v>
      </c>
      <c r="H14" s="166">
        <v>3.7</v>
      </c>
      <c r="I14" s="21">
        <v>28</v>
      </c>
      <c r="J14" s="47">
        <v>237</v>
      </c>
      <c r="K14" s="166">
        <v>1.7</v>
      </c>
      <c r="L14" s="21">
        <v>49</v>
      </c>
      <c r="M14" s="47">
        <v>75</v>
      </c>
    </row>
    <row r="15" spans="1:13">
      <c r="A15" s="157">
        <v>1997</v>
      </c>
      <c r="B15" s="125">
        <v>68</v>
      </c>
      <c r="C15" s="21">
        <v>19</v>
      </c>
      <c r="D15" s="47">
        <v>414</v>
      </c>
      <c r="E15" s="125">
        <v>13</v>
      </c>
      <c r="F15" s="21">
        <v>176</v>
      </c>
      <c r="G15" s="47">
        <v>434</v>
      </c>
      <c r="H15" s="166">
        <v>3.5</v>
      </c>
      <c r="I15" s="21">
        <v>27</v>
      </c>
      <c r="J15" s="47">
        <v>242</v>
      </c>
      <c r="K15" s="166">
        <v>1.7</v>
      </c>
      <c r="L15" s="21">
        <v>48</v>
      </c>
      <c r="M15" s="47">
        <v>80</v>
      </c>
    </row>
    <row r="16" spans="1:13">
      <c r="A16" s="157">
        <v>1998</v>
      </c>
      <c r="B16" s="125">
        <v>63</v>
      </c>
      <c r="C16" s="21">
        <v>21</v>
      </c>
      <c r="D16" s="47">
        <v>426</v>
      </c>
      <c r="E16" s="125">
        <v>13</v>
      </c>
      <c r="F16" s="21">
        <v>178</v>
      </c>
      <c r="G16" s="47">
        <v>458</v>
      </c>
      <c r="H16" s="166">
        <v>3.1</v>
      </c>
      <c r="I16" s="21">
        <v>24</v>
      </c>
      <c r="J16" s="47">
        <v>255</v>
      </c>
      <c r="K16" s="166">
        <v>2.1</v>
      </c>
      <c r="L16" s="21">
        <v>49</v>
      </c>
      <c r="M16" s="47">
        <v>86</v>
      </c>
    </row>
    <row r="17" spans="1:13">
      <c r="A17" s="157">
        <v>1999</v>
      </c>
      <c r="B17" s="125">
        <v>67</v>
      </c>
      <c r="C17" s="21">
        <v>23</v>
      </c>
      <c r="D17" s="47">
        <v>440</v>
      </c>
      <c r="E17" s="125">
        <v>15</v>
      </c>
      <c r="F17" s="21">
        <v>181</v>
      </c>
      <c r="G17" s="47">
        <v>472</v>
      </c>
      <c r="H17" s="166">
        <v>3.8</v>
      </c>
      <c r="I17" s="21">
        <v>24</v>
      </c>
      <c r="J17" s="47">
        <v>260</v>
      </c>
      <c r="K17" s="166">
        <v>2.6</v>
      </c>
      <c r="L17" s="21">
        <v>50</v>
      </c>
      <c r="M17" s="47">
        <v>90</v>
      </c>
    </row>
    <row r="18" spans="1:13">
      <c r="A18" s="157">
        <v>2000</v>
      </c>
      <c r="B18" s="125">
        <v>68</v>
      </c>
      <c r="C18" s="21">
        <v>24</v>
      </c>
      <c r="D18" s="47">
        <v>451</v>
      </c>
      <c r="E18" s="125">
        <v>17</v>
      </c>
      <c r="F18" s="21">
        <v>182</v>
      </c>
      <c r="G18" s="47">
        <v>478</v>
      </c>
      <c r="H18" s="166">
        <v>3.8</v>
      </c>
      <c r="I18" s="21">
        <v>26</v>
      </c>
      <c r="J18" s="47">
        <v>263</v>
      </c>
      <c r="K18" s="166">
        <v>3.2</v>
      </c>
      <c r="L18" s="21">
        <v>51</v>
      </c>
      <c r="M18" s="47">
        <v>94</v>
      </c>
    </row>
    <row r="19" spans="1:13">
      <c r="A19" s="157">
        <v>2001</v>
      </c>
      <c r="B19" s="125">
        <v>69</v>
      </c>
      <c r="C19" s="21">
        <v>25</v>
      </c>
      <c r="D19" s="47">
        <v>461</v>
      </c>
      <c r="E19" s="125">
        <v>19</v>
      </c>
      <c r="F19" s="21">
        <v>168</v>
      </c>
      <c r="G19" s="47">
        <v>508</v>
      </c>
      <c r="H19" s="166">
        <v>4</v>
      </c>
      <c r="I19" s="21">
        <v>24</v>
      </c>
      <c r="J19" s="47">
        <v>268</v>
      </c>
      <c r="K19" s="166">
        <v>3.8</v>
      </c>
      <c r="L19" s="21">
        <v>47</v>
      </c>
      <c r="M19" s="47">
        <v>105</v>
      </c>
    </row>
    <row r="20" spans="1:13">
      <c r="A20" s="157">
        <v>2002</v>
      </c>
      <c r="B20" s="125">
        <v>62</v>
      </c>
      <c r="C20" s="21">
        <v>24</v>
      </c>
      <c r="D20" s="47">
        <v>464</v>
      </c>
      <c r="E20" s="125">
        <v>21</v>
      </c>
      <c r="F20" s="21">
        <v>147</v>
      </c>
      <c r="G20" s="47">
        <v>505</v>
      </c>
      <c r="H20" s="166">
        <v>3.9</v>
      </c>
      <c r="I20" s="21">
        <v>20</v>
      </c>
      <c r="J20" s="47">
        <v>271</v>
      </c>
      <c r="K20" s="166">
        <v>4.5</v>
      </c>
      <c r="L20" s="21">
        <v>42</v>
      </c>
      <c r="M20" s="47">
        <v>106</v>
      </c>
    </row>
    <row r="21" spans="1:13">
      <c r="A21" s="157">
        <v>2003</v>
      </c>
      <c r="B21" s="125">
        <v>61</v>
      </c>
      <c r="C21" s="21">
        <v>24</v>
      </c>
      <c r="D21" s="47">
        <v>468</v>
      </c>
      <c r="E21" s="125">
        <v>23</v>
      </c>
      <c r="F21" s="21">
        <v>140</v>
      </c>
      <c r="G21" s="47">
        <v>506</v>
      </c>
      <c r="H21" s="166">
        <v>4.0999999999999996</v>
      </c>
      <c r="I21" s="21">
        <v>15</v>
      </c>
      <c r="J21" s="47">
        <v>271</v>
      </c>
      <c r="K21" s="166">
        <v>5.3</v>
      </c>
      <c r="L21" s="21">
        <v>38</v>
      </c>
      <c r="M21" s="47">
        <v>108</v>
      </c>
    </row>
    <row r="22" spans="1:13">
      <c r="A22" s="157">
        <v>2004</v>
      </c>
      <c r="B22" s="125">
        <v>66</v>
      </c>
      <c r="C22" s="21">
        <v>23</v>
      </c>
      <c r="D22" s="47">
        <v>470</v>
      </c>
      <c r="E22" s="125">
        <v>27</v>
      </c>
      <c r="F22" s="21">
        <v>108</v>
      </c>
      <c r="G22" s="47">
        <v>511</v>
      </c>
      <c r="H22" s="166">
        <v>4.4000000000000004</v>
      </c>
      <c r="I22" s="21">
        <v>14</v>
      </c>
      <c r="J22" s="47">
        <v>274</v>
      </c>
      <c r="K22" s="166">
        <v>6.5</v>
      </c>
      <c r="L22" s="21">
        <v>29</v>
      </c>
      <c r="M22" s="47">
        <v>109</v>
      </c>
    </row>
    <row r="23" spans="1:13">
      <c r="A23" s="157">
        <v>2005</v>
      </c>
      <c r="B23" s="125">
        <v>72</v>
      </c>
      <c r="C23" s="21">
        <v>25</v>
      </c>
      <c r="D23" s="47">
        <v>472</v>
      </c>
      <c r="E23" s="125">
        <v>36</v>
      </c>
      <c r="F23" s="21">
        <v>97</v>
      </c>
      <c r="G23" s="47">
        <v>506</v>
      </c>
      <c r="H23" s="166">
        <v>5.0999999999999996</v>
      </c>
      <c r="I23" s="21">
        <v>12</v>
      </c>
      <c r="J23" s="47">
        <v>271</v>
      </c>
      <c r="K23" s="166">
        <v>9.4</v>
      </c>
      <c r="L23" s="21">
        <v>27</v>
      </c>
      <c r="M23" s="47">
        <v>109</v>
      </c>
    </row>
    <row r="24" spans="1:13">
      <c r="A24" s="157">
        <v>2006</v>
      </c>
      <c r="B24" s="125">
        <v>80</v>
      </c>
      <c r="C24" s="21">
        <v>23</v>
      </c>
      <c r="D24" s="47">
        <v>475</v>
      </c>
      <c r="E24" s="125">
        <v>54</v>
      </c>
      <c r="F24" s="21">
        <v>90</v>
      </c>
      <c r="G24" s="47">
        <v>517</v>
      </c>
      <c r="H24" s="166">
        <v>6.7</v>
      </c>
      <c r="I24" s="21">
        <v>12</v>
      </c>
      <c r="J24" s="47">
        <v>275</v>
      </c>
      <c r="K24" s="166">
        <v>15.5</v>
      </c>
      <c r="L24" s="21">
        <v>25</v>
      </c>
      <c r="M24" s="47">
        <v>113</v>
      </c>
    </row>
    <row r="25" spans="1:13">
      <c r="A25" s="157">
        <v>2007</v>
      </c>
      <c r="B25" s="125">
        <v>77</v>
      </c>
      <c r="C25" s="21">
        <v>25</v>
      </c>
      <c r="D25" s="47">
        <v>477</v>
      </c>
      <c r="E25" s="125">
        <v>84</v>
      </c>
      <c r="F25" s="21">
        <v>92</v>
      </c>
      <c r="G25" s="47">
        <v>522</v>
      </c>
      <c r="H25" s="166">
        <v>8.8000000000000007</v>
      </c>
      <c r="I25" s="21">
        <v>16</v>
      </c>
      <c r="J25" s="47">
        <v>275</v>
      </c>
      <c r="K25" s="166">
        <v>26.2</v>
      </c>
      <c r="L25" s="21">
        <v>27</v>
      </c>
      <c r="M25" s="47">
        <v>115</v>
      </c>
    </row>
    <row r="26" spans="1:13">
      <c r="A26" s="157">
        <v>2008</v>
      </c>
      <c r="B26" s="125">
        <v>75</v>
      </c>
      <c r="C26" s="21">
        <v>23</v>
      </c>
      <c r="D26" s="47">
        <v>479</v>
      </c>
      <c r="E26" s="125">
        <v>101</v>
      </c>
      <c r="F26" s="21">
        <v>94</v>
      </c>
      <c r="G26" s="47">
        <v>525</v>
      </c>
      <c r="H26" s="166">
        <v>8.9</v>
      </c>
      <c r="I26" s="21">
        <v>15</v>
      </c>
      <c r="J26" s="47">
        <v>277</v>
      </c>
      <c r="K26" s="166">
        <v>32.799999999999997</v>
      </c>
      <c r="L26" s="21">
        <v>28</v>
      </c>
      <c r="M26" s="47">
        <v>116</v>
      </c>
    </row>
    <row r="27" spans="1:13">
      <c r="A27" s="157">
        <v>2009</v>
      </c>
      <c r="B27" s="125">
        <v>75</v>
      </c>
      <c r="C27" s="21">
        <v>28</v>
      </c>
      <c r="D27" s="47">
        <v>481</v>
      </c>
      <c r="E27" s="125">
        <v>113</v>
      </c>
      <c r="F27" s="21">
        <v>109</v>
      </c>
      <c r="G27" s="47">
        <v>527</v>
      </c>
      <c r="H27" s="166">
        <v>8.1999999999999993</v>
      </c>
      <c r="I27" s="21">
        <v>13</v>
      </c>
      <c r="J27" s="47">
        <v>277</v>
      </c>
      <c r="K27" s="166">
        <v>37.5</v>
      </c>
      <c r="L27" s="21">
        <v>37</v>
      </c>
      <c r="M27" s="47">
        <v>117</v>
      </c>
    </row>
    <row r="28" spans="1:13">
      <c r="A28" s="157">
        <v>2010</v>
      </c>
      <c r="B28" s="125">
        <v>72</v>
      </c>
      <c r="C28" s="21">
        <v>29</v>
      </c>
      <c r="D28" s="47">
        <v>483</v>
      </c>
      <c r="E28" s="125">
        <v>138</v>
      </c>
      <c r="F28" s="21">
        <v>123</v>
      </c>
      <c r="G28" s="47">
        <v>544</v>
      </c>
      <c r="H28" s="166">
        <v>10.8</v>
      </c>
      <c r="I28" s="21">
        <v>14</v>
      </c>
      <c r="J28" s="47">
        <v>287</v>
      </c>
      <c r="K28" s="166">
        <v>45.8</v>
      </c>
      <c r="L28" s="21">
        <v>42</v>
      </c>
      <c r="M28" s="47">
        <v>121</v>
      </c>
    </row>
    <row r="29" spans="1:13">
      <c r="A29" s="157">
        <v>2011</v>
      </c>
      <c r="B29" s="125">
        <v>80</v>
      </c>
      <c r="C29" s="21">
        <v>34</v>
      </c>
      <c r="D29" s="47">
        <v>485</v>
      </c>
      <c r="E29" s="125">
        <v>154</v>
      </c>
      <c r="F29" s="21">
        <v>149</v>
      </c>
      <c r="G29" s="47">
        <v>565</v>
      </c>
      <c r="H29" s="166">
        <v>12.4</v>
      </c>
      <c r="I29" s="21">
        <v>18</v>
      </c>
      <c r="J29" s="47">
        <v>298</v>
      </c>
      <c r="K29" s="166">
        <v>51.3</v>
      </c>
      <c r="L29" s="21">
        <v>52</v>
      </c>
      <c r="M29" s="47">
        <v>126</v>
      </c>
    </row>
    <row r="30" spans="1:13">
      <c r="A30" s="157">
        <v>2012</v>
      </c>
      <c r="B30" s="125">
        <v>89</v>
      </c>
      <c r="C30" s="21">
        <v>32</v>
      </c>
      <c r="D30" s="47">
        <v>487</v>
      </c>
      <c r="E30" s="125">
        <v>187</v>
      </c>
      <c r="F30" s="21">
        <v>194</v>
      </c>
      <c r="G30" s="47">
        <v>565</v>
      </c>
      <c r="H30" s="166">
        <v>14.8</v>
      </c>
      <c r="I30" s="21">
        <v>28</v>
      </c>
      <c r="J30" s="47">
        <v>297</v>
      </c>
      <c r="K30" s="166">
        <v>63.4</v>
      </c>
      <c r="L30" s="21">
        <v>69</v>
      </c>
      <c r="M30" s="47">
        <v>128</v>
      </c>
    </row>
    <row r="31" spans="1:13">
      <c r="A31" s="157">
        <v>2013</v>
      </c>
      <c r="B31" s="125">
        <v>97</v>
      </c>
      <c r="C31" s="21">
        <v>32</v>
      </c>
      <c r="D31" s="47">
        <v>489</v>
      </c>
      <c r="E31" s="125">
        <v>226</v>
      </c>
      <c r="F31" s="21">
        <v>208</v>
      </c>
      <c r="G31" s="47">
        <v>551</v>
      </c>
      <c r="H31" s="166">
        <v>17</v>
      </c>
      <c r="I31" s="21">
        <v>32</v>
      </c>
      <c r="J31" s="47">
        <v>286</v>
      </c>
      <c r="K31" s="166">
        <v>77</v>
      </c>
      <c r="L31" s="21">
        <v>75</v>
      </c>
      <c r="M31" s="47">
        <v>128</v>
      </c>
    </row>
    <row r="32" spans="1:13">
      <c r="A32" s="157">
        <v>2014</v>
      </c>
      <c r="B32" s="125">
        <v>98</v>
      </c>
      <c r="C32" s="21">
        <v>31</v>
      </c>
      <c r="D32" s="47">
        <v>492</v>
      </c>
      <c r="E32" s="125">
        <v>258</v>
      </c>
      <c r="F32" s="21">
        <v>203</v>
      </c>
      <c r="G32" s="47">
        <v>551</v>
      </c>
      <c r="H32" s="166">
        <v>19</v>
      </c>
      <c r="I32" s="21">
        <v>31</v>
      </c>
      <c r="J32" s="47">
        <v>285</v>
      </c>
      <c r="K32" s="166">
        <v>88.7</v>
      </c>
      <c r="L32" s="21">
        <v>74</v>
      </c>
      <c r="M32" s="47">
        <v>128</v>
      </c>
    </row>
    <row r="33" spans="1:13">
      <c r="A33" s="157">
        <v>2015</v>
      </c>
      <c r="B33" s="125">
        <v>99</v>
      </c>
      <c r="C33" s="21">
        <v>30</v>
      </c>
      <c r="D33" s="47">
        <v>494</v>
      </c>
      <c r="E33" s="125">
        <v>289</v>
      </c>
      <c r="F33" s="21">
        <v>211</v>
      </c>
      <c r="G33" s="47">
        <v>535</v>
      </c>
      <c r="H33" s="166">
        <v>22.4</v>
      </c>
      <c r="I33" s="21">
        <v>34</v>
      </c>
      <c r="J33" s="47">
        <v>275</v>
      </c>
      <c r="K33" s="166">
        <v>99.8</v>
      </c>
      <c r="L33" s="21">
        <v>77</v>
      </c>
      <c r="M33" s="47">
        <v>126</v>
      </c>
    </row>
    <row r="34" spans="1:13">
      <c r="A34" s="157">
        <v>2016</v>
      </c>
      <c r="B34" s="125">
        <v>98</v>
      </c>
      <c r="C34" s="21">
        <v>30</v>
      </c>
      <c r="D34" s="47">
        <v>496</v>
      </c>
      <c r="E34" s="125">
        <v>331</v>
      </c>
      <c r="F34" s="21">
        <v>220</v>
      </c>
      <c r="G34" s="47">
        <v>527</v>
      </c>
      <c r="H34" s="166">
        <v>22.9</v>
      </c>
      <c r="I34" s="21">
        <v>35</v>
      </c>
      <c r="J34" s="47">
        <v>270</v>
      </c>
      <c r="K34" s="166">
        <v>115.8</v>
      </c>
      <c r="L34" s="21">
        <v>81</v>
      </c>
      <c r="M34" s="47">
        <v>124</v>
      </c>
    </row>
    <row r="35" spans="1:13">
      <c r="A35" s="157">
        <v>2017</v>
      </c>
      <c r="B35" s="125">
        <v>106</v>
      </c>
      <c r="C35" s="21">
        <v>30</v>
      </c>
      <c r="D35" s="47">
        <v>498</v>
      </c>
      <c r="E35" s="125">
        <v>353</v>
      </c>
      <c r="F35" s="21">
        <v>226</v>
      </c>
      <c r="G35" s="47">
        <v>526</v>
      </c>
      <c r="H35" s="166">
        <v>23.3</v>
      </c>
      <c r="I35" s="21">
        <v>38</v>
      </c>
      <c r="J35" s="47">
        <v>268</v>
      </c>
      <c r="K35" s="166">
        <v>124.5</v>
      </c>
      <c r="L35" s="21">
        <v>84</v>
      </c>
      <c r="M35" s="47">
        <v>125</v>
      </c>
    </row>
    <row r="36" spans="1:13">
      <c r="A36" s="157">
        <v>2018</v>
      </c>
      <c r="B36" s="125">
        <v>111</v>
      </c>
      <c r="C36" s="21">
        <v>30</v>
      </c>
      <c r="D36" s="47">
        <v>498</v>
      </c>
      <c r="E36" s="125">
        <v>390</v>
      </c>
      <c r="F36" s="21">
        <v>229</v>
      </c>
      <c r="G36" s="47">
        <v>511</v>
      </c>
      <c r="H36" s="166">
        <v>47.8</v>
      </c>
      <c r="I36" s="21">
        <v>38</v>
      </c>
      <c r="J36" s="47">
        <v>254</v>
      </c>
      <c r="K36" s="166">
        <v>138.5</v>
      </c>
      <c r="L36" s="21">
        <v>85</v>
      </c>
      <c r="M36" s="47">
        <v>128</v>
      </c>
    </row>
    <row r="37" spans="1:13">
      <c r="A37" s="157">
        <v>2019</v>
      </c>
      <c r="B37" s="125">
        <v>112</v>
      </c>
      <c r="C37" s="21">
        <v>31</v>
      </c>
      <c r="D37" s="47">
        <v>497</v>
      </c>
      <c r="E37" s="125">
        <v>448</v>
      </c>
      <c r="F37" s="21">
        <v>228</v>
      </c>
      <c r="G37" s="47">
        <v>507</v>
      </c>
      <c r="H37" s="166">
        <v>57.9</v>
      </c>
      <c r="I37" s="21">
        <v>36</v>
      </c>
      <c r="J37" s="47">
        <v>251</v>
      </c>
      <c r="K37" s="166">
        <v>160</v>
      </c>
      <c r="L37" s="21">
        <v>85</v>
      </c>
      <c r="M37" s="47">
        <v>127</v>
      </c>
    </row>
    <row r="38" spans="1:13">
      <c r="A38" s="157">
        <v>2020</v>
      </c>
      <c r="B38" s="125">
        <v>119</v>
      </c>
      <c r="C38" s="21">
        <v>28</v>
      </c>
      <c r="D38" s="47">
        <v>497</v>
      </c>
      <c r="E38" s="125">
        <v>489</v>
      </c>
      <c r="F38" s="21">
        <v>225</v>
      </c>
      <c r="G38" s="47">
        <v>593</v>
      </c>
      <c r="H38" s="166">
        <v>50.4</v>
      </c>
      <c r="I38" s="21">
        <v>34</v>
      </c>
      <c r="J38" s="47">
        <v>280</v>
      </c>
      <c r="K38" s="166">
        <v>175.8</v>
      </c>
      <c r="L38" s="21">
        <v>84</v>
      </c>
      <c r="M38" s="47">
        <v>157</v>
      </c>
    </row>
    <row r="39" spans="1:13">
      <c r="A39" s="157">
        <v>2021</v>
      </c>
      <c r="B39" s="125">
        <v>121</v>
      </c>
      <c r="C39" s="21">
        <v>29</v>
      </c>
      <c r="D39" s="47">
        <v>499</v>
      </c>
      <c r="E39" s="125">
        <v>530</v>
      </c>
      <c r="F39" s="21">
        <v>220</v>
      </c>
      <c r="G39" s="47">
        <v>597</v>
      </c>
      <c r="H39" s="166">
        <v>60.1</v>
      </c>
      <c r="I39" s="21">
        <v>31</v>
      </c>
      <c r="J39" s="47">
        <v>280</v>
      </c>
      <c r="K39" s="166">
        <v>191.6</v>
      </c>
      <c r="L39" s="21">
        <v>82</v>
      </c>
      <c r="M39" s="47">
        <v>159</v>
      </c>
    </row>
    <row r="40" spans="1:13">
      <c r="A40" s="157">
        <v>2022</v>
      </c>
      <c r="B40" s="125">
        <v>126</v>
      </c>
      <c r="C40" s="21">
        <v>29</v>
      </c>
      <c r="D40" s="47">
        <v>499</v>
      </c>
      <c r="E40" s="125">
        <v>540</v>
      </c>
      <c r="F40" s="21">
        <v>219</v>
      </c>
      <c r="G40" s="47">
        <v>602</v>
      </c>
      <c r="H40" s="166">
        <v>60.5</v>
      </c>
      <c r="I40" s="21">
        <v>31</v>
      </c>
      <c r="J40" s="47">
        <v>283</v>
      </c>
      <c r="K40" s="166">
        <v>195.7</v>
      </c>
      <c r="L40" s="21">
        <v>82</v>
      </c>
      <c r="M40" s="47">
        <v>161</v>
      </c>
    </row>
    <row r="41" spans="1:13">
      <c r="A41" s="157">
        <v>2023</v>
      </c>
      <c r="B41" s="125">
        <v>127</v>
      </c>
      <c r="C41" s="21">
        <v>30</v>
      </c>
      <c r="D41" s="47">
        <v>498</v>
      </c>
      <c r="E41" s="125">
        <v>556</v>
      </c>
      <c r="F41" s="21">
        <v>231</v>
      </c>
      <c r="G41" s="47">
        <v>596</v>
      </c>
      <c r="H41" s="166">
        <v>69.8</v>
      </c>
      <c r="I41" s="21">
        <v>35</v>
      </c>
      <c r="J41" s="47">
        <v>279</v>
      </c>
      <c r="K41" s="166">
        <v>201.7</v>
      </c>
      <c r="L41" s="21">
        <v>86</v>
      </c>
      <c r="M41" s="47">
        <v>160</v>
      </c>
    </row>
    <row r="42" spans="1:13" ht="13">
      <c r="A42" s="159">
        <v>2024</v>
      </c>
      <c r="B42" s="69">
        <v>137</v>
      </c>
      <c r="C42" s="50">
        <v>30</v>
      </c>
      <c r="D42" s="51">
        <v>497</v>
      </c>
      <c r="E42" s="69">
        <v>568</v>
      </c>
      <c r="F42" s="50">
        <v>229</v>
      </c>
      <c r="G42" s="51">
        <v>597</v>
      </c>
      <c r="H42" s="169">
        <v>69.099999999999994</v>
      </c>
      <c r="I42" s="50">
        <v>32</v>
      </c>
      <c r="J42" s="51">
        <v>278</v>
      </c>
      <c r="K42" s="169">
        <v>206</v>
      </c>
      <c r="L42" s="50">
        <v>85</v>
      </c>
      <c r="M42" s="51">
        <v>161</v>
      </c>
    </row>
    <row r="43" spans="1:13" ht="13">
      <c r="A43" s="31"/>
      <c r="B43" s="32"/>
      <c r="C43" s="32"/>
      <c r="D43" s="32"/>
      <c r="E43" s="32"/>
      <c r="F43" s="32"/>
      <c r="G43" s="32"/>
      <c r="H43" s="76"/>
      <c r="I43" s="32"/>
      <c r="J43" s="32"/>
      <c r="K43" s="76"/>
      <c r="L43" s="32"/>
      <c r="M43" s="32"/>
    </row>
    <row r="44" spans="1:13" ht="12.75" customHeight="1">
      <c r="A44" s="77" t="s">
        <v>578</v>
      </c>
      <c r="B44" s="78"/>
      <c r="C44" s="78"/>
      <c r="D44" s="78"/>
      <c r="E44" s="78"/>
      <c r="G44" s="77" t="s">
        <v>579</v>
      </c>
    </row>
    <row r="45" spans="1:13">
      <c r="A45" s="77" t="s">
        <v>580</v>
      </c>
      <c r="G45" s="77" t="s">
        <v>581</v>
      </c>
    </row>
    <row r="47" spans="1:13" ht="12.75" customHeight="1">
      <c r="A47" s="262" t="s">
        <v>469</v>
      </c>
      <c r="B47" s="262"/>
      <c r="C47" s="262"/>
      <c r="D47" s="262"/>
      <c r="E47" s="262"/>
      <c r="G47" s="262" t="s">
        <v>470</v>
      </c>
      <c r="H47" s="262"/>
      <c r="I47" s="262"/>
      <c r="J47" s="262"/>
      <c r="K47" s="33"/>
    </row>
    <row r="51" spans="1:1">
      <c r="A51" s="35" t="s">
        <v>75</v>
      </c>
    </row>
    <row r="52" spans="1:1">
      <c r="A52" s="35" t="s">
        <v>76</v>
      </c>
    </row>
    <row r="53" spans="1:1">
      <c r="A53" s="35" t="s">
        <v>77</v>
      </c>
    </row>
  </sheetData>
  <mergeCells count="12">
    <mergeCell ref="K4:M4"/>
    <mergeCell ref="A6:A7"/>
    <mergeCell ref="B6:D6"/>
    <mergeCell ref="E6:G6"/>
    <mergeCell ref="H6:J6"/>
    <mergeCell ref="K6:M6"/>
    <mergeCell ref="A47:E47"/>
    <mergeCell ref="G47:J47"/>
    <mergeCell ref="A4:A5"/>
    <mergeCell ref="B4:D4"/>
    <mergeCell ref="E4:G4"/>
    <mergeCell ref="H4:J4"/>
  </mergeCells>
  <conditionalFormatting sqref="B8:M43">
    <cfRule type="expression" dxfId="0" priority="1">
      <formula>AD8&lt;&gt;0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html_JS_Code</vt:lpstr>
      <vt:lpstr>Data-Table</vt:lpstr>
      <vt:lpstr>Calc</vt:lpstr>
      <vt:lpstr>T14_Endverbrauch</vt:lpstr>
      <vt:lpstr>EnVnachVerwendung</vt:lpstr>
      <vt:lpstr>T36_WKK</vt:lpstr>
      <vt:lpstr>T06_Einfuhr</vt:lpstr>
      <vt:lpstr>T07_Ausfuhr</vt:lpstr>
      <vt:lpstr>T27_KVA</vt:lpstr>
      <vt:lpstr>T35_WP</vt:lpstr>
      <vt:lpstr>T33_Solarw</vt:lpstr>
      <vt:lpstr>T26_Fernw</vt:lpstr>
      <vt:lpstr>T24_Elektro</vt:lpstr>
      <vt:lpstr>T17e_EndvVerk</vt:lpstr>
      <vt:lpstr>T13_Verluste</vt:lpstr>
      <vt:lpstr>T05_PrimaerInland</vt:lpstr>
      <vt:lpstr>T10_Bruttov</vt:lpstr>
      <vt:lpstr>T11_Umwandl</vt:lpstr>
      <vt:lpstr>T12_Umwand2</vt:lpstr>
      <vt:lpstr>T31_Wind</vt:lpstr>
      <vt:lpstr>T32_PV</vt:lpstr>
      <vt:lpstr>T17a_EndvHH</vt:lpstr>
      <vt:lpstr>T17b_EndvInd</vt:lpstr>
      <vt:lpstr>T17c_EndvDienst</vt:lpstr>
      <vt:lpstr>T17d_EndvDiffLW</vt:lpstr>
      <vt:lpstr>T20_EndvErdoel</vt:lpstr>
      <vt:lpstr>T25_ElVer</vt:lpstr>
      <vt:lpstr>T28_Holz</vt:lpstr>
      <vt:lpstr>T29_HolzAnl</vt:lpstr>
      <vt:lpstr>T34a_Biogas</vt:lpstr>
    </vt:vector>
  </TitlesOfParts>
  <Company>OST Ostschweizer Fachhochschule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michel haller</dc:creator>
  <cp:lastModifiedBy>michel haller</cp:lastModifiedBy>
  <dcterms:created xsi:type="dcterms:W3CDTF">2025-12-15T19:49:30Z</dcterms:created>
  <dcterms:modified xsi:type="dcterms:W3CDTF">2025-12-16T21:21:37Z</dcterms:modified>
</cp:coreProperties>
</file>